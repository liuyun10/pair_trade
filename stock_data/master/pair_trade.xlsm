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firstSheet="5" activeTab="6"/>
  </bookViews>
  <sheets>
    <sheet name="表紙-" sheetId="1" r:id="rId1"/>
    <sheet name="建玉管理" sheetId="2" r:id="rId2"/>
    <sheet name="取引履歴" sheetId="13" r:id="rId3"/>
    <sheet name="資産状況" sheetId="15" r:id="rId4"/>
    <sheet name="監視" sheetId="3" r:id="rId5"/>
    <sheet name="シミュレーション" sheetId="4" r:id="rId6"/>
    <sheet name="Search Result" sheetId="5" r:id="rId7"/>
    <sheet name="個別計算" sheetId="6" r:id="rId8"/>
    <sheet name="日経サヤ計算" sheetId="11" r:id="rId9"/>
    <sheet name="グラフ" sheetId="7" r:id="rId10"/>
    <sheet name="code" sheetId="8" r:id="rId11"/>
    <sheet name="元データ" sheetId="9" r:id="rId12"/>
    <sheet name="改訂欄" sheetId="10" r:id="rId13"/>
    <sheet name="Fee_Refer" sheetId="17" r:id="rId14"/>
    <sheet name="Faiue" sheetId="18" r:id="rId15"/>
    <sheet name="Fiscal_date" sheetId="19" r:id="rId16"/>
  </sheets>
  <functionGroups/>
  <definedNames>
    <definedName name="_xlnm._FilterDatabase" localSheetId="2" hidden="1">取引履歴!$B$3:$AC$23</definedName>
    <definedName name="_xlnm._FilterDatabase" localSheetId="11" hidden="1">元データ!$A$1:$AH$284</definedName>
  </definedNames>
  <calcPr calcId="125725"/>
</workbook>
</file>

<file path=xl/calcChain.xml><?xml version="1.0" encoding="utf-8"?>
<calcChain xmlns="http://schemas.openxmlformats.org/spreadsheetml/2006/main">
  <c r="A9" i="7"/>
  <c r="A7"/>
  <c r="J12" i="2"/>
  <c r="J13"/>
  <c r="P13"/>
  <c r="M13"/>
  <c r="P12"/>
  <c r="M12"/>
  <c r="C12"/>
  <c r="AC22" i="13"/>
  <c r="AB22"/>
  <c r="AA22"/>
  <c r="P11" i="2"/>
  <c r="M11"/>
  <c r="J11"/>
  <c r="P10"/>
  <c r="Q10" s="1"/>
  <c r="M10"/>
  <c r="J10"/>
  <c r="C10"/>
  <c r="C22" i="13"/>
  <c r="J22"/>
  <c r="M22"/>
  <c r="P22" s="1"/>
  <c r="J23"/>
  <c r="M23"/>
  <c r="P23" s="1"/>
  <c r="M9" i="2"/>
  <c r="P9" s="1"/>
  <c r="Q9" s="1"/>
  <c r="J9"/>
  <c r="P8"/>
  <c r="Q8" s="1"/>
  <c r="M8"/>
  <c r="J8"/>
  <c r="C8"/>
  <c r="C20" i="13"/>
  <c r="J20"/>
  <c r="M20"/>
  <c r="P20" s="1"/>
  <c r="J21"/>
  <c r="M21"/>
  <c r="P21" s="1"/>
  <c r="M7" i="2"/>
  <c r="P7" s="1"/>
  <c r="J7"/>
  <c r="M6"/>
  <c r="P6" s="1"/>
  <c r="J6"/>
  <c r="C6"/>
  <c r="M5"/>
  <c r="P5" s="1"/>
  <c r="Q5" s="1"/>
  <c r="J5"/>
  <c r="M4"/>
  <c r="P4" s="1"/>
  <c r="J4"/>
  <c r="C4"/>
  <c r="AB18" i="13"/>
  <c r="AA18"/>
  <c r="P19"/>
  <c r="M19"/>
  <c r="J19"/>
  <c r="V18"/>
  <c r="M18"/>
  <c r="P18" s="1"/>
  <c r="J18"/>
  <c r="C18"/>
  <c r="AA14"/>
  <c r="AB14"/>
  <c r="AA16"/>
  <c r="AB16"/>
  <c r="M17"/>
  <c r="P17" s="1"/>
  <c r="Q17" s="1"/>
  <c r="J17"/>
  <c r="V16"/>
  <c r="M16"/>
  <c r="P16" s="1"/>
  <c r="J16"/>
  <c r="C16"/>
  <c r="M15"/>
  <c r="P15" s="1"/>
  <c r="J15"/>
  <c r="V14"/>
  <c r="M14"/>
  <c r="P14" s="1"/>
  <c r="J14"/>
  <c r="C14"/>
  <c r="C12"/>
  <c r="J12"/>
  <c r="M12"/>
  <c r="P12" s="1"/>
  <c r="J13"/>
  <c r="M13"/>
  <c r="P13" s="1"/>
  <c r="AA10"/>
  <c r="AB10"/>
  <c r="V10"/>
  <c r="P11"/>
  <c r="M11"/>
  <c r="J11"/>
  <c r="P10"/>
  <c r="M10"/>
  <c r="J10"/>
  <c r="C10"/>
  <c r="AB6"/>
  <c r="AB8"/>
  <c r="AB4"/>
  <c r="AA6"/>
  <c r="AA8"/>
  <c r="AA4"/>
  <c r="M9"/>
  <c r="P9" s="1"/>
  <c r="J9"/>
  <c r="V8"/>
  <c r="M8"/>
  <c r="P8" s="1"/>
  <c r="Q8" s="1"/>
  <c r="J8"/>
  <c r="C8"/>
  <c r="V6"/>
  <c r="V4"/>
  <c r="P1" i="2"/>
  <c r="U4" s="1"/>
  <c r="V4" s="1"/>
  <c r="Q12" l="1"/>
  <c r="R12"/>
  <c r="S12" s="1"/>
  <c r="Q13"/>
  <c r="U12"/>
  <c r="V12" s="1"/>
  <c r="Q19" i="13"/>
  <c r="Q23"/>
  <c r="Q15"/>
  <c r="Q20"/>
  <c r="Q21"/>
  <c r="Q11" i="2"/>
  <c r="U10"/>
  <c r="V10" s="1"/>
  <c r="R10"/>
  <c r="S10" s="1"/>
  <c r="R22" i="13"/>
  <c r="S22" s="1"/>
  <c r="Q22"/>
  <c r="Q18"/>
  <c r="V22"/>
  <c r="R8" i="2"/>
  <c r="S8" s="1"/>
  <c r="U8"/>
  <c r="V8" s="1"/>
  <c r="Q7"/>
  <c r="R16" i="13"/>
  <c r="Q16"/>
  <c r="Q11"/>
  <c r="Q13"/>
  <c r="R20"/>
  <c r="Q9"/>
  <c r="U20"/>
  <c r="Q6" i="2"/>
  <c r="R6"/>
  <c r="S6" s="1"/>
  <c r="U6"/>
  <c r="V6" s="1"/>
  <c r="Q4"/>
  <c r="R4"/>
  <c r="S4" s="1"/>
  <c r="R18" i="13"/>
  <c r="Q14"/>
  <c r="R14"/>
  <c r="R12"/>
  <c r="Q12"/>
  <c r="Q10"/>
  <c r="R8"/>
  <c r="S8" s="1"/>
  <c r="R10"/>
  <c r="J2" i="2"/>
  <c r="R6" i="13"/>
  <c r="R4"/>
  <c r="S20" l="1"/>
  <c r="AC20"/>
  <c r="V20"/>
  <c r="AA20"/>
  <c r="AB20"/>
  <c r="S14"/>
  <c r="AC14"/>
  <c r="S18"/>
  <c r="AC18"/>
  <c r="S16"/>
  <c r="AC16"/>
  <c r="S12"/>
  <c r="AC12"/>
  <c r="V12"/>
  <c r="AA12"/>
  <c r="AB12"/>
  <c r="R2"/>
  <c r="S4"/>
  <c r="AC4"/>
  <c r="S6"/>
  <c r="AC6"/>
  <c r="AC8"/>
  <c r="S10"/>
  <c r="AC10"/>
  <c r="S2" i="2"/>
  <c r="R2"/>
</calcChain>
</file>

<file path=xl/sharedStrings.xml><?xml version="1.0" encoding="utf-8"?>
<sst xmlns="http://schemas.openxmlformats.org/spreadsheetml/2006/main" count="5817" uniqueCount="1212">
  <si>
    <t>サヤ</t>
    <phoneticPr fontId="1" type="noConversion"/>
  </si>
  <si>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</si>
  <si>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</si>
  <si>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</si>
  <si>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</si>
  <si>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</si>
  <si>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</si>
  <si>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</si>
  <si>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</si>
  <si>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</si>
  <si>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</si>
  <si>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</si>
  <si>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</si>
  <si>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</si>
  <si>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</si>
  <si>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</si>
  <si>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</si>
  <si>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</si>
  <si>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</si>
  <si>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</si>
  <si>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サヤ移動平均（σ）</t>
    <phoneticPr fontId="1" type="noConversion"/>
  </si>
  <si>
    <t>同業/異業</t>
    <phoneticPr fontId="1" type="noConversion"/>
  </si>
  <si>
    <t>銘柄名</t>
    <phoneticPr fontId="1" type="noConversion"/>
  </si>
  <si>
    <t>業種分類</t>
    <phoneticPr fontId="1" type="noConversion"/>
  </si>
  <si>
    <t>勝率</t>
    <phoneticPr fontId="1" type="noConversion"/>
  </si>
  <si>
    <t>１年間で最大サヤ</t>
    <phoneticPr fontId="1" type="noConversion"/>
  </si>
  <si>
    <t>今日時点のサヤ</t>
    <phoneticPr fontId="1" type="noConversion"/>
  </si>
  <si>
    <t>標準偏差</t>
    <phoneticPr fontId="1" type="noConversion"/>
  </si>
  <si>
    <t>サヤ移動平均（+1σ）</t>
    <phoneticPr fontId="1" type="noConversion"/>
  </si>
  <si>
    <t>指数（σ）</t>
    <phoneticPr fontId="1" type="noConversion"/>
  </si>
  <si>
    <t>売買指示</t>
    <phoneticPr fontId="1" type="noConversion"/>
  </si>
  <si>
    <t>売買金額</t>
    <phoneticPr fontId="1" type="noConversion"/>
  </si>
  <si>
    <t>売り　６，０００</t>
    <phoneticPr fontId="1" type="noConversion"/>
  </si>
  <si>
    <t>株価１（今日）</t>
    <phoneticPr fontId="1" type="noConversion"/>
  </si>
  <si>
    <t>株価２（今日）</t>
    <phoneticPr fontId="1" type="noConversion"/>
  </si>
  <si>
    <t>銘柄コード２</t>
    <phoneticPr fontId="1" type="noConversion"/>
  </si>
  <si>
    <t>銘柄１の株価</t>
    <phoneticPr fontId="1" type="noConversion"/>
  </si>
  <si>
    <t>銘柄２の株価</t>
    <phoneticPr fontId="1" type="noConversion"/>
  </si>
  <si>
    <t>銘柄１の変動率</t>
    <phoneticPr fontId="1" type="noConversion"/>
  </si>
  <si>
    <t>銘柄２の変動率</t>
    <phoneticPr fontId="1" type="noConversion"/>
  </si>
  <si>
    <t>銘柄１－２</t>
    <phoneticPr fontId="1" type="noConversion"/>
  </si>
  <si>
    <t>バッグテスト収益率</t>
    <phoneticPr fontId="1" type="noConversion"/>
  </si>
  <si>
    <t>勝ち回数</t>
    <phoneticPr fontId="1" type="noConversion"/>
  </si>
  <si>
    <t>負け回数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</si>
  <si>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</si>
  <si>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</si>
  <si>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</si>
  <si>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</si>
  <si>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</si>
  <si>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SYM_B_NAME</t>
  </si>
  <si>
    <t>アルプスアルパイン</t>
  </si>
  <si>
    <t>コンコルディア・フィナンシャルグループ</t>
  </si>
  <si>
    <t>三井住友トラスト・ホールディングス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</si>
  <si>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</si>
  <si>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</si>
  <si>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</si>
  <si>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</si>
  <si>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</si>
  <si>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</si>
  <si>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</si>
  <si>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</si>
  <si>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</si>
  <si>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</si>
  <si>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</si>
  <si>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</si>
  <si>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</si>
  <si>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</si>
  <si>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</si>
  <si>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</si>
  <si>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</si>
  <si>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</si>
  <si>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</si>
  <si>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</si>
  <si>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</si>
  <si>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</si>
  <si>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</si>
  <si>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</si>
  <si>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</si>
  <si>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</si>
  <si>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</si>
  <si>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</si>
  <si>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</si>
  <si>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</si>
  <si>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</si>
  <si>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</si>
  <si>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</si>
  <si>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</si>
  <si>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BUY</t>
  </si>
  <si>
    <t>化学</t>
  </si>
  <si>
    <t>SELL</t>
  </si>
  <si>
    <t>三越伊勢丹ホールディングス</t>
  </si>
  <si>
    <t>カネカ</t>
  </si>
  <si>
    <t>王子ホールディングス</t>
  </si>
  <si>
    <t>マスタファイル</t>
    <phoneticPr fontId="1" type="noConversion"/>
  </si>
  <si>
    <t>G:\Stock\pairs_trade\pair_trade\stock_data</t>
    <phoneticPr fontId="1" type="noConversion"/>
  </si>
  <si>
    <t>G:\Stock\pairs_trade\pair_trade\stock_data\master\master.csv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</si>
  <si>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</si>
  <si>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</si>
  <si>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</si>
  <si>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</si>
  <si>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</si>
  <si>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</si>
  <si>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</si>
  <si>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SIGMA</t>
  </si>
  <si>
    <t>stop_profit_times</t>
  </si>
  <si>
    <t>stop_loss_times</t>
  </si>
  <si>
    <t>max_day_over_times</t>
  </si>
  <si>
    <t>関電工</t>
  </si>
  <si>
    <t>建設業</t>
  </si>
  <si>
    <t>スカパーＪＳＡＴホールディングス</t>
  </si>
  <si>
    <t>情報・通信業</t>
  </si>
  <si>
    <t>パルプ・紙</t>
  </si>
  <si>
    <t>西日本フィナンシャルホールディングス</t>
  </si>
  <si>
    <t>銀行業</t>
  </si>
  <si>
    <t>エクセディ</t>
  </si>
  <si>
    <t>輸送用機器</t>
  </si>
  <si>
    <t>コーエーテクモホールディングス</t>
  </si>
  <si>
    <t>レーザーテック</t>
  </si>
  <si>
    <t>電気機器</t>
  </si>
  <si>
    <t>三菱瓦斯化学</t>
  </si>
  <si>
    <t>その他製品</t>
  </si>
  <si>
    <t>ダイセル</t>
  </si>
  <si>
    <t>日清紡ホールディングス</t>
  </si>
  <si>
    <t>東海理化電機製作所</t>
  </si>
  <si>
    <t>ジェイ　エフ　イー　ホールディングス</t>
  </si>
  <si>
    <t>鉄鋼</t>
  </si>
  <si>
    <t>精密機器</t>
  </si>
  <si>
    <t>ほくほくフィナンシャルグループ</t>
  </si>
  <si>
    <t>小売業</t>
  </si>
  <si>
    <t>日本たばこ産業</t>
  </si>
  <si>
    <t>食料品</t>
  </si>
  <si>
    <t>宇部興産</t>
  </si>
  <si>
    <t>ＩＨＩ</t>
  </si>
  <si>
    <t>機械</t>
  </si>
  <si>
    <t>めぶきフィナンシャルグループ</t>
  </si>
  <si>
    <t>卸売業</t>
  </si>
  <si>
    <t>りそなホールディングス</t>
  </si>
  <si>
    <t>住友林業</t>
  </si>
  <si>
    <t>良品計画</t>
  </si>
  <si>
    <t>パナソニック</t>
  </si>
  <si>
    <t>ガラス・土石製品</t>
  </si>
  <si>
    <t>シチズン時計</t>
  </si>
  <si>
    <t>椿本チエイン</t>
  </si>
  <si>
    <t>小松製作所</t>
  </si>
  <si>
    <t>保険業</t>
  </si>
  <si>
    <t>戸田建設</t>
  </si>
  <si>
    <t>スタンレー電気</t>
  </si>
  <si>
    <t>飯田グループホールディングス</t>
  </si>
  <si>
    <t>不動産業</t>
  </si>
  <si>
    <t>日本発條</t>
  </si>
  <si>
    <t>金属製品</t>
  </si>
  <si>
    <t>日野自動車</t>
  </si>
  <si>
    <t>住友化学</t>
  </si>
  <si>
    <t>本田技研工業</t>
  </si>
  <si>
    <t>陸運業</t>
  </si>
  <si>
    <t>サービス業</t>
  </si>
  <si>
    <t>エイチ・ツー・オー　リテイリング</t>
  </si>
  <si>
    <t>みずほフィナンシャルグループ</t>
  </si>
  <si>
    <t>西松建設</t>
  </si>
  <si>
    <t>デンカ</t>
  </si>
  <si>
    <t>アドバンテスト</t>
  </si>
  <si>
    <t>安川電機</t>
  </si>
  <si>
    <t>オムロン</t>
  </si>
  <si>
    <t>パイロットコーポレーション</t>
  </si>
  <si>
    <t>クラレ</t>
  </si>
  <si>
    <t>七十七銀行</t>
  </si>
  <si>
    <t>北陸電力</t>
  </si>
  <si>
    <t>電気・ガス業</t>
  </si>
  <si>
    <t>トヨタ紡織</t>
  </si>
  <si>
    <t>ニッコンホールディングス</t>
  </si>
  <si>
    <t>日鉄物産</t>
  </si>
  <si>
    <t>住友ゴム工業</t>
  </si>
  <si>
    <t>ゴム製品</t>
  </si>
  <si>
    <t>日本電気硝子</t>
  </si>
  <si>
    <t>日揮</t>
  </si>
  <si>
    <t>住友電気工業</t>
  </si>
  <si>
    <t>非鉄金属</t>
  </si>
  <si>
    <t>日本ペイントホールディングス</t>
  </si>
  <si>
    <t>ジェイテクト</t>
  </si>
  <si>
    <t>きんでん</t>
  </si>
  <si>
    <t>ゆうちょ銀行</t>
  </si>
  <si>
    <t>いすゞ自動車</t>
  </si>
  <si>
    <t>ＤＩＣ</t>
  </si>
  <si>
    <t>ＮＴＮ</t>
  </si>
  <si>
    <t>あい　ホールディングス</t>
  </si>
  <si>
    <t>Ｔ＆Ｄホールディングス</t>
  </si>
  <si>
    <t>三井住友フィナンシャルグループ</t>
  </si>
  <si>
    <t>キヤノン</t>
  </si>
  <si>
    <t>医薬品</t>
  </si>
  <si>
    <t>かんぽ生命保険</t>
  </si>
  <si>
    <t>日本精工</t>
  </si>
  <si>
    <t>日東電工</t>
  </si>
  <si>
    <t>東洋インキＳＣホールディングス</t>
  </si>
  <si>
    <t>久光製薬</t>
  </si>
  <si>
    <t>第四北越フィナンシャルグループ</t>
  </si>
  <si>
    <t>マツダ</t>
  </si>
  <si>
    <t>丸一鋼管</t>
  </si>
  <si>
    <t>繊維製品</t>
  </si>
  <si>
    <t>九電工</t>
  </si>
  <si>
    <t>太平洋セメント</t>
  </si>
  <si>
    <t>あおぞら銀行</t>
  </si>
  <si>
    <t>三菱ＵＦＪフィナンシャル・グループ</t>
  </si>
  <si>
    <t>東北電力</t>
  </si>
  <si>
    <t>四国電力</t>
  </si>
  <si>
    <t>銘柄コード１</t>
    <phoneticPr fontId="1" type="noConversion"/>
  </si>
  <si>
    <t>決済</t>
    <phoneticPr fontId="1" type="noConversion"/>
  </si>
  <si>
    <t>現物</t>
    <phoneticPr fontId="1" type="noConversion"/>
  </si>
  <si>
    <t>選択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</si>
  <si>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</si>
  <si>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</si>
  <si>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</si>
  <si>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</si>
  <si>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</si>
  <si>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</si>
  <si>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</si>
  <si>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</si>
  <si>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</si>
  <si>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</si>
  <si>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</si>
  <si>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</si>
  <si>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現物</t>
    <phoneticPr fontId="1" type="noConversion"/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</si>
  <si>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</si>
  <si>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</si>
  <si>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</si>
  <si>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</si>
  <si>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</si>
  <si>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</si>
  <si>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</si>
  <si>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</si>
  <si>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</si>
  <si>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</si>
  <si>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</si>
  <si>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</si>
  <si>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</si>
  <si>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</si>
  <si>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</si>
  <si>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</si>
  <si>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</si>
  <si>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</si>
  <si>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</si>
  <si>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</si>
  <si>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</si>
  <si>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</si>
  <si>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</si>
  <si>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</si>
  <si>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</si>
  <si>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</si>
  <si>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</si>
  <si>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</si>
  <si>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</si>
  <si>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</si>
  <si>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</si>
  <si>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</si>
  <si>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</si>
  <si>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</si>
  <si>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</si>
  <si>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</si>
  <si>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</si>
  <si>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</si>
  <si>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</si>
  <si>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</si>
  <si>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</si>
  <si>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</si>
  <si>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</si>
  <si>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</si>
  <si>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</si>
  <si>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</si>
  <si>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</si>
  <si>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</si>
  <si>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</si>
  <si>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</si>
  <si>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</si>
  <si>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</si>
  <si>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</si>
  <si>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</si>
  <si>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</si>
  <si>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</si>
  <si>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</si>
  <si>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</si>
  <si>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</si>
  <si>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</si>
  <si>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</si>
  <si>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</si>
  <si>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</si>
  <si>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</si>
  <si>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</si>
  <si>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</si>
  <si>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</si>
  <si>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</si>
  <si>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</si>
  <si>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</si>
  <si>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</si>
  <si>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</si>
  <si>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買方金利</t>
  </si>
  <si>
    <t>（年率）</t>
  </si>
  <si>
    <t>通常</t>
  </si>
  <si>
    <t>：2.80％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</si>
  <si>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</si>
  <si>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</si>
  <si>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</si>
  <si>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</si>
  <si>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</si>
  <si>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</si>
  <si>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</si>
  <si>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</si>
  <si>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</si>
  <si>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</si>
  <si>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</si>
  <si>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</si>
  <si>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</si>
  <si>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</si>
  <si>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</si>
  <si>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</si>
  <si>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</si>
  <si>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</si>
  <si>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</si>
  <si>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</si>
  <si>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</si>
  <si>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</si>
  <si>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</si>
  <si>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</si>
  <si>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</si>
  <si>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</si>
  <si>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</si>
  <si>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</si>
  <si>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</si>
  <si>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</si>
  <si>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</si>
  <si>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</si>
  <si>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</si>
  <si>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</si>
  <si>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r>
      <t xml:space="preserve">OVRE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</si>
  <si>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</si>
  <si>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</si>
  <si>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</si>
  <si>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</si>
  <si>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</si>
  <si>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</si>
  <si>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</si>
  <si>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</si>
  <si>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DATE</t>
  </si>
  <si>
    <t>saya_divide</t>
  </si>
  <si>
    <t>saya_divide_mean</t>
  </si>
  <si>
    <t>saya_divide_std</t>
  </si>
  <si>
    <t>saya_divide_sigma</t>
  </si>
  <si>
    <t>deviation_rate(%)</t>
  </si>
  <si>
    <t>RAW DATA</t>
    <phoneticPr fontId="1" type="noConversion"/>
  </si>
  <si>
    <t>+1-Sigama</t>
  </si>
  <si>
    <t>-1-Sigama</t>
  </si>
  <si>
    <t>+2-Sigama</t>
  </si>
  <si>
    <t>-2-Sigama</t>
  </si>
  <si>
    <t>STOP LOSS</t>
    <phoneticPr fontId="1" type="noConversion"/>
  </si>
  <si>
    <t>銘柄１（売り銘柄）</t>
  </si>
  <si>
    <t>銘柄２（買い銘柄）</t>
  </si>
  <si>
    <t>シグマ</t>
  </si>
  <si>
    <t>バックテスト</t>
  </si>
  <si>
    <t>相関</t>
  </si>
  <si>
    <t>Code</t>
  </si>
  <si>
    <t>Name</t>
  </si>
  <si>
    <t>業種</t>
  </si>
  <si>
    <t>Price</t>
  </si>
  <si>
    <t>Lot</t>
  </si>
  <si>
    <t>σ</t>
  </si>
  <si>
    <t>離率</t>
  </si>
  <si>
    <t>Mount1</t>
  </si>
  <si>
    <t>Mount2</t>
  </si>
  <si>
    <t>差分</t>
  </si>
  <si>
    <t>Total Profit</t>
  </si>
  <si>
    <t>Ave Profit</t>
  </si>
  <si>
    <t>Total 
Times</t>
  </si>
  <si>
    <t>Profit
Times</t>
  </si>
  <si>
    <t>ST/SP/OM</t>
  </si>
  <si>
    <t>PL</t>
  </si>
  <si>
    <t>Open
Days</t>
  </si>
  <si>
    <t>CORR
3M</t>
  </si>
  <si>
    <t>CORR
1Y</t>
  </si>
  <si>
    <t>Coint 
3M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</si>
  <si>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</si>
  <si>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</si>
  <si>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</si>
  <si>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</si>
  <si>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日立キャピタル</t>
  </si>
  <si>
    <t>その他金融業</t>
  </si>
  <si>
    <t>東洋紡</t>
  </si>
  <si>
    <t>クリエイトＳＤホールディングス</t>
  </si>
  <si>
    <t>ヤマハ発動機</t>
  </si>
  <si>
    <t>ニプロ</t>
  </si>
  <si>
    <t>セブン銀行</t>
  </si>
  <si>
    <t>三井化学</t>
  </si>
  <si>
    <t>日本特殊陶業</t>
  </si>
  <si>
    <t>積水ハウス</t>
  </si>
  <si>
    <t>大同特殊鋼</t>
  </si>
  <si>
    <t>クリエイト・レストランツ・ホールディングス</t>
  </si>
  <si>
    <t>イオン</t>
  </si>
  <si>
    <t>日本軽金属ホールディングス</t>
  </si>
  <si>
    <t>SYM_A</t>
  </si>
  <si>
    <t>アズビル</t>
  </si>
  <si>
    <t>牧野フライス製作所</t>
  </si>
  <si>
    <t>大成建設</t>
  </si>
  <si>
    <t>田辺三菱製薬</t>
  </si>
  <si>
    <t>新光電気工業</t>
  </si>
  <si>
    <t>ＮＥＣネッツエスアイ</t>
  </si>
  <si>
    <t>ビックカメラ</t>
  </si>
  <si>
    <t>三菱ＵＦＪリース</t>
  </si>
  <si>
    <t>前田建設工業</t>
  </si>
  <si>
    <t>ウシオ電機</t>
  </si>
  <si>
    <t>グローリー</t>
  </si>
  <si>
    <t>不二越</t>
  </si>
  <si>
    <t>三菱電機</t>
  </si>
  <si>
    <t>イオンディライト</t>
  </si>
  <si>
    <t>ＡＤＥＫＡ</t>
  </si>
  <si>
    <t>ヤオコー</t>
  </si>
  <si>
    <t>ディップ</t>
  </si>
  <si>
    <t>バローホールディングス</t>
  </si>
  <si>
    <t>興銀リース</t>
  </si>
  <si>
    <t>日本触媒</t>
  </si>
  <si>
    <t>関西ペイント</t>
  </si>
  <si>
    <t>日立ハイテクノロジーズ</t>
  </si>
  <si>
    <t>東洋製罐グループホールディングス</t>
  </si>
  <si>
    <t>寿スピリッツ</t>
  </si>
  <si>
    <t>日本新薬</t>
  </si>
  <si>
    <t>豊田自動織機</t>
  </si>
  <si>
    <t>日本電子</t>
  </si>
  <si>
    <t>三井金属鉱業</t>
  </si>
  <si>
    <t>オークマ</t>
  </si>
  <si>
    <t>相鉄ホールディングス</t>
  </si>
  <si>
    <t>積水化学工業</t>
  </si>
  <si>
    <t>リンナイ</t>
  </si>
  <si>
    <t>イビデン</t>
  </si>
  <si>
    <t>塩野義製薬</t>
  </si>
  <si>
    <t>現物</t>
    <phoneticPr fontId="1" type="noConversion"/>
  </si>
  <si>
    <t>現物</t>
    <phoneticPr fontId="1" type="noConversion"/>
  </si>
  <si>
    <t>エス・エム・エス</t>
  </si>
  <si>
    <t>クミアイ化学工業</t>
  </si>
  <si>
    <t>マルハニチロ</t>
  </si>
  <si>
    <t>水産・農林業</t>
  </si>
  <si>
    <t>カチタス</t>
  </si>
  <si>
    <t>トヨタ自動車</t>
  </si>
  <si>
    <t>東ソー</t>
  </si>
  <si>
    <t>日本製鉄</t>
  </si>
  <si>
    <t>ジーエス・ユアサ　コーポレーション</t>
  </si>
  <si>
    <t>長谷工コーポレーション</t>
  </si>
  <si>
    <t>荏原製作所</t>
  </si>
  <si>
    <t>キッコーマン</t>
  </si>
  <si>
    <t>堀場製作所</t>
  </si>
  <si>
    <t>太陽誘電</t>
  </si>
  <si>
    <t>富士通ゼネラル</t>
  </si>
  <si>
    <t>富士通</t>
  </si>
  <si>
    <t>ＴＨＫ</t>
  </si>
  <si>
    <t>三菱商事</t>
  </si>
  <si>
    <t>4/2/9</t>
  </si>
  <si>
    <t>6/11/3</t>
  </si>
  <si>
    <t>4/7/5</t>
  </si>
  <si>
    <t>6/5/7</t>
  </si>
  <si>
    <t>2/6/8</t>
  </si>
  <si>
    <t>3/5/5</t>
  </si>
  <si>
    <t>3/4/9</t>
  </si>
  <si>
    <t>ニチアス</t>
  </si>
  <si>
    <t>スギホールディングス</t>
  </si>
  <si>
    <t>日本碍子</t>
  </si>
  <si>
    <t>日本航空電子工業</t>
  </si>
  <si>
    <t>ショーワ</t>
  </si>
  <si>
    <t>ＮＴＴドコモ</t>
  </si>
  <si>
    <t>エムスリー</t>
  </si>
  <si>
    <t>日本空港ビルデング</t>
  </si>
  <si>
    <t>ローソン</t>
  </si>
  <si>
    <t>インフォマート</t>
  </si>
  <si>
    <t>ＴＫＣ</t>
  </si>
  <si>
    <t>神戸物産</t>
  </si>
  <si>
    <t>リクルートホールディングス</t>
  </si>
  <si>
    <t>0/6/4</t>
  </si>
  <si>
    <t>1/6/7</t>
  </si>
  <si>
    <t>2/9/5</t>
  </si>
  <si>
    <t>5/10/3</t>
  </si>
  <si>
    <t>3/5/13</t>
  </si>
  <si>
    <t>4/6/6</t>
  </si>
  <si>
    <t>0/4/9</t>
  </si>
  <si>
    <t>4/5/12</t>
  </si>
  <si>
    <t>1/1/10</t>
  </si>
  <si>
    <t>5/5/7</t>
  </si>
  <si>
    <t>4/3/6</t>
  </si>
  <si>
    <t>4/6/7</t>
  </si>
  <si>
    <t>6/6/10</t>
  </si>
  <si>
    <t>Max</t>
    <phoneticPr fontId="1" type="noConversion"/>
  </si>
  <si>
    <t>Min</t>
    <phoneticPr fontId="1" type="noConversion"/>
  </si>
  <si>
    <t>OPEN_1860</t>
  </si>
  <si>
    <t>CLOSE_1860</t>
  </si>
  <si>
    <t>OPEN_1820</t>
  </si>
  <si>
    <t>CLOSE_1820</t>
  </si>
  <si>
    <t>1820_1860</t>
    <phoneticPr fontId="1" type="noConversion"/>
  </si>
  <si>
    <t>決算日</t>
    <phoneticPr fontId="1" type="noConversion"/>
  </si>
  <si>
    <t>決算日</t>
    <phoneticPr fontId="1" type="noConversion"/>
  </si>
  <si>
    <t>G:\Stock\pairs_trade\pair_trade\stock_data\master\fiscal_data.csv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</si>
  <si>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</si>
  <si>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</si>
  <si>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</si>
  <si>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</si>
  <si>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</si>
  <si>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</si>
  <si>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</si>
  <si>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</si>
  <si>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</si>
  <si>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</si>
  <si>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11/26</t>
  </si>
  <si>
    <t xml:space="preserve"> -</t>
  </si>
  <si>
    <t xml:space="preserve"> 3Q</t>
  </si>
  <si>
    <t xml:space="preserve"> 連</t>
  </si>
  <si>
    <t xml:space="preserve"> ＤｙＤｏ</t>
  </si>
  <si>
    <t xml:space="preserve"> 東1</t>
  </si>
  <si>
    <t xml:space="preserve"> 食料品</t>
  </si>
  <si>
    <t xml:space="preserve"> 11/27</t>
  </si>
  <si>
    <t xml:space="preserve"> 1Q</t>
  </si>
  <si>
    <t xml:space="preserve"> 単</t>
  </si>
  <si>
    <t xml:space="preserve"> プラネット</t>
  </si>
  <si>
    <t xml:space="preserve"> JQ</t>
  </si>
  <si>
    <t xml:space="preserve"> サービス業</t>
  </si>
  <si>
    <t xml:space="preserve"> タカショー</t>
  </si>
  <si>
    <t xml:space="preserve"> 卸売業</t>
  </si>
  <si>
    <t xml:space="preserve"> 11/28</t>
  </si>
  <si>
    <t xml:space="preserve"> 本</t>
  </si>
  <si>
    <t xml:space="preserve"> ギグワークス</t>
  </si>
  <si>
    <t xml:space="preserve"> 東2</t>
  </si>
  <si>
    <t xml:space="preserve"> 菱洋エレク</t>
  </si>
  <si>
    <t xml:space="preserve"> 11/29</t>
  </si>
  <si>
    <t xml:space="preserve"> 2Q</t>
  </si>
  <si>
    <t xml:space="preserve"> 東和フード</t>
  </si>
  <si>
    <t xml:space="preserve"> 小売業</t>
  </si>
  <si>
    <t xml:space="preserve"> 大和コン</t>
  </si>
  <si>
    <t xml:space="preserve"> 情報・通信業</t>
  </si>
  <si>
    <t xml:space="preserve"> はてな</t>
  </si>
  <si>
    <t xml:space="preserve"> マザ</t>
  </si>
  <si>
    <t xml:space="preserve"> トリケミカル</t>
  </si>
  <si>
    <t xml:space="preserve"> 化学</t>
  </si>
  <si>
    <t xml:space="preserve"> ウチダエスコ</t>
  </si>
  <si>
    <t xml:space="preserve"> キタック</t>
  </si>
  <si>
    <t xml:space="preserve"> ダイサン</t>
  </si>
  <si>
    <t xml:space="preserve"> ACCESS</t>
  </si>
  <si>
    <t xml:space="preserve"> 共和工業</t>
  </si>
  <si>
    <t xml:space="preserve"> 金属製品</t>
  </si>
  <si>
    <t xml:space="preserve"> 内田洋</t>
  </si>
  <si>
    <t xml:space="preserve"> 12/2</t>
  </si>
  <si>
    <t xml:space="preserve"> 伊藤園</t>
  </si>
  <si>
    <t>" 5</t>
  </si>
  <si>
    <t>014"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</si>
  <si>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</si>
  <si>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</si>
  <si>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</si>
  <si>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</si>
  <si>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ピープル</t>
  </si>
  <si>
    <t xml:space="preserve"> その他製品</t>
  </si>
  <si>
    <t xml:space="preserve"> 12/3</t>
  </si>
  <si>
    <t xml:space="preserve"> アインHD</t>
  </si>
  <si>
    <t>" 2</t>
  </si>
  <si>
    <t>441"</t>
  </si>
  <si>
    <t xml:space="preserve"> 12/4</t>
  </si>
  <si>
    <t xml:space="preserve"> 15:30</t>
  </si>
  <si>
    <t xml:space="preserve"> オリバー</t>
  </si>
  <si>
    <t xml:space="preserve"> モロゾフ</t>
  </si>
  <si>
    <t xml:space="preserve"> ティーライフ</t>
  </si>
  <si>
    <t xml:space="preserve"> Link-U</t>
  </si>
  <si>
    <t xml:space="preserve"> 不二電機</t>
  </si>
  <si>
    <t xml:space="preserve"> 電気機器</t>
  </si>
  <si>
    <t xml:space="preserve"> 楽天地</t>
  </si>
  <si>
    <t xml:space="preserve"> 不動産業</t>
  </si>
  <si>
    <t xml:space="preserve"> 12/5</t>
  </si>
  <si>
    <t xml:space="preserve"> ファーマフーズ</t>
  </si>
  <si>
    <t xml:space="preserve"> ラクーンHD</t>
  </si>
  <si>
    <t xml:space="preserve"> アルチザ</t>
  </si>
  <si>
    <t xml:space="preserve"> スバル興</t>
  </si>
  <si>
    <t xml:space="preserve"> 12/6</t>
  </si>
  <si>
    <t xml:space="preserve"> 積水ハウス</t>
  </si>
  <si>
    <t xml:space="preserve"> 建設業</t>
  </si>
  <si>
    <t>" 16</t>
  </si>
  <si>
    <t>487"</t>
  </si>
  <si>
    <t xml:space="preserve"> 日　駐</t>
  </si>
  <si>
    <t xml:space="preserve"> ケア２１</t>
  </si>
  <si>
    <t xml:space="preserve"> 鳥貴族</t>
  </si>
  <si>
    <t xml:space="preserve"> ポールHD</t>
  </si>
  <si>
    <t xml:space="preserve"> エイチーム</t>
  </si>
  <si>
    <t xml:space="preserve"> ソフトウェアサー</t>
  </si>
  <si>
    <t xml:space="preserve"> アイル</t>
  </si>
  <si>
    <t xml:space="preserve"> ｇｕｍｉ</t>
  </si>
  <si>
    <t xml:space="preserve"> ユークス</t>
  </si>
  <si>
    <t xml:space="preserve"> HEROZ</t>
  </si>
  <si>
    <t xml:space="preserve"> 日本スキー</t>
  </si>
  <si>
    <t xml:space="preserve"> 巴工業</t>
  </si>
  <si>
    <t xml:space="preserve"> インスペック</t>
  </si>
  <si>
    <t xml:space="preserve"> トミタ電機</t>
  </si>
  <si>
    <t xml:space="preserve"> エイケン工業</t>
  </si>
  <si>
    <t xml:space="preserve"> 輸送用機器</t>
  </si>
  <si>
    <t xml:space="preserve"> トップカルチャ</t>
  </si>
  <si>
    <t xml:space="preserve"> 光・彩</t>
  </si>
  <si>
    <t xml:space="preserve"> カナモト</t>
  </si>
  <si>
    <t>" 1</t>
  </si>
  <si>
    <t>236"</t>
  </si>
  <si>
    <t xml:space="preserve"> 精養軒</t>
  </si>
  <si>
    <t xml:space="preserve"> 丹青社</t>
  </si>
  <si>
    <t xml:space="preserve"> 12/9</t>
  </si>
  <si>
    <t xml:space="preserve"> 16:00</t>
  </si>
  <si>
    <t xml:space="preserve"> アルトナー</t>
  </si>
  <si>
    <t xml:space="preserve"> 学　情</t>
  </si>
  <si>
    <t xml:space="preserve"> ストリーム</t>
  </si>
  <si>
    <t xml:space="preserve"> Bガレージ</t>
  </si>
  <si>
    <t xml:space="preserve"> GA TECH</t>
  </si>
  <si>
    <t xml:space="preserve"> 日東網</t>
  </si>
  <si>
    <t xml:space="preserve"> 繊維製品</t>
  </si>
  <si>
    <t xml:space="preserve"> イムラ封筒</t>
  </si>
  <si>
    <t xml:space="preserve"> パルプ・紙</t>
  </si>
  <si>
    <t xml:space="preserve"> ミライアル</t>
  </si>
  <si>
    <t xml:space="preserve"> ライクキッズ</t>
  </si>
  <si>
    <t xml:space="preserve"> Ｃａｓａ</t>
  </si>
  <si>
    <t xml:space="preserve"> その他金融業</t>
  </si>
  <si>
    <t xml:space="preserve"> Ｂ＆Ｐ</t>
  </si>
  <si>
    <t xml:space="preserve"> 萩原工業</t>
  </si>
  <si>
    <t xml:space="preserve"> 泉州電</t>
  </si>
  <si>
    <t xml:space="preserve"> 12/10</t>
  </si>
  <si>
    <t xml:space="preserve"> ベステラ</t>
  </si>
  <si>
    <t xml:space="preserve"> 大盛工業</t>
  </si>
  <si>
    <t xml:space="preserve"> アスカネット</t>
  </si>
  <si>
    <t xml:space="preserve"> テンポスHD</t>
  </si>
  <si>
    <t xml:space="preserve"> サトウ食品</t>
  </si>
  <si>
    <t xml:space="preserve"> アマガサ</t>
  </si>
  <si>
    <t xml:space="preserve"> アールエイジ</t>
  </si>
  <si>
    <t xml:space="preserve"> 山岡家</t>
  </si>
  <si>
    <t xml:space="preserve"> グッドコムA</t>
  </si>
  <si>
    <t xml:space="preserve"> Ｒみらい</t>
  </si>
  <si>
    <t xml:space="preserve"> 東証</t>
  </si>
  <si>
    <t xml:space="preserve"> ETF・REIT等</t>
  </si>
  <si>
    <t xml:space="preserve"> SYSHD</t>
  </si>
  <si>
    <t xml:space="preserve"> トビラシステム</t>
  </si>
  <si>
    <t xml:space="preserve"> サムコ</t>
  </si>
  <si>
    <t xml:space="preserve"> トランザス</t>
  </si>
  <si>
    <t xml:space="preserve"> マツモト</t>
  </si>
  <si>
    <t xml:space="preserve"> トーホー</t>
  </si>
  <si>
    <t xml:space="preserve"> シルバーライフ</t>
  </si>
  <si>
    <t xml:space="preserve"> きんえい</t>
  </si>
  <si>
    <t xml:space="preserve"> シーイーシー</t>
  </si>
  <si>
    <t xml:space="preserve"> 12/11</t>
  </si>
  <si>
    <t xml:space="preserve"> 太洋基礎</t>
  </si>
  <si>
    <t xml:space="preserve"> Hamee</t>
  </si>
  <si>
    <t xml:space="preserve"> アゼアス</t>
  </si>
  <si>
    <t xml:space="preserve"> クロスプラス</t>
  </si>
  <si>
    <t xml:space="preserve"> 菊池製作</t>
  </si>
  <si>
    <t xml:space="preserve"> シーアールイー</t>
  </si>
  <si>
    <t xml:space="preserve"> JPNミート</t>
  </si>
  <si>
    <t xml:space="preserve"> アセンテック</t>
  </si>
  <si>
    <t xml:space="preserve"> 神島化</t>
  </si>
  <si>
    <t xml:space="preserve"> ｶﾞﾗｽ土石製品</t>
  </si>
  <si>
    <t xml:space="preserve"> ハウテレビ</t>
  </si>
  <si>
    <t xml:space="preserve"> 12/12</t>
  </si>
  <si>
    <t xml:space="preserve"> くら寿司</t>
  </si>
  <si>
    <t xml:space="preserve"> 銚子丸</t>
  </si>
  <si>
    <t xml:space="preserve"> ミサワ</t>
  </si>
  <si>
    <t xml:space="preserve"> トーエル</t>
  </si>
  <si>
    <t xml:space="preserve"> バルニバーヒ</t>
  </si>
  <si>
    <t xml:space="preserve"> クスリのアオキ</t>
  </si>
  <si>
    <t>740"</t>
  </si>
  <si>
    <t xml:space="preserve"> TBCSCAT</t>
  </si>
  <si>
    <t xml:space="preserve"> シャノン</t>
  </si>
  <si>
    <t xml:space="preserve"> ラクスル</t>
  </si>
  <si>
    <t>019"</t>
  </si>
  <si>
    <t xml:space="preserve"> VALUENEX</t>
  </si>
  <si>
    <t xml:space="preserve"> セルソース</t>
  </si>
  <si>
    <t xml:space="preserve"> 医薬品</t>
  </si>
  <si>
    <t xml:space="preserve"> オハラ</t>
  </si>
  <si>
    <t xml:space="preserve"> ファーストロジ</t>
  </si>
  <si>
    <t xml:space="preserve"> 鎌倉新書</t>
  </si>
  <si>
    <t xml:space="preserve"> 石井表記</t>
  </si>
  <si>
    <t xml:space="preserve"> アイモバイル</t>
  </si>
  <si>
    <t xml:space="preserve"> 三井ハイテ</t>
  </si>
  <si>
    <t xml:space="preserve"> フロンティアI</t>
  </si>
  <si>
    <t xml:space="preserve"> オーエムツー</t>
  </si>
  <si>
    <t xml:space="preserve"> サンオータス</t>
  </si>
  <si>
    <t xml:space="preserve"> 小林産</t>
  </si>
  <si>
    <t xml:space="preserve"> REVOLUTI</t>
  </si>
  <si>
    <t xml:space="preserve"> 日本テレホン</t>
  </si>
  <si>
    <t xml:space="preserve"> エイチ・アイエス</t>
  </si>
  <si>
    <t>034"</t>
  </si>
  <si>
    <t xml:space="preserve"> ドーム</t>
  </si>
  <si>
    <t xml:space="preserve"> 12/13</t>
  </si>
  <si>
    <t xml:space="preserve"> Ｍマート</t>
  </si>
  <si>
    <t xml:space="preserve"> ベルグアース</t>
  </si>
  <si>
    <t xml:space="preserve"> 水産・農林業</t>
  </si>
  <si>
    <t xml:space="preserve"> フィット</t>
  </si>
  <si>
    <t xml:space="preserve"> 土屋ＨＤ</t>
  </si>
  <si>
    <t xml:space="preserve"> 日ハウスHD</t>
  </si>
  <si>
    <t xml:space="preserve"> フルスピード</t>
  </si>
  <si>
    <t xml:space="preserve"> アイ・ケイ・ケイ</t>
  </si>
  <si>
    <t xml:space="preserve"> アイスタディ</t>
  </si>
  <si>
    <t xml:space="preserve"> ブラス</t>
  </si>
  <si>
    <t xml:space="preserve"> 新都ＨＤ</t>
  </si>
  <si>
    <t xml:space="preserve"> ツクルバ</t>
  </si>
  <si>
    <t xml:space="preserve"> 神戸物産</t>
  </si>
  <si>
    <t>" 4</t>
  </si>
  <si>
    <t>596"</t>
  </si>
  <si>
    <t xml:space="preserve"> 丸善CHI</t>
  </si>
  <si>
    <t xml:space="preserve"> ジェネパ</t>
  </si>
  <si>
    <t xml:space="preserve"> 積水ハウスR</t>
  </si>
  <si>
    <t>109"</t>
  </si>
  <si>
    <t xml:space="preserve"> 稲葉製作</t>
  </si>
  <si>
    <t xml:space="preserve"> J.S.B.</t>
  </si>
  <si>
    <t xml:space="preserve"> リーガル不</t>
  </si>
  <si>
    <t xml:space="preserve"> モルフォ</t>
  </si>
  <si>
    <t xml:space="preserve"> エニグモ</t>
  </si>
  <si>
    <t xml:space="preserve"> フリービット</t>
  </si>
  <si>
    <t xml:space="preserve"> ネオジャパン</t>
  </si>
  <si>
    <t xml:space="preserve"> バリュゴルフ</t>
  </si>
  <si>
    <t xml:space="preserve"> SKIYAKI</t>
  </si>
  <si>
    <t xml:space="preserve"> ジャストプラ</t>
  </si>
  <si>
    <t xml:space="preserve"> スマレジ</t>
  </si>
  <si>
    <t xml:space="preserve"> サンバイオ</t>
  </si>
  <si>
    <t>232"</t>
  </si>
  <si>
    <t xml:space="preserve"> ステムリム</t>
  </si>
  <si>
    <t xml:space="preserve"> ナトコ</t>
  </si>
  <si>
    <t xml:space="preserve"> クミアイ化</t>
  </si>
  <si>
    <t>420"</t>
  </si>
  <si>
    <t xml:space="preserve"> イトクロ</t>
  </si>
  <si>
    <t xml:space="preserve"> ウエスコHD</t>
  </si>
  <si>
    <t xml:space="preserve"> HyAS&amp;Co.</t>
  </si>
  <si>
    <t xml:space="preserve"> ベストワン</t>
  </si>
  <si>
    <t xml:space="preserve"> ヤーマン</t>
  </si>
  <si>
    <t xml:space="preserve"> ウインテスト</t>
  </si>
  <si>
    <t xml:space="preserve"> ＭＳＯＬ</t>
  </si>
  <si>
    <t xml:space="preserve"> ジェイック</t>
  </si>
  <si>
    <t xml:space="preserve"> ハイレックス</t>
  </si>
  <si>
    <t xml:space="preserve"> 梅の花</t>
  </si>
  <si>
    <t xml:space="preserve"> フジコーポ</t>
  </si>
  <si>
    <t xml:space="preserve"> 浜木綿</t>
  </si>
  <si>
    <t xml:space="preserve"> ダブルエー</t>
  </si>
  <si>
    <t xml:space="preserve"> ブシロード</t>
  </si>
  <si>
    <t xml:space="preserve"> プリントネット</t>
  </si>
  <si>
    <t xml:space="preserve"> クロスフォー</t>
  </si>
  <si>
    <t xml:space="preserve"> オービス</t>
  </si>
  <si>
    <t xml:space="preserve"> 総合商研</t>
  </si>
  <si>
    <t xml:space="preserve"> MICS化学</t>
  </si>
  <si>
    <t xml:space="preserve"> ミロク</t>
  </si>
  <si>
    <t xml:space="preserve"> ナイガイ</t>
  </si>
  <si>
    <t xml:space="preserve"> 正栄食</t>
  </si>
  <si>
    <t xml:space="preserve"> ファースト住</t>
  </si>
  <si>
    <t xml:space="preserve"> アルデプロ</t>
  </si>
  <si>
    <t xml:space="preserve"> 明豊エンター</t>
  </si>
  <si>
    <t xml:space="preserve"> いちごオフ</t>
  </si>
  <si>
    <t>724"</t>
  </si>
  <si>
    <t xml:space="preserve"> スターツPR</t>
  </si>
  <si>
    <t xml:space="preserve"> ギフト</t>
  </si>
  <si>
    <t xml:space="preserve"> ＯＳ映</t>
  </si>
  <si>
    <t xml:space="preserve"> 12/16</t>
  </si>
  <si>
    <t xml:space="preserve"> プロレド</t>
  </si>
  <si>
    <t xml:space="preserve"> 星野ＲＲ</t>
  </si>
  <si>
    <t>282"</t>
  </si>
  <si>
    <t xml:space="preserve"> インベスコ</t>
  </si>
  <si>
    <t>852"</t>
  </si>
  <si>
    <t xml:space="preserve"> トーセイ・リート</t>
  </si>
  <si>
    <t xml:space="preserve"> システムディ</t>
  </si>
  <si>
    <t xml:space="preserve"> パーク24</t>
  </si>
  <si>
    <t>039"</t>
  </si>
  <si>
    <t xml:space="preserve"> ウイルコHD</t>
  </si>
  <si>
    <t xml:space="preserve"> 12/17</t>
  </si>
  <si>
    <t xml:space="preserve"> アスクル</t>
  </si>
  <si>
    <t>652"</t>
  </si>
  <si>
    <t xml:space="preserve"> ツルハHD</t>
  </si>
  <si>
    <t>" 6</t>
  </si>
  <si>
    <t>418"</t>
  </si>
  <si>
    <t xml:space="preserve"> プレミア投</t>
  </si>
  <si>
    <t>135"</t>
  </si>
  <si>
    <t xml:space="preserve"> 12/18</t>
  </si>
  <si>
    <t xml:space="preserve"> カイカ</t>
  </si>
  <si>
    <t xml:space="preserve"> 12/19</t>
  </si>
  <si>
    <t xml:space="preserve"> 日ヘルスケア</t>
  </si>
  <si>
    <t xml:space="preserve"> 12/25</t>
  </si>
  <si>
    <t xml:space="preserve"> ＫＴＫ</t>
  </si>
  <si>
    <t xml:space="preserve"> NaITO</t>
  </si>
  <si>
    <t xml:space="preserve"> 12/26</t>
  </si>
  <si>
    <t xml:space="preserve"> 15:00</t>
  </si>
  <si>
    <t xml:space="preserve"> オプトエレクト</t>
  </si>
  <si>
    <t xml:space="preserve"> ハイデ日高</t>
  </si>
  <si>
    <t xml:space="preserve"> 瑞  光</t>
  </si>
  <si>
    <t xml:space="preserve"> フィードフォー</t>
  </si>
  <si>
    <t xml:space="preserve"> 宝印刷</t>
  </si>
  <si>
    <t xml:space="preserve"> タキヒヨー</t>
  </si>
  <si>
    <t xml:space="preserve"> 12/27</t>
  </si>
  <si>
    <t xml:space="preserve"> ソーバル</t>
  </si>
  <si>
    <t xml:space="preserve"> アダストリア</t>
  </si>
  <si>
    <t>264"</t>
  </si>
  <si>
    <t xml:space="preserve"> パイプドH</t>
  </si>
  <si>
    <t xml:space="preserve"> 日プロセス</t>
  </si>
  <si>
    <t xml:space="preserve"> 1/6</t>
  </si>
  <si>
    <t xml:space="preserve"> ダイセキソリュ</t>
  </si>
  <si>
    <t xml:space="preserve"> ダイセキ</t>
  </si>
  <si>
    <t>410"</t>
  </si>
  <si>
    <t xml:space="preserve"> 1/7</t>
  </si>
  <si>
    <t xml:space="preserve"> ハニーズHLD</t>
  </si>
  <si>
    <t xml:space="preserve"> 1/8</t>
  </si>
  <si>
    <t xml:space="preserve"> リソー教育</t>
  </si>
  <si>
    <t xml:space="preserve"> 1/9</t>
  </si>
  <si>
    <t xml:space="preserve"> キユーピー</t>
  </si>
  <si>
    <t>" 3</t>
  </si>
  <si>
    <t>729"</t>
  </si>
  <si>
    <t xml:space="preserve"> AFC-HD</t>
  </si>
  <si>
    <t xml:space="preserve"> フェリシモ</t>
  </si>
  <si>
    <t xml:space="preserve"> 毎コムネット</t>
  </si>
  <si>
    <t xml:space="preserve"> ファーストリテイ</t>
  </si>
  <si>
    <t>" 70</t>
  </si>
  <si>
    <t>571"</t>
  </si>
  <si>
    <t xml:space="preserve"> 1/10</t>
  </si>
  <si>
    <t xml:space="preserve"> SERIOHD</t>
  </si>
  <si>
    <t xml:space="preserve"> ビットワンG</t>
  </si>
  <si>
    <t xml:space="preserve"> ローソン</t>
  </si>
  <si>
    <t>068"</t>
  </si>
  <si>
    <t xml:space="preserve"> ブロッコリー</t>
  </si>
  <si>
    <t xml:space="preserve"> アレンザHD</t>
  </si>
  <si>
    <t xml:space="preserve"> PRTIMES</t>
  </si>
  <si>
    <t xml:space="preserve"> 日本エンタ</t>
  </si>
  <si>
    <t xml:space="preserve"> ベクトル</t>
  </si>
  <si>
    <t xml:space="preserve"> 岡野バル</t>
  </si>
  <si>
    <t xml:space="preserve"> ベイカレント</t>
  </si>
  <si>
    <t xml:space="preserve"> トーセイ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</si>
  <si>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</si>
  <si>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</si>
  <si>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</si>
  <si>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</si>
  <si>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</si>
  <si>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>844"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</si>
  <si>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</si>
  <si>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</si>
  <si>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</si>
  <si>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</si>
  <si>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</si>
  <si>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</si>
  <si>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</si>
  <si>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</si>
  <si>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>533"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</si>
  <si>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</si>
  <si>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</si>
  <si>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</si>
  <si>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</si>
  <si>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</si>
  <si>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</si>
  <si>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>404"</t>
  </si>
  <si>
    <t xml:space="preserve"> ネクスＧ</t>
  </si>
  <si>
    <t xml:space="preserve"> ティムコ</t>
  </si>
  <si>
    <t xml:space="preserve"> 1/23</t>
  </si>
  <si>
    <t xml:space="preserve"> ディスコ</t>
  </si>
  <si>
    <t>269"</t>
  </si>
  <si>
    <t xml:space="preserve"> 1/26</t>
  </si>
  <si>
    <t xml:space="preserve"> ＫＤＤＩ</t>
  </si>
  <si>
    <t>" 74</t>
  </si>
  <si>
    <t>336"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</si>
  <si>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</si>
  <si>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</si>
  <si>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</si>
  <si>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</si>
  <si>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</si>
  <si>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</si>
  <si>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</si>
  <si>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>462"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</si>
  <si>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</si>
  <si>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</si>
  <si>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</si>
  <si>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</si>
  <si>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</si>
  <si>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</si>
  <si>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</si>
  <si>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</si>
  <si>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</si>
  <si>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</si>
  <si>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</si>
  <si>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</si>
  <si>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</si>
  <si>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</si>
  <si>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</si>
  <si>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>096"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</si>
  <si>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</si>
  <si>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</si>
  <si>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</si>
  <si>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</si>
  <si>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</si>
  <si>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>204"</t>
  </si>
  <si>
    <t xml:space="preserve"> 豊田合</t>
  </si>
  <si>
    <t>440"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</si>
  <si>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</si>
  <si>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</si>
  <si>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</si>
  <si>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</si>
  <si>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</si>
  <si>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>350"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</si>
  <si>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</si>
  <si>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</si>
  <si>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</si>
  <si>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</si>
  <si>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</si>
  <si>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</si>
  <si>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</si>
  <si>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</si>
  <si>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>" 69</t>
  </si>
  <si>
    <t>659"</t>
  </si>
  <si>
    <t xml:space="preserve"> サーティワン</t>
  </si>
  <si>
    <t xml:space="preserve"> 日東工器</t>
  </si>
  <si>
    <t xml:space="preserve"> ノジマ</t>
  </si>
  <si>
    <t>156"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</si>
  <si>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</si>
  <si>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</si>
  <si>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</si>
  <si>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</si>
  <si>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</si>
  <si>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</si>
  <si>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</si>
  <si>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</si>
  <si>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>212"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</si>
  <si>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</si>
  <si>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</si>
  <si>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</si>
  <si>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</si>
  <si>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</si>
  <si>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</si>
  <si>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>779"</t>
  </si>
  <si>
    <t xml:space="preserve"> 不動テトラ</t>
  </si>
  <si>
    <t xml:space="preserve"> 東鉄工</t>
  </si>
  <si>
    <t>184"</t>
  </si>
  <si>
    <t xml:space="preserve"> 森　組</t>
  </si>
  <si>
    <t xml:space="preserve"> 日本ドライ</t>
  </si>
  <si>
    <t xml:space="preserve"> 三機工</t>
  </si>
  <si>
    <t xml:space="preserve"> 高砂熱</t>
  </si>
  <si>
    <t>522"</t>
  </si>
  <si>
    <t xml:space="preserve"> アリアケ</t>
  </si>
  <si>
    <t>618"</t>
  </si>
  <si>
    <t xml:space="preserve"> シキボウ</t>
  </si>
  <si>
    <t xml:space="preserve"> システムズD</t>
  </si>
  <si>
    <t xml:space="preserve"> ツムラ</t>
  </si>
  <si>
    <t>510"</t>
  </si>
  <si>
    <t xml:space="preserve"> オンコリス</t>
  </si>
  <si>
    <t xml:space="preserve"> ガーラ</t>
  </si>
  <si>
    <t xml:space="preserve"> 住友鉱</t>
  </si>
  <si>
    <t>885"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</si>
  <si>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</si>
  <si>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</si>
  <si>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</si>
  <si>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</si>
  <si>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</si>
  <si>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</si>
  <si>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</si>
  <si>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>300"</t>
  </si>
  <si>
    <t xml:space="preserve"> ヤマエ久</t>
  </si>
  <si>
    <t xml:space="preserve"> 福証</t>
  </si>
  <si>
    <t xml:space="preserve"> 2/12</t>
  </si>
  <si>
    <t xml:space="preserve"> 高松Ｇ</t>
  </si>
  <si>
    <t>078"</t>
  </si>
  <si>
    <t xml:space="preserve"> 三住建設</t>
  </si>
  <si>
    <t xml:space="preserve"> 大戸屋HD</t>
  </si>
  <si>
    <t xml:space="preserve"> ＤＯＷＡ</t>
  </si>
  <si>
    <t>449"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</si>
  <si>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</si>
  <si>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</si>
  <si>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</si>
  <si>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</si>
  <si>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</si>
  <si>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</si>
  <si>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</si>
  <si>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</si>
  <si>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</si>
  <si>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</si>
  <si>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</si>
  <si>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</si>
  <si>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>413"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</si>
  <si>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</si>
  <si>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</si>
  <si>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</si>
  <si>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</si>
  <si>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>643"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</si>
  <si>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</si>
  <si>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</si>
  <si>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</si>
  <si>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</si>
  <si>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</si>
  <si>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>170"</t>
  </si>
  <si>
    <t xml:space="preserve"> 日阪製</t>
  </si>
  <si>
    <t xml:space="preserve"> プレミアG</t>
  </si>
  <si>
    <t xml:space="preserve"> 2/20</t>
  </si>
  <si>
    <t xml:space="preserve"> ＪＨＲ</t>
  </si>
  <si>
    <t>980"</t>
  </si>
  <si>
    <t xml:space="preserve"> 01月下旬</t>
  </si>
  <si>
    <t xml:space="preserve"> 日本電技</t>
  </si>
  <si>
    <t xml:space="preserve"> 中電工</t>
  </si>
  <si>
    <t>491"</t>
  </si>
  <si>
    <t xml:space="preserve"> トーエネク</t>
  </si>
  <si>
    <t xml:space="preserve"> 九電工</t>
  </si>
  <si>
    <t>551"</t>
  </si>
  <si>
    <t xml:space="preserve"> クエスト</t>
  </si>
  <si>
    <t xml:space="preserve"> ありがと</t>
  </si>
  <si>
    <t xml:space="preserve"> 野村不HD</t>
  </si>
  <si>
    <t>033"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</si>
  <si>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</si>
  <si>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</si>
  <si>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</si>
  <si>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</si>
  <si>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</si>
  <si>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>392"</t>
  </si>
  <si>
    <t xml:space="preserve"> ＺＨＤ</t>
  </si>
  <si>
    <t>" 18</t>
  </si>
  <si>
    <t>904"</t>
  </si>
  <si>
    <t xml:space="preserve"> 赤阪鉄</t>
  </si>
  <si>
    <t xml:space="preserve"> 豊田織機</t>
  </si>
  <si>
    <t>" 21</t>
  </si>
  <si>
    <t>082"</t>
  </si>
  <si>
    <t xml:space="preserve"> コマツ</t>
  </si>
  <si>
    <t>" 25</t>
  </si>
  <si>
    <t>375"</t>
  </si>
  <si>
    <t xml:space="preserve"> タダノ</t>
  </si>
  <si>
    <t>351"</t>
  </si>
  <si>
    <t xml:space="preserve"> オムロン</t>
  </si>
  <si>
    <t xml:space="preserve"> 日本トリム</t>
  </si>
  <si>
    <t xml:space="preserve"> エクセディ</t>
  </si>
  <si>
    <t>189"</t>
  </si>
  <si>
    <t xml:space="preserve"> バルカー</t>
  </si>
  <si>
    <t xml:space="preserve"> H2Oリテイル</t>
  </si>
  <si>
    <t>549"</t>
  </si>
  <si>
    <t xml:space="preserve"> あおぞら</t>
  </si>
  <si>
    <t xml:space="preserve"> 銀行業</t>
  </si>
  <si>
    <t>323"</t>
  </si>
  <si>
    <t xml:space="preserve"> ＡＮＡ</t>
  </si>
  <si>
    <t xml:space="preserve"> 空運業</t>
  </si>
  <si>
    <t>051"</t>
  </si>
  <si>
    <t xml:space="preserve"> ゼンリン</t>
  </si>
  <si>
    <t xml:space="preserve"> 中部電</t>
  </si>
  <si>
    <t xml:space="preserve"> 電気・ガス業</t>
  </si>
  <si>
    <t>" 11</t>
  </si>
  <si>
    <t>601"</t>
  </si>
  <si>
    <t xml:space="preserve"> 中国電</t>
  </si>
  <si>
    <t>395"</t>
  </si>
  <si>
    <t xml:space="preserve"> 東ガス</t>
  </si>
  <si>
    <t>537"</t>
  </si>
  <si>
    <t xml:space="preserve"> ＳＣＳＫ</t>
  </si>
  <si>
    <t>959"</t>
  </si>
  <si>
    <t xml:space="preserve"> 王将フード</t>
  </si>
  <si>
    <t>542"</t>
  </si>
  <si>
    <t xml:space="preserve"> 01月上旬</t>
  </si>
  <si>
    <t xml:space="preserve"> ファーストコポ</t>
  </si>
  <si>
    <t xml:space="preserve"> サーラ</t>
  </si>
  <si>
    <t xml:space="preserve"> 黒　谷</t>
  </si>
  <si>
    <t xml:space="preserve"> ネクステージ</t>
  </si>
  <si>
    <t xml:space="preserve"> メディ一光</t>
  </si>
  <si>
    <t xml:space="preserve"> 7&amp;I-HD</t>
  </si>
  <si>
    <t>" 36</t>
  </si>
  <si>
    <t xml:space="preserve"> Fブラザース</t>
  </si>
  <si>
    <t xml:space="preserve"> リックソフト</t>
  </si>
  <si>
    <t xml:space="preserve"> 東海ソフト</t>
  </si>
  <si>
    <t xml:space="preserve"> Sansan</t>
  </si>
  <si>
    <t>424"</t>
  </si>
  <si>
    <t xml:space="preserve"> マルマエ</t>
  </si>
  <si>
    <t xml:space="preserve"> 中北製</t>
  </si>
  <si>
    <t xml:space="preserve"> ４℃ＨＤ</t>
  </si>
  <si>
    <t xml:space="preserve"> ワキタ</t>
  </si>
  <si>
    <t xml:space="preserve"> 01月中旬</t>
  </si>
  <si>
    <t xml:space="preserve"> サカタのタネ</t>
  </si>
  <si>
    <t>721"</t>
  </si>
  <si>
    <t xml:space="preserve"> 日本国土</t>
  </si>
  <si>
    <t xml:space="preserve"> 柿安本店</t>
  </si>
  <si>
    <t xml:space="preserve"> ドーン</t>
  </si>
  <si>
    <t xml:space="preserve"> ライク</t>
  </si>
  <si>
    <t xml:space="preserve"> キャンドゥ</t>
  </si>
  <si>
    <t xml:space="preserve"> 東武住販</t>
  </si>
  <si>
    <t xml:space="preserve"> バイク王</t>
  </si>
  <si>
    <t xml:space="preserve"> クリレスHD</t>
  </si>
  <si>
    <t>780"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</si>
  <si>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</si>
  <si>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</si>
  <si>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</si>
  <si>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</si>
  <si>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</si>
  <si>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ヴィッツ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</si>
  <si>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</si>
  <si>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</si>
  <si>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</si>
  <si>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</si>
  <si>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</si>
  <si>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</si>
  <si>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</si>
  <si>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</si>
  <si>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</si>
  <si>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</si>
  <si>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</si>
  <si>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>745"</t>
  </si>
  <si>
    <t xml:space="preserve"> 鹿　島</t>
  </si>
  <si>
    <t>" 7</t>
  </si>
  <si>
    <t xml:space="preserve"> 前田建</t>
  </si>
  <si>
    <t>934"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</si>
  <si>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</si>
  <si>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</si>
  <si>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</si>
  <si>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</si>
  <si>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</si>
  <si>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</si>
  <si>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</si>
  <si>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</si>
  <si>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</si>
  <si>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</si>
  <si>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</si>
  <si>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</si>
  <si>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</si>
  <si>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</si>
  <si>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</si>
  <si>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</si>
  <si>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</si>
  <si>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</si>
  <si>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</si>
  <si>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</si>
  <si>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</si>
  <si>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</si>
  <si>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</si>
  <si>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>023"</t>
  </si>
  <si>
    <t xml:space="preserve"> 日信工業</t>
  </si>
  <si>
    <t>457"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</si>
  <si>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</si>
  <si>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</si>
  <si>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</si>
  <si>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</si>
  <si>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</si>
  <si>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</si>
  <si>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</si>
  <si>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</si>
  <si>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</si>
  <si>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</si>
  <si>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</si>
  <si>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>556"</t>
  </si>
  <si>
    <t xml:space="preserve"> 上　組</t>
  </si>
  <si>
    <t xml:space="preserve"> 倉庫運輸関連</t>
  </si>
  <si>
    <t>340"</t>
  </si>
  <si>
    <t xml:space="preserve"> NTTデータ</t>
  </si>
  <si>
    <t>" 20</t>
  </si>
  <si>
    <t>995"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</si>
  <si>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</si>
  <si>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</si>
  <si>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</si>
  <si>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</si>
  <si>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</si>
  <si>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</si>
  <si>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</si>
  <si>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</si>
  <si>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>" 15</t>
  </si>
  <si>
    <t>471"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</si>
  <si>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</si>
  <si>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</si>
  <si>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</si>
  <si>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</si>
  <si>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</si>
  <si>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</si>
  <si>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</si>
  <si>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</si>
  <si>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</si>
  <si>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</si>
  <si>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</si>
  <si>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</si>
  <si>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</si>
  <si>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</si>
  <si>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</si>
  <si>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</si>
  <si>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</si>
  <si>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</si>
  <si>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</si>
  <si>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</si>
  <si>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</si>
  <si>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</si>
  <si>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</si>
  <si>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</si>
  <si>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>848"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</si>
  <si>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</si>
  <si>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</si>
  <si>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</si>
  <si>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</si>
  <si>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</si>
  <si>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</si>
  <si>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</si>
  <si>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</si>
  <si>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</si>
  <si>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</si>
  <si>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</si>
  <si>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</si>
  <si>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</si>
  <si>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</si>
  <si>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</si>
  <si>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</si>
  <si>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</si>
  <si>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</si>
  <si>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</si>
  <si>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</si>
  <si>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</si>
  <si>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</si>
  <si>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</si>
  <si>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</si>
  <si>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</si>
  <si>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</si>
  <si>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</si>
  <si>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>211"</t>
  </si>
  <si>
    <t xml:space="preserve"> いちごホテ</t>
  </si>
  <si>
    <t xml:space="preserve"> 04月中旬</t>
  </si>
  <si>
    <t xml:space="preserve"> ＧＬＰ</t>
  </si>
  <si>
    <t>401"</t>
  </si>
  <si>
    <t xml:space="preserve"> ラサールロジ</t>
  </si>
  <si>
    <t>215"</t>
  </si>
  <si>
    <t xml:space="preserve"> 12月下旬</t>
  </si>
  <si>
    <t xml:space="preserve"> YE DIGIT</t>
  </si>
  <si>
    <t xml:space="preserve"> 大　光</t>
  </si>
  <si>
    <t xml:space="preserve"> 壱番屋</t>
  </si>
  <si>
    <t>628"</t>
  </si>
  <si>
    <t xml:space="preserve"> 三益半</t>
  </si>
  <si>
    <t xml:space="preserve"> オークワ</t>
  </si>
  <si>
    <t xml:space="preserve"> しまむら</t>
  </si>
  <si>
    <t>451"</t>
  </si>
  <si>
    <t xml:space="preserve"> 12月上旬</t>
  </si>
  <si>
    <t xml:space="preserve"> OSGコーポ</t>
  </si>
  <si>
    <t xml:space="preserve"> 12月中旬</t>
  </si>
  <si>
    <t xml:space="preserve"> コーセル</t>
  </si>
</sst>
</file>

<file path=xl/styles.xml><?xml version="1.0" encoding="utf-8"?>
<styleSheet xmlns="http://schemas.openxmlformats.org/spreadsheetml/2006/main">
  <numFmts count="10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  <numFmt numFmtId="181" formatCode="0_ "/>
    <numFmt numFmtId="182" formatCode="0_);[Red]\(0\)"/>
    <numFmt numFmtId="183" formatCode="0_ ;[Red]\-0\ "/>
    <numFmt numFmtId="184" formatCode="&quot;¥&quot;#,##0"/>
  </numFmts>
  <fonts count="37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sz val="11"/>
      <color rgb="FF000000"/>
      <name val="FangSong"/>
      <family val="3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sz val="10"/>
      <color theme="4"/>
      <name val="FangSong"/>
      <family val="3"/>
      <charset val="134"/>
    </font>
    <font>
      <b/>
      <sz val="8"/>
      <color theme="3" tint="0.59999389629810485"/>
      <name val="Tahoma"/>
      <family val="2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0"/>
      <color theme="3" tint="0.39997558519241921"/>
      <name val="Tahoma"/>
      <family val="2"/>
    </font>
    <font>
      <sz val="11"/>
      <color rgb="FFFF0000"/>
      <name val="Tahoma"/>
      <family val="2"/>
      <charset val="134"/>
    </font>
  </fonts>
  <fills count="2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1" fillId="0" borderId="0" applyNumberFormat="0" applyFill="0" applyBorder="0" applyAlignment="0" applyProtection="0">
      <alignment vertical="top"/>
      <protection locked="0"/>
    </xf>
  </cellStyleXfs>
  <cellXfs count="236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3" borderId="1" xfId="0" applyFont="1" applyFill="1" applyBorder="1"/>
    <xf numFmtId="14" fontId="2" fillId="0" borderId="1" xfId="0" applyNumberFormat="1" applyFont="1" applyBorder="1"/>
    <xf numFmtId="0" fontId="0" fillId="5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6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2" fillId="2" borderId="0" xfId="0" applyFont="1" applyFill="1"/>
    <xf numFmtId="0" fontId="2" fillId="8" borderId="0" xfId="0" applyFont="1" applyFill="1"/>
    <xf numFmtId="0" fontId="2" fillId="8" borderId="1" xfId="0" applyFont="1" applyFill="1" applyBorder="1"/>
    <xf numFmtId="14" fontId="0" fillId="2" borderId="1" xfId="0" applyNumberFormat="1" applyFill="1" applyBorder="1"/>
    <xf numFmtId="0" fontId="0" fillId="2" borderId="1" xfId="0" applyFill="1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14" borderId="1" xfId="0" applyFill="1" applyBorder="1"/>
    <xf numFmtId="0" fontId="0" fillId="15" borderId="1" xfId="0" applyFill="1" applyBorder="1"/>
    <xf numFmtId="181" fontId="0" fillId="15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79" fontId="0" fillId="15" borderId="1" xfId="0" applyNumberFormat="1" applyFill="1" applyBorder="1"/>
    <xf numFmtId="0" fontId="10" fillId="0" borderId="0" xfId="0" applyFont="1"/>
    <xf numFmtId="0" fontId="11" fillId="0" borderId="0" xfId="0" applyFont="1"/>
    <xf numFmtId="0" fontId="16" fillId="4" borderId="6" xfId="0" applyFont="1" applyFill="1" applyBorder="1" applyAlignment="1">
      <alignment horizontal="center"/>
    </xf>
    <xf numFmtId="178" fontId="16" fillId="4" borderId="6" xfId="0" applyNumberFormat="1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/>
    </xf>
    <xf numFmtId="178" fontId="16" fillId="10" borderId="1" xfId="0" applyNumberFormat="1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/>
    </xf>
    <xf numFmtId="178" fontId="16" fillId="4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/>
    </xf>
    <xf numFmtId="0" fontId="10" fillId="10" borderId="1" xfId="0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179" fontId="16" fillId="4" borderId="6" xfId="0" applyNumberFormat="1" applyFont="1" applyFill="1" applyBorder="1" applyAlignment="1">
      <alignment horizontal="center"/>
    </xf>
    <xf numFmtId="179" fontId="16" fillId="10" borderId="1" xfId="0" applyNumberFormat="1" applyFont="1" applyFill="1" applyBorder="1" applyAlignment="1">
      <alignment horizontal="center"/>
    </xf>
    <xf numFmtId="179" fontId="16" fillId="4" borderId="1" xfId="0" applyNumberFormat="1" applyFont="1" applyFill="1" applyBorder="1" applyAlignment="1">
      <alignment horizontal="center"/>
    </xf>
    <xf numFmtId="180" fontId="16" fillId="4" borderId="6" xfId="0" applyNumberFormat="1" applyFont="1" applyFill="1" applyBorder="1" applyAlignment="1">
      <alignment horizontal="center"/>
    </xf>
    <xf numFmtId="6" fontId="16" fillId="4" borderId="6" xfId="0" applyNumberFormat="1" applyFont="1" applyFill="1" applyBorder="1" applyAlignment="1">
      <alignment horizontal="center"/>
    </xf>
    <xf numFmtId="10" fontId="16" fillId="4" borderId="6" xfId="0" applyNumberFormat="1" applyFont="1" applyFill="1" applyBorder="1" applyAlignment="1">
      <alignment horizontal="center"/>
    </xf>
    <xf numFmtId="180" fontId="16" fillId="10" borderId="1" xfId="0" applyNumberFormat="1" applyFont="1" applyFill="1" applyBorder="1" applyAlignment="1">
      <alignment horizontal="center"/>
    </xf>
    <xf numFmtId="6" fontId="16" fillId="10" borderId="1" xfId="0" applyNumberFormat="1" applyFont="1" applyFill="1" applyBorder="1" applyAlignment="1">
      <alignment horizontal="center"/>
    </xf>
    <xf numFmtId="10" fontId="16" fillId="10" borderId="1" xfId="0" applyNumberFormat="1" applyFont="1" applyFill="1" applyBorder="1" applyAlignment="1">
      <alignment horizontal="center"/>
    </xf>
    <xf numFmtId="180" fontId="16" fillId="4" borderId="1" xfId="0" applyNumberFormat="1" applyFont="1" applyFill="1" applyBorder="1" applyAlignment="1">
      <alignment horizontal="center"/>
    </xf>
    <xf numFmtId="6" fontId="16" fillId="4" borderId="1" xfId="0" applyNumberFormat="1" applyFont="1" applyFill="1" applyBorder="1" applyAlignment="1">
      <alignment horizontal="center"/>
    </xf>
    <xf numFmtId="10" fontId="16" fillId="4" borderId="1" xfId="0" applyNumberFormat="1" applyFont="1" applyFill="1" applyBorder="1" applyAlignment="1">
      <alignment horizontal="center"/>
    </xf>
    <xf numFmtId="0" fontId="17" fillId="4" borderId="6" xfId="0" applyFont="1" applyFill="1" applyBorder="1" applyAlignment="1">
      <alignment horizontal="center" shrinkToFit="1"/>
    </xf>
    <xf numFmtId="0" fontId="10" fillId="4" borderId="6" xfId="0" applyFont="1" applyFill="1" applyBorder="1" applyAlignment="1">
      <alignment horizontal="left" shrinkToFit="1"/>
    </xf>
    <xf numFmtId="0" fontId="17" fillId="10" borderId="6" xfId="0" applyFont="1" applyFill="1" applyBorder="1" applyAlignment="1">
      <alignment horizontal="left" shrinkToFit="1"/>
    </xf>
    <xf numFmtId="0" fontId="17" fillId="4" borderId="6" xfId="0" applyFont="1" applyFill="1" applyBorder="1" applyAlignment="1">
      <alignment horizontal="left" shrinkToFit="1"/>
    </xf>
    <xf numFmtId="0" fontId="18" fillId="0" borderId="0" xfId="0" applyFont="1"/>
    <xf numFmtId="0" fontId="21" fillId="0" borderId="0" xfId="0" applyFont="1"/>
    <xf numFmtId="0" fontId="13" fillId="9" borderId="13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5" xfId="0" applyFont="1" applyFill="1" applyBorder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5" fillId="9" borderId="17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4" fillId="9" borderId="15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left" wrapText="1" indent="1"/>
    </xf>
    <xf numFmtId="0" fontId="24" fillId="0" borderId="21" xfId="0" applyFont="1" applyBorder="1" applyAlignment="1">
      <alignment horizontal="left" wrapText="1"/>
    </xf>
    <xf numFmtId="0" fontId="23" fillId="16" borderId="22" xfId="0" applyFont="1" applyFill="1" applyBorder="1" applyAlignment="1">
      <alignment horizontal="center" vertical="center" wrapText="1"/>
    </xf>
    <xf numFmtId="0" fontId="23" fillId="16" borderId="23" xfId="0" applyFont="1" applyFill="1" applyBorder="1" applyAlignment="1">
      <alignment horizontal="center" vertical="center" wrapText="1"/>
    </xf>
    <xf numFmtId="0" fontId="22" fillId="17" borderId="24" xfId="0" applyFont="1" applyFill="1" applyBorder="1" applyAlignment="1">
      <alignment horizontal="left" wrapText="1"/>
    </xf>
    <xf numFmtId="0" fontId="22" fillId="15" borderId="24" xfId="0" applyFont="1" applyFill="1" applyBorder="1" applyAlignment="1">
      <alignment horizontal="left" wrapText="1"/>
    </xf>
    <xf numFmtId="0" fontId="24" fillId="15" borderId="21" xfId="0" applyFont="1" applyFill="1" applyBorder="1" applyAlignment="1">
      <alignment horizontal="left" wrapText="1"/>
    </xf>
    <xf numFmtId="0" fontId="22" fillId="18" borderId="24" xfId="0" applyFont="1" applyFill="1" applyBorder="1" applyAlignment="1">
      <alignment horizontal="left" wrapText="1"/>
    </xf>
    <xf numFmtId="0" fontId="24" fillId="18" borderId="21" xfId="0" applyFont="1" applyFill="1" applyBorder="1" applyAlignment="1">
      <alignment horizontal="left" wrapText="1"/>
    </xf>
    <xf numFmtId="0" fontId="25" fillId="0" borderId="0" xfId="0" applyFont="1"/>
    <xf numFmtId="0" fontId="24" fillId="0" borderId="25" xfId="0" applyFont="1" applyBorder="1" applyAlignment="1">
      <alignment horizontal="left" vertical="center" wrapText="1"/>
    </xf>
    <xf numFmtId="0" fontId="22" fillId="17" borderId="26" xfId="0" applyFont="1" applyFill="1" applyBorder="1" applyAlignment="1">
      <alignment horizontal="left" wrapText="1"/>
    </xf>
    <xf numFmtId="0" fontId="26" fillId="21" borderId="21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20" borderId="21" xfId="0" applyFont="1" applyFill="1" applyBorder="1" applyAlignment="1">
      <alignment horizontal="left" vertical="center" wrapText="1"/>
    </xf>
    <xf numFmtId="0" fontId="26" fillId="22" borderId="21" xfId="0" applyFont="1" applyFill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0" fillId="0" borderId="32" xfId="0" applyBorder="1"/>
    <xf numFmtId="0" fontId="26" fillId="16" borderId="24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15" borderId="25" xfId="0" applyFont="1" applyFill="1" applyBorder="1" applyAlignment="1">
      <alignment horizontal="left" vertical="center" wrapText="1"/>
    </xf>
    <xf numFmtId="10" fontId="20" fillId="0" borderId="20" xfId="0" applyNumberFormat="1" applyFont="1" applyBorder="1"/>
    <xf numFmtId="0" fontId="15" fillId="9" borderId="15" xfId="0" applyFont="1" applyFill="1" applyBorder="1" applyAlignment="1">
      <alignment horizontal="center" vertical="center" wrapText="1"/>
    </xf>
    <xf numFmtId="0" fontId="29" fillId="10" borderId="1" xfId="0" applyFont="1" applyFill="1" applyBorder="1" applyAlignment="1">
      <alignment horizontal="center"/>
    </xf>
    <xf numFmtId="6" fontId="30" fillId="0" borderId="13" xfId="0" applyNumberFormat="1" applyFont="1" applyBorder="1"/>
    <xf numFmtId="184" fontId="20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20" fillId="0" borderId="38" xfId="0" applyFont="1" applyBorder="1"/>
    <xf numFmtId="0" fontId="0" fillId="0" borderId="38" xfId="0" applyBorder="1"/>
    <xf numFmtId="0" fontId="16" fillId="10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9" fillId="12" borderId="11" xfId="0" applyFont="1" applyFill="1" applyBorder="1" applyAlignment="1">
      <alignment horizontal="center" vertical="center" wrapText="1"/>
    </xf>
    <xf numFmtId="0" fontId="3" fillId="11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/>
    </xf>
    <xf numFmtId="0" fontId="8" fillId="5" borderId="8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7" fillId="7" borderId="11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 wrapText="1"/>
    </xf>
    <xf numFmtId="0" fontId="7" fillId="13" borderId="10" xfId="0" applyFont="1" applyFill="1" applyBorder="1" applyAlignment="1">
      <alignment horizontal="center" vertical="center"/>
    </xf>
    <xf numFmtId="0" fontId="7" fillId="13" borderId="11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0" fontId="31" fillId="0" borderId="0" xfId="1" applyAlignment="1" applyProtection="1"/>
    <xf numFmtId="0" fontId="7" fillId="11" borderId="11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 wrapText="1"/>
    </xf>
    <xf numFmtId="183" fontId="20" fillId="0" borderId="19" xfId="0" applyNumberFormat="1" applyFont="1" applyBorder="1"/>
    <xf numFmtId="0" fontId="16" fillId="4" borderId="39" xfId="0" applyFont="1" applyFill="1" applyBorder="1" applyAlignment="1">
      <alignment horizontal="center"/>
    </xf>
    <xf numFmtId="0" fontId="16" fillId="10" borderId="39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49" fontId="0" fillId="0" borderId="0" xfId="0" applyNumberFormat="1"/>
    <xf numFmtId="0" fontId="0" fillId="24" borderId="0" xfId="0" applyFill="1"/>
    <xf numFmtId="0" fontId="36" fillId="24" borderId="0" xfId="0" applyFont="1" applyFill="1"/>
    <xf numFmtId="49" fontId="0" fillId="24" borderId="0" xfId="0" applyNumberFormat="1" applyFill="1"/>
    <xf numFmtId="0" fontId="31" fillId="24" borderId="0" xfId="1" applyFill="1" applyAlignment="1" applyProtection="1"/>
    <xf numFmtId="0" fontId="11" fillId="10" borderId="1" xfId="0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left" vertical="center"/>
    </xf>
    <xf numFmtId="177" fontId="16" fillId="10" borderId="6" xfId="0" applyNumberFormat="1" applyFont="1" applyFill="1" applyBorder="1" applyAlignment="1">
      <alignment horizontal="left" vertical="center"/>
    </xf>
    <xf numFmtId="183" fontId="16" fillId="10" borderId="1" xfId="0" applyNumberFormat="1" applyFont="1" applyFill="1" applyBorder="1" applyAlignment="1">
      <alignment horizontal="center" vertical="center"/>
    </xf>
    <xf numFmtId="10" fontId="16" fillId="10" borderId="1" xfId="0" applyNumberFormat="1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14" fontId="11" fillId="10" borderId="1" xfId="0" applyNumberFormat="1" applyFont="1" applyFill="1" applyBorder="1" applyAlignment="1">
      <alignment horizontal="center" vertical="center"/>
    </xf>
    <xf numFmtId="14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6" fillId="10" borderId="6" xfId="0" applyFont="1" applyFill="1" applyBorder="1" applyAlignment="1">
      <alignment horizontal="center" vertical="center"/>
    </xf>
    <xf numFmtId="0" fontId="33" fillId="10" borderId="6" xfId="0" applyFont="1" applyFill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182" fontId="27" fillId="10" borderId="1" xfId="0" applyNumberFormat="1" applyFont="1" applyFill="1" applyBorder="1" applyAlignment="1">
      <alignment horizontal="center" vertical="center"/>
    </xf>
    <xf numFmtId="0" fontId="11" fillId="10" borderId="14" xfId="0" applyFont="1" applyFill="1" applyBorder="1" applyAlignment="1">
      <alignment horizontal="center" vertical="center"/>
    </xf>
    <xf numFmtId="183" fontId="16" fillId="10" borderId="6" xfId="0" applyNumberFormat="1" applyFont="1" applyFill="1" applyBorder="1" applyAlignment="1">
      <alignment horizontal="center" vertical="center"/>
    </xf>
    <xf numFmtId="10" fontId="16" fillId="10" borderId="6" xfId="0" applyNumberFormat="1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center" vertical="center"/>
    </xf>
    <xf numFmtId="177" fontId="16" fillId="10" borderId="6" xfId="0" applyNumberFormat="1" applyFont="1" applyFill="1" applyBorder="1" applyAlignment="1">
      <alignment horizontal="center" vertical="center"/>
    </xf>
    <xf numFmtId="14" fontId="11" fillId="10" borderId="5" xfId="0" applyNumberFormat="1" applyFont="1" applyFill="1" applyBorder="1" applyAlignment="1">
      <alignment horizontal="center" vertical="center"/>
    </xf>
    <xf numFmtId="14" fontId="11" fillId="10" borderId="6" xfId="0" applyNumberFormat="1" applyFont="1" applyFill="1" applyBorder="1" applyAlignment="1">
      <alignment horizontal="center" vertical="center"/>
    </xf>
    <xf numFmtId="182" fontId="34" fillId="10" borderId="5" xfId="0" applyNumberFormat="1" applyFont="1" applyFill="1" applyBorder="1" applyAlignment="1">
      <alignment horizontal="center" vertical="center"/>
    </xf>
    <xf numFmtId="182" fontId="34" fillId="10" borderId="6" xfId="0" applyNumberFormat="1" applyFont="1" applyFill="1" applyBorder="1" applyAlignment="1">
      <alignment horizontal="center" vertical="center"/>
    </xf>
    <xf numFmtId="177" fontId="16" fillId="10" borderId="5" xfId="0" applyNumberFormat="1" applyFont="1" applyFill="1" applyBorder="1" applyAlignment="1">
      <alignment horizontal="center" vertical="center"/>
    </xf>
    <xf numFmtId="177" fontId="16" fillId="10" borderId="18" xfId="0" applyNumberFormat="1" applyFont="1" applyFill="1" applyBorder="1" applyAlignment="1">
      <alignment horizontal="center" vertical="center"/>
    </xf>
    <xf numFmtId="0" fontId="16" fillId="10" borderId="5" xfId="0" applyFont="1" applyFill="1" applyBorder="1" applyAlignment="1">
      <alignment horizontal="center" vertical="center"/>
    </xf>
    <xf numFmtId="14" fontId="16" fillId="10" borderId="18" xfId="0" applyNumberFormat="1" applyFont="1" applyFill="1" applyBorder="1" applyAlignment="1">
      <alignment horizontal="center" vertical="center"/>
    </xf>
    <xf numFmtId="14" fontId="16" fillId="10" borderId="14" xfId="0" applyNumberFormat="1" applyFont="1" applyFill="1" applyBorder="1" applyAlignment="1">
      <alignment horizontal="center" vertical="center"/>
    </xf>
    <xf numFmtId="182" fontId="35" fillId="10" borderId="5" xfId="0" applyNumberFormat="1" applyFont="1" applyFill="1" applyBorder="1" applyAlignment="1">
      <alignment horizontal="center" vertical="center"/>
    </xf>
    <xf numFmtId="182" fontId="35" fillId="10" borderId="6" xfId="0" applyNumberFormat="1" applyFont="1" applyFill="1" applyBorder="1" applyAlignment="1">
      <alignment horizontal="center" vertical="center"/>
    </xf>
    <xf numFmtId="182" fontId="27" fillId="10" borderId="18" xfId="0" applyNumberFormat="1" applyFont="1" applyFill="1" applyBorder="1" applyAlignment="1">
      <alignment horizontal="center" vertical="center"/>
    </xf>
    <xf numFmtId="182" fontId="27" fillId="10" borderId="14" xfId="0" applyNumberFormat="1" applyFont="1" applyFill="1" applyBorder="1" applyAlignment="1">
      <alignment horizontal="center" vertical="center"/>
    </xf>
    <xf numFmtId="182" fontId="16" fillId="10" borderId="18" xfId="0" applyNumberFormat="1" applyFont="1" applyFill="1" applyBorder="1" applyAlignment="1">
      <alignment horizontal="center" vertical="center"/>
    </xf>
    <xf numFmtId="182" fontId="16" fillId="10" borderId="14" xfId="0" applyNumberFormat="1" applyFont="1" applyFill="1" applyBorder="1" applyAlignment="1">
      <alignment horizontal="center" vertical="center"/>
    </xf>
    <xf numFmtId="14" fontId="16" fillId="10" borderId="1" xfId="0" applyNumberFormat="1" applyFont="1" applyFill="1" applyBorder="1" applyAlignment="1">
      <alignment horizontal="center" vertical="center"/>
    </xf>
    <xf numFmtId="182" fontId="16" fillId="10" borderId="1" xfId="0" applyNumberFormat="1" applyFont="1" applyFill="1" applyBorder="1" applyAlignment="1">
      <alignment horizontal="center" vertical="center"/>
    </xf>
    <xf numFmtId="14" fontId="2" fillId="0" borderId="4" xfId="0" applyNumberFormat="1" applyFont="1" applyBorder="1" applyAlignment="1"/>
    <xf numFmtId="0" fontId="0" fillId="0" borderId="0" xfId="0" applyBorder="1" applyAlignment="1"/>
    <xf numFmtId="0" fontId="0" fillId="0" borderId="0" xfId="0" applyAlignment="1"/>
    <xf numFmtId="0" fontId="3" fillId="13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6" fillId="12" borderId="7" xfId="0" applyFont="1" applyFill="1" applyBorder="1" applyAlignment="1">
      <alignment horizontal="left"/>
    </xf>
    <xf numFmtId="0" fontId="3" fillId="11" borderId="7" xfId="0" applyFont="1" applyFill="1" applyBorder="1" applyAlignment="1">
      <alignment horizontal="left" vertical="center"/>
    </xf>
    <xf numFmtId="0" fontId="3" fillId="7" borderId="7" xfId="0" applyFont="1" applyFill="1" applyBorder="1" applyAlignment="1">
      <alignment horizontal="left"/>
    </xf>
    <xf numFmtId="0" fontId="2" fillId="2" borderId="0" xfId="0" applyFont="1" applyFill="1" applyAlignment="1"/>
    <xf numFmtId="0" fontId="32" fillId="0" borderId="0" xfId="0" applyFont="1" applyAlignment="1">
      <alignment horizontal="center" vertical="center"/>
    </xf>
    <xf numFmtId="0" fontId="24" fillId="23" borderId="27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0" borderId="29" xfId="0" applyFont="1" applyBorder="1" applyAlignment="1">
      <alignment horizontal="left" vertical="center" wrapText="1"/>
    </xf>
    <xf numFmtId="0" fontId="24" fillId="0" borderId="32" xfId="0" applyFont="1" applyBorder="1" applyAlignment="1">
      <alignment horizontal="left" vertical="center" wrapText="1"/>
    </xf>
    <xf numFmtId="0" fontId="24" fillId="0" borderId="30" xfId="0" applyFont="1" applyBorder="1" applyAlignment="1">
      <alignment horizontal="left" vertical="center" wrapText="1"/>
    </xf>
    <xf numFmtId="0" fontId="24" fillId="0" borderId="35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25" xfId="0" applyFont="1" applyBorder="1" applyAlignment="1">
      <alignment horizontal="left" vertical="center" wrapText="1"/>
    </xf>
    <xf numFmtId="0" fontId="24" fillId="0" borderId="33" xfId="0" applyFont="1" applyBorder="1" applyAlignment="1">
      <alignment horizontal="left" vertical="center" wrapText="1"/>
    </xf>
    <xf numFmtId="0" fontId="24" fillId="0" borderId="28" xfId="0" applyFont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24" fillId="0" borderId="27" xfId="0" applyFont="1" applyBorder="1" applyAlignment="1">
      <alignment horizontal="left" vertical="center" wrapText="1"/>
    </xf>
    <xf numFmtId="0" fontId="24" fillId="0" borderId="24" xfId="0" applyFont="1" applyBorder="1" applyAlignment="1">
      <alignment horizontal="left" vertical="center" wrapText="1"/>
    </xf>
    <xf numFmtId="0" fontId="24" fillId="15" borderId="27" xfId="0" applyFont="1" applyFill="1" applyBorder="1" applyAlignment="1">
      <alignment horizontal="left" vertical="center" wrapText="1"/>
    </xf>
    <xf numFmtId="0" fontId="24" fillId="15" borderId="24" xfId="0" applyFont="1" applyFill="1" applyBorder="1" applyAlignment="1">
      <alignment horizontal="left" vertical="center" wrapText="1"/>
    </xf>
    <xf numFmtId="0" fontId="24" fillId="0" borderId="34" xfId="0" applyFont="1" applyBorder="1" applyAlignment="1">
      <alignment horizontal="left" vertical="center" wrapText="1"/>
    </xf>
    <xf numFmtId="0" fontId="24" fillId="0" borderId="31" xfId="0" applyFont="1" applyBorder="1" applyAlignment="1">
      <alignment horizontal="left" vertical="center" wrapText="1"/>
    </xf>
    <xf numFmtId="0" fontId="24" fillId="0" borderId="23" xfId="0" applyFont="1" applyBorder="1" applyAlignment="1">
      <alignment horizontal="left" vertical="center" wrapText="1"/>
    </xf>
    <xf numFmtId="0" fontId="24" fillId="0" borderId="26" xfId="0" applyFont="1" applyBorder="1" applyAlignment="1">
      <alignment horizontal="left" vertical="center" wrapText="1"/>
    </xf>
    <xf numFmtId="10" fontId="24" fillId="15" borderId="27" xfId="0" applyNumberFormat="1" applyFont="1" applyFill="1" applyBorder="1" applyAlignment="1">
      <alignment horizontal="left" vertical="center" wrapText="1"/>
    </xf>
    <xf numFmtId="10" fontId="24" fillId="15" borderId="26" xfId="0" applyNumberFormat="1" applyFont="1" applyFill="1" applyBorder="1" applyAlignment="1">
      <alignment horizontal="left" vertical="center" wrapText="1"/>
    </xf>
    <xf numFmtId="10" fontId="24" fillId="15" borderId="24" xfId="0" applyNumberFormat="1" applyFont="1" applyFill="1" applyBorder="1" applyAlignment="1">
      <alignment horizontal="left" vertical="center" wrapText="1"/>
    </xf>
    <xf numFmtId="10" fontId="24" fillId="0" borderId="27" xfId="0" applyNumberFormat="1" applyFont="1" applyBorder="1" applyAlignment="1">
      <alignment horizontal="left" vertical="center" wrapText="1"/>
    </xf>
    <xf numFmtId="10" fontId="24" fillId="0" borderId="26" xfId="0" applyNumberFormat="1" applyFont="1" applyBorder="1" applyAlignment="1">
      <alignment horizontal="left" vertical="center" wrapText="1"/>
    </xf>
    <xf numFmtId="10" fontId="24" fillId="0" borderId="24" xfId="0" applyNumberFormat="1" applyFont="1" applyBorder="1" applyAlignment="1">
      <alignment horizontal="left" vertical="center" wrapText="1"/>
    </xf>
    <xf numFmtId="0" fontId="26" fillId="19" borderId="29" xfId="0" applyFont="1" applyFill="1" applyBorder="1" applyAlignment="1">
      <alignment horizontal="left" vertical="center" wrapText="1"/>
    </xf>
    <xf numFmtId="0" fontId="26" fillId="19" borderId="30" xfId="0" applyFont="1" applyFill="1" applyBorder="1" applyAlignment="1">
      <alignment horizontal="left" vertical="center" wrapText="1"/>
    </xf>
    <xf numFmtId="0" fontId="26" fillId="19" borderId="33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16" borderId="34" xfId="0" applyFont="1" applyFill="1" applyBorder="1" applyAlignment="1">
      <alignment horizontal="left" vertical="center" wrapText="1"/>
    </xf>
    <xf numFmtId="0" fontId="26" fillId="16" borderId="31" xfId="0" applyFont="1" applyFill="1" applyBorder="1" applyAlignment="1">
      <alignment horizontal="left" vertical="center" wrapText="1"/>
    </xf>
    <xf numFmtId="0" fontId="26" fillId="16" borderId="23" xfId="0" applyFont="1" applyFill="1" applyBorder="1" applyAlignment="1">
      <alignment horizontal="left" vertical="center" wrapText="1"/>
    </xf>
    <xf numFmtId="0" fontId="26" fillId="20" borderId="34" xfId="0" applyFont="1" applyFill="1" applyBorder="1" applyAlignment="1">
      <alignment horizontal="left" vertical="center" wrapText="1"/>
    </xf>
    <xf numFmtId="0" fontId="26" fillId="20" borderId="23" xfId="0" applyFont="1" applyFill="1" applyBorder="1" applyAlignment="1">
      <alignment horizontal="left" vertical="center" wrapText="1"/>
    </xf>
    <xf numFmtId="0" fontId="26" fillId="22" borderId="34" xfId="0" applyFont="1" applyFill="1" applyBorder="1" applyAlignment="1">
      <alignment horizontal="left" vertical="center" wrapText="1"/>
    </xf>
    <xf numFmtId="0" fontId="26" fillId="22" borderId="23" xfId="0" applyFont="1" applyFill="1" applyBorder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layout/>
    </c:title>
    <c:plotArea>
      <c:layout>
        <c:manualLayout>
          <c:layoutTarget val="inner"/>
          <c:xMode val="edge"/>
          <c:yMode val="edge"/>
          <c:x val="0.10761277057364739"/>
          <c:y val="0.32811630502905326"/>
          <c:w val="0.65364151343755394"/>
          <c:h val="0.61719517455522965"/>
        </c:manualLayout>
      </c:layout>
      <c:lineChart>
        <c:grouping val="standard"/>
        <c:ser>
          <c:idx val="0"/>
          <c:order val="0"/>
          <c:tx>
            <c:strRef>
              <c:f>個別計算!$G$5</c:f>
              <c:strCache>
                <c:ptCount val="1"/>
              </c:strCache>
            </c:strRef>
          </c:tx>
          <c:cat>
            <c:numRef>
              <c:f>個別計算!$F$6:$F$11</c:f>
              <c:numCache>
                <c:formatCode>General</c:formatCode>
                <c:ptCount val="6"/>
              </c:numCache>
            </c:numRef>
          </c:cat>
          <c:val>
            <c:numRef>
              <c:f>個別計算!$G$6:$G$11</c:f>
              <c:numCache>
                <c:formatCode>General</c:formatCode>
                <c:ptCount val="6"/>
              </c:numCache>
            </c:numRef>
          </c:val>
        </c:ser>
        <c:marker val="1"/>
        <c:axId val="217766144"/>
        <c:axId val="217767936"/>
      </c:lineChart>
      <c:catAx>
        <c:axId val="217766144"/>
        <c:scaling>
          <c:orientation val="minMax"/>
        </c:scaling>
        <c:axPos val="b"/>
        <c:numFmt formatCode="General" sourceLinked="1"/>
        <c:tickLblPos val="nextTo"/>
        <c:crossAx val="217767936"/>
        <c:crosses val="autoZero"/>
        <c:auto val="1"/>
        <c:lblAlgn val="ctr"/>
        <c:lblOffset val="100"/>
      </c:catAx>
      <c:valAx>
        <c:axId val="217767936"/>
        <c:scaling>
          <c:orientation val="minMax"/>
        </c:scaling>
        <c:axPos val="l"/>
        <c:majorGridlines/>
        <c:numFmt formatCode="General" sourceLinked="1"/>
        <c:tickLblPos val="nextTo"/>
        <c:crossAx val="2177661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089664751138747E-2"/>
          <c:y val="8.1284574217614369E-2"/>
          <c:w val="0.9055861662376099"/>
          <c:h val="0.81342996711994453"/>
        </c:manualLayout>
      </c:layout>
      <c:lineChart>
        <c:grouping val="standard"/>
        <c:ser>
          <c:idx val="0"/>
          <c:order val="0"/>
          <c:tx>
            <c:strRef>
              <c:f>グラフ!$F$41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43795</c:v>
                </c:pt>
                <c:pt idx="1">
                  <c:v>43794</c:v>
                </c:pt>
                <c:pt idx="2">
                  <c:v>43791</c:v>
                </c:pt>
                <c:pt idx="3">
                  <c:v>43790</c:v>
                </c:pt>
                <c:pt idx="4">
                  <c:v>43789</c:v>
                </c:pt>
                <c:pt idx="5">
                  <c:v>43788</c:v>
                </c:pt>
                <c:pt idx="6">
                  <c:v>43787</c:v>
                </c:pt>
                <c:pt idx="7">
                  <c:v>43784</c:v>
                </c:pt>
                <c:pt idx="8">
                  <c:v>43783</c:v>
                </c:pt>
                <c:pt idx="9">
                  <c:v>43782</c:v>
                </c:pt>
                <c:pt idx="10">
                  <c:v>43781</c:v>
                </c:pt>
                <c:pt idx="11">
                  <c:v>43780</c:v>
                </c:pt>
                <c:pt idx="12">
                  <c:v>43777</c:v>
                </c:pt>
                <c:pt idx="13">
                  <c:v>43776</c:v>
                </c:pt>
                <c:pt idx="14">
                  <c:v>43775</c:v>
                </c:pt>
                <c:pt idx="15">
                  <c:v>43774</c:v>
                </c:pt>
                <c:pt idx="16">
                  <c:v>43770</c:v>
                </c:pt>
                <c:pt idx="17">
                  <c:v>43769</c:v>
                </c:pt>
                <c:pt idx="18">
                  <c:v>43768</c:v>
                </c:pt>
                <c:pt idx="19">
                  <c:v>43767</c:v>
                </c:pt>
                <c:pt idx="20">
                  <c:v>43766</c:v>
                </c:pt>
                <c:pt idx="21">
                  <c:v>43763</c:v>
                </c:pt>
                <c:pt idx="22">
                  <c:v>43762</c:v>
                </c:pt>
                <c:pt idx="23">
                  <c:v>43761</c:v>
                </c:pt>
                <c:pt idx="24">
                  <c:v>43759</c:v>
                </c:pt>
                <c:pt idx="25">
                  <c:v>43756</c:v>
                </c:pt>
                <c:pt idx="26">
                  <c:v>43755</c:v>
                </c:pt>
                <c:pt idx="27">
                  <c:v>43754</c:v>
                </c:pt>
                <c:pt idx="28">
                  <c:v>43753</c:v>
                </c:pt>
                <c:pt idx="29">
                  <c:v>43749</c:v>
                </c:pt>
                <c:pt idx="30">
                  <c:v>43748</c:v>
                </c:pt>
                <c:pt idx="31">
                  <c:v>43747</c:v>
                </c:pt>
                <c:pt idx="32">
                  <c:v>43746</c:v>
                </c:pt>
                <c:pt idx="33">
                  <c:v>43745</c:v>
                </c:pt>
                <c:pt idx="34">
                  <c:v>43742</c:v>
                </c:pt>
                <c:pt idx="35">
                  <c:v>43741</c:v>
                </c:pt>
                <c:pt idx="36">
                  <c:v>43740</c:v>
                </c:pt>
                <c:pt idx="37">
                  <c:v>43739</c:v>
                </c:pt>
                <c:pt idx="38">
                  <c:v>43738</c:v>
                </c:pt>
                <c:pt idx="39">
                  <c:v>43735</c:v>
                </c:pt>
                <c:pt idx="40">
                  <c:v>43734</c:v>
                </c:pt>
                <c:pt idx="41">
                  <c:v>43733</c:v>
                </c:pt>
                <c:pt idx="42">
                  <c:v>43732</c:v>
                </c:pt>
                <c:pt idx="43">
                  <c:v>43728</c:v>
                </c:pt>
                <c:pt idx="44">
                  <c:v>43727</c:v>
                </c:pt>
                <c:pt idx="45">
                  <c:v>43726</c:v>
                </c:pt>
                <c:pt idx="46">
                  <c:v>43725</c:v>
                </c:pt>
                <c:pt idx="47">
                  <c:v>43721</c:v>
                </c:pt>
                <c:pt idx="48">
                  <c:v>43720</c:v>
                </c:pt>
                <c:pt idx="49">
                  <c:v>43719</c:v>
                </c:pt>
                <c:pt idx="50">
                  <c:v>43718</c:v>
                </c:pt>
                <c:pt idx="51">
                  <c:v>43717</c:v>
                </c:pt>
                <c:pt idx="52">
                  <c:v>43714</c:v>
                </c:pt>
                <c:pt idx="53">
                  <c:v>43713</c:v>
                </c:pt>
                <c:pt idx="54">
                  <c:v>43712</c:v>
                </c:pt>
                <c:pt idx="55">
                  <c:v>43711</c:v>
                </c:pt>
                <c:pt idx="56">
                  <c:v>43710</c:v>
                </c:pt>
                <c:pt idx="57">
                  <c:v>43707</c:v>
                </c:pt>
                <c:pt idx="58">
                  <c:v>43706</c:v>
                </c:pt>
                <c:pt idx="59">
                  <c:v>43705</c:v>
                </c:pt>
                <c:pt idx="60">
                  <c:v>43704</c:v>
                </c:pt>
                <c:pt idx="61">
                  <c:v>43703</c:v>
                </c:pt>
                <c:pt idx="62">
                  <c:v>43700</c:v>
                </c:pt>
                <c:pt idx="63">
                  <c:v>43699</c:v>
                </c:pt>
                <c:pt idx="64">
                  <c:v>43698</c:v>
                </c:pt>
                <c:pt idx="65">
                  <c:v>43697</c:v>
                </c:pt>
                <c:pt idx="66">
                  <c:v>43696</c:v>
                </c:pt>
                <c:pt idx="67">
                  <c:v>43693</c:v>
                </c:pt>
                <c:pt idx="68">
                  <c:v>43692</c:v>
                </c:pt>
                <c:pt idx="69">
                  <c:v>43691</c:v>
                </c:pt>
                <c:pt idx="70">
                  <c:v>43690</c:v>
                </c:pt>
                <c:pt idx="71">
                  <c:v>43686</c:v>
                </c:pt>
                <c:pt idx="72">
                  <c:v>43685</c:v>
                </c:pt>
                <c:pt idx="73">
                  <c:v>43684</c:v>
                </c:pt>
                <c:pt idx="74">
                  <c:v>43683</c:v>
                </c:pt>
                <c:pt idx="75">
                  <c:v>43682</c:v>
                </c:pt>
                <c:pt idx="76">
                  <c:v>43679</c:v>
                </c:pt>
                <c:pt idx="77">
                  <c:v>43678</c:v>
                </c:pt>
                <c:pt idx="78">
                  <c:v>43677</c:v>
                </c:pt>
                <c:pt idx="79">
                  <c:v>43676</c:v>
                </c:pt>
                <c:pt idx="80">
                  <c:v>43675</c:v>
                </c:pt>
                <c:pt idx="81">
                  <c:v>43672</c:v>
                </c:pt>
                <c:pt idx="82">
                  <c:v>43671</c:v>
                </c:pt>
                <c:pt idx="83">
                  <c:v>43670</c:v>
                </c:pt>
                <c:pt idx="84">
                  <c:v>43669</c:v>
                </c:pt>
                <c:pt idx="85">
                  <c:v>43668</c:v>
                </c:pt>
                <c:pt idx="86">
                  <c:v>43665</c:v>
                </c:pt>
                <c:pt idx="87">
                  <c:v>43664</c:v>
                </c:pt>
                <c:pt idx="88">
                  <c:v>43663</c:v>
                </c:pt>
                <c:pt idx="89">
                  <c:v>43662</c:v>
                </c:pt>
                <c:pt idx="90">
                  <c:v>43658</c:v>
                </c:pt>
                <c:pt idx="91">
                  <c:v>43657</c:v>
                </c:pt>
                <c:pt idx="92">
                  <c:v>43656</c:v>
                </c:pt>
                <c:pt idx="93">
                  <c:v>43655</c:v>
                </c:pt>
                <c:pt idx="94">
                  <c:v>43654</c:v>
                </c:pt>
                <c:pt idx="95">
                  <c:v>43651</c:v>
                </c:pt>
                <c:pt idx="96">
                  <c:v>43650</c:v>
                </c:pt>
                <c:pt idx="97">
                  <c:v>43649</c:v>
                </c:pt>
                <c:pt idx="98">
                  <c:v>43648</c:v>
                </c:pt>
                <c:pt idx="99">
                  <c:v>43647</c:v>
                </c:pt>
                <c:pt idx="100">
                  <c:v>43644</c:v>
                </c:pt>
                <c:pt idx="101">
                  <c:v>43643</c:v>
                </c:pt>
                <c:pt idx="102">
                  <c:v>43642</c:v>
                </c:pt>
                <c:pt idx="103">
                  <c:v>43641</c:v>
                </c:pt>
                <c:pt idx="104">
                  <c:v>43640</c:v>
                </c:pt>
                <c:pt idx="105">
                  <c:v>43637</c:v>
                </c:pt>
                <c:pt idx="106">
                  <c:v>43636</c:v>
                </c:pt>
                <c:pt idx="107">
                  <c:v>43635</c:v>
                </c:pt>
                <c:pt idx="108">
                  <c:v>43634</c:v>
                </c:pt>
                <c:pt idx="109">
                  <c:v>43633</c:v>
                </c:pt>
                <c:pt idx="110">
                  <c:v>43630</c:v>
                </c:pt>
                <c:pt idx="111">
                  <c:v>43629</c:v>
                </c:pt>
                <c:pt idx="112">
                  <c:v>43628</c:v>
                </c:pt>
                <c:pt idx="113">
                  <c:v>43627</c:v>
                </c:pt>
                <c:pt idx="114">
                  <c:v>43626</c:v>
                </c:pt>
                <c:pt idx="115">
                  <c:v>43623</c:v>
                </c:pt>
                <c:pt idx="116">
                  <c:v>43622</c:v>
                </c:pt>
                <c:pt idx="117">
                  <c:v>43621</c:v>
                </c:pt>
                <c:pt idx="118">
                  <c:v>43620</c:v>
                </c:pt>
                <c:pt idx="119">
                  <c:v>43619</c:v>
                </c:pt>
                <c:pt idx="120">
                  <c:v>43616</c:v>
                </c:pt>
                <c:pt idx="121">
                  <c:v>43615</c:v>
                </c:pt>
                <c:pt idx="122">
                  <c:v>43614</c:v>
                </c:pt>
                <c:pt idx="123">
                  <c:v>43613</c:v>
                </c:pt>
                <c:pt idx="124">
                  <c:v>43612</c:v>
                </c:pt>
                <c:pt idx="125">
                  <c:v>43609</c:v>
                </c:pt>
                <c:pt idx="126">
                  <c:v>43608</c:v>
                </c:pt>
                <c:pt idx="127">
                  <c:v>43607</c:v>
                </c:pt>
                <c:pt idx="128">
                  <c:v>43606</c:v>
                </c:pt>
                <c:pt idx="129">
                  <c:v>43605</c:v>
                </c:pt>
                <c:pt idx="130">
                  <c:v>43602</c:v>
                </c:pt>
                <c:pt idx="131">
                  <c:v>43601</c:v>
                </c:pt>
                <c:pt idx="132">
                  <c:v>43600</c:v>
                </c:pt>
                <c:pt idx="133">
                  <c:v>43599</c:v>
                </c:pt>
                <c:pt idx="134">
                  <c:v>43598</c:v>
                </c:pt>
                <c:pt idx="135">
                  <c:v>43595</c:v>
                </c:pt>
                <c:pt idx="136">
                  <c:v>43594</c:v>
                </c:pt>
                <c:pt idx="137">
                  <c:v>43593</c:v>
                </c:pt>
                <c:pt idx="138">
                  <c:v>43592</c:v>
                </c:pt>
                <c:pt idx="139">
                  <c:v>43581</c:v>
                </c:pt>
                <c:pt idx="140">
                  <c:v>43580</c:v>
                </c:pt>
                <c:pt idx="141">
                  <c:v>43579</c:v>
                </c:pt>
                <c:pt idx="142">
                  <c:v>43578</c:v>
                </c:pt>
                <c:pt idx="143">
                  <c:v>43577</c:v>
                </c:pt>
                <c:pt idx="144">
                  <c:v>43574</c:v>
                </c:pt>
                <c:pt idx="145">
                  <c:v>43573</c:v>
                </c:pt>
                <c:pt idx="146">
                  <c:v>43572</c:v>
                </c:pt>
                <c:pt idx="147">
                  <c:v>43571</c:v>
                </c:pt>
                <c:pt idx="148">
                  <c:v>43570</c:v>
                </c:pt>
                <c:pt idx="149">
                  <c:v>43567</c:v>
                </c:pt>
                <c:pt idx="150">
                  <c:v>43566</c:v>
                </c:pt>
                <c:pt idx="151">
                  <c:v>43565</c:v>
                </c:pt>
                <c:pt idx="152">
                  <c:v>43564</c:v>
                </c:pt>
                <c:pt idx="153">
                  <c:v>43563</c:v>
                </c:pt>
                <c:pt idx="154">
                  <c:v>43560</c:v>
                </c:pt>
                <c:pt idx="155">
                  <c:v>43559</c:v>
                </c:pt>
                <c:pt idx="156">
                  <c:v>43558</c:v>
                </c:pt>
                <c:pt idx="157">
                  <c:v>43557</c:v>
                </c:pt>
                <c:pt idx="158">
                  <c:v>43556</c:v>
                </c:pt>
                <c:pt idx="159">
                  <c:v>43553</c:v>
                </c:pt>
                <c:pt idx="160">
                  <c:v>43552</c:v>
                </c:pt>
                <c:pt idx="161">
                  <c:v>43551</c:v>
                </c:pt>
                <c:pt idx="162">
                  <c:v>43550</c:v>
                </c:pt>
                <c:pt idx="163">
                  <c:v>43549</c:v>
                </c:pt>
                <c:pt idx="164">
                  <c:v>43546</c:v>
                </c:pt>
                <c:pt idx="165">
                  <c:v>43544</c:v>
                </c:pt>
                <c:pt idx="166">
                  <c:v>43543</c:v>
                </c:pt>
                <c:pt idx="167">
                  <c:v>43542</c:v>
                </c:pt>
                <c:pt idx="168">
                  <c:v>43539</c:v>
                </c:pt>
                <c:pt idx="169">
                  <c:v>43538</c:v>
                </c:pt>
                <c:pt idx="170">
                  <c:v>43537</c:v>
                </c:pt>
                <c:pt idx="171">
                  <c:v>43536</c:v>
                </c:pt>
                <c:pt idx="172">
                  <c:v>43535</c:v>
                </c:pt>
                <c:pt idx="173">
                  <c:v>43532</c:v>
                </c:pt>
                <c:pt idx="174">
                  <c:v>43531</c:v>
                </c:pt>
                <c:pt idx="175">
                  <c:v>43530</c:v>
                </c:pt>
                <c:pt idx="176">
                  <c:v>43529</c:v>
                </c:pt>
                <c:pt idx="177">
                  <c:v>43528</c:v>
                </c:pt>
                <c:pt idx="178">
                  <c:v>43525</c:v>
                </c:pt>
                <c:pt idx="179">
                  <c:v>43524</c:v>
                </c:pt>
                <c:pt idx="180">
                  <c:v>43523</c:v>
                </c:pt>
                <c:pt idx="181">
                  <c:v>43522</c:v>
                </c:pt>
                <c:pt idx="182">
                  <c:v>43521</c:v>
                </c:pt>
                <c:pt idx="183">
                  <c:v>43518</c:v>
                </c:pt>
                <c:pt idx="184">
                  <c:v>43517</c:v>
                </c:pt>
                <c:pt idx="185">
                  <c:v>43516</c:v>
                </c:pt>
                <c:pt idx="186">
                  <c:v>43515</c:v>
                </c:pt>
                <c:pt idx="187">
                  <c:v>43514</c:v>
                </c:pt>
                <c:pt idx="188">
                  <c:v>43511</c:v>
                </c:pt>
                <c:pt idx="189">
                  <c:v>43510</c:v>
                </c:pt>
                <c:pt idx="190">
                  <c:v>43509</c:v>
                </c:pt>
                <c:pt idx="191">
                  <c:v>43508</c:v>
                </c:pt>
                <c:pt idx="192">
                  <c:v>43504</c:v>
                </c:pt>
                <c:pt idx="193">
                  <c:v>43503</c:v>
                </c:pt>
                <c:pt idx="194">
                  <c:v>43502</c:v>
                </c:pt>
                <c:pt idx="195">
                  <c:v>43501</c:v>
                </c:pt>
                <c:pt idx="196">
                  <c:v>43500</c:v>
                </c:pt>
                <c:pt idx="197">
                  <c:v>43497</c:v>
                </c:pt>
                <c:pt idx="198">
                  <c:v>43496</c:v>
                </c:pt>
                <c:pt idx="199">
                  <c:v>43495</c:v>
                </c:pt>
                <c:pt idx="200">
                  <c:v>43494</c:v>
                </c:pt>
                <c:pt idx="201">
                  <c:v>43493</c:v>
                </c:pt>
                <c:pt idx="202">
                  <c:v>43490</c:v>
                </c:pt>
                <c:pt idx="203">
                  <c:v>43489</c:v>
                </c:pt>
                <c:pt idx="204">
                  <c:v>43488</c:v>
                </c:pt>
                <c:pt idx="205">
                  <c:v>43487</c:v>
                </c:pt>
                <c:pt idx="206">
                  <c:v>43486</c:v>
                </c:pt>
                <c:pt idx="207">
                  <c:v>43483</c:v>
                </c:pt>
                <c:pt idx="208">
                  <c:v>43482</c:v>
                </c:pt>
                <c:pt idx="209">
                  <c:v>43481</c:v>
                </c:pt>
                <c:pt idx="210">
                  <c:v>43480</c:v>
                </c:pt>
                <c:pt idx="211">
                  <c:v>43476</c:v>
                </c:pt>
                <c:pt idx="212">
                  <c:v>43475</c:v>
                </c:pt>
                <c:pt idx="213">
                  <c:v>43474</c:v>
                </c:pt>
                <c:pt idx="214">
                  <c:v>43473</c:v>
                </c:pt>
                <c:pt idx="215">
                  <c:v>43472</c:v>
                </c:pt>
                <c:pt idx="216">
                  <c:v>43469</c:v>
                </c:pt>
                <c:pt idx="217">
                  <c:v>43462</c:v>
                </c:pt>
                <c:pt idx="218">
                  <c:v>43461</c:v>
                </c:pt>
                <c:pt idx="219">
                  <c:v>43460</c:v>
                </c:pt>
                <c:pt idx="220">
                  <c:v>43459</c:v>
                </c:pt>
                <c:pt idx="221">
                  <c:v>43455</c:v>
                </c:pt>
                <c:pt idx="222">
                  <c:v>43454</c:v>
                </c:pt>
                <c:pt idx="223">
                  <c:v>43453</c:v>
                </c:pt>
                <c:pt idx="224">
                  <c:v>43452</c:v>
                </c:pt>
                <c:pt idx="225">
                  <c:v>43451</c:v>
                </c:pt>
                <c:pt idx="226">
                  <c:v>43448</c:v>
                </c:pt>
                <c:pt idx="227">
                  <c:v>43447</c:v>
                </c:pt>
                <c:pt idx="228">
                  <c:v>43446</c:v>
                </c:pt>
                <c:pt idx="229">
                  <c:v>43445</c:v>
                </c:pt>
                <c:pt idx="230">
                  <c:v>43444</c:v>
                </c:pt>
                <c:pt idx="231">
                  <c:v>43441</c:v>
                </c:pt>
                <c:pt idx="232">
                  <c:v>43440</c:v>
                </c:pt>
                <c:pt idx="233">
                  <c:v>43439</c:v>
                </c:pt>
                <c:pt idx="234">
                  <c:v>43438</c:v>
                </c:pt>
                <c:pt idx="235">
                  <c:v>43437</c:v>
                </c:pt>
                <c:pt idx="236">
                  <c:v>43434</c:v>
                </c:pt>
                <c:pt idx="237">
                  <c:v>43433</c:v>
                </c:pt>
                <c:pt idx="238">
                  <c:v>43432</c:v>
                </c:pt>
                <c:pt idx="239">
                  <c:v>43431</c:v>
                </c:pt>
                <c:pt idx="240">
                  <c:v>43430</c:v>
                </c:pt>
                <c:pt idx="241">
                  <c:v>43426</c:v>
                </c:pt>
                <c:pt idx="242">
                  <c:v>43425</c:v>
                </c:pt>
                <c:pt idx="243">
                  <c:v>43424</c:v>
                </c:pt>
                <c:pt idx="244">
                  <c:v>43423</c:v>
                </c:pt>
                <c:pt idx="245">
                  <c:v>43420</c:v>
                </c:pt>
                <c:pt idx="246">
                  <c:v>43419</c:v>
                </c:pt>
                <c:pt idx="247">
                  <c:v>43418</c:v>
                </c:pt>
                <c:pt idx="248">
                  <c:v>43417</c:v>
                </c:pt>
                <c:pt idx="249">
                  <c:v>43416</c:v>
                </c:pt>
                <c:pt idx="250">
                  <c:v>43413</c:v>
                </c:pt>
                <c:pt idx="251">
                  <c:v>43412</c:v>
                </c:pt>
                <c:pt idx="252">
                  <c:v>43411</c:v>
                </c:pt>
                <c:pt idx="253">
                  <c:v>43410</c:v>
                </c:pt>
                <c:pt idx="254">
                  <c:v>43409</c:v>
                </c:pt>
                <c:pt idx="255">
                  <c:v>43406</c:v>
                </c:pt>
                <c:pt idx="256">
                  <c:v>43405</c:v>
                </c:pt>
                <c:pt idx="257">
                  <c:v>43404</c:v>
                </c:pt>
                <c:pt idx="258">
                  <c:v>43403</c:v>
                </c:pt>
                <c:pt idx="259">
                  <c:v>43402</c:v>
                </c:pt>
                <c:pt idx="260">
                  <c:v>43399</c:v>
                </c:pt>
                <c:pt idx="261">
                  <c:v>43398</c:v>
                </c:pt>
                <c:pt idx="262">
                  <c:v>43397</c:v>
                </c:pt>
                <c:pt idx="263">
                  <c:v>43396</c:v>
                </c:pt>
                <c:pt idx="264">
                  <c:v>43395</c:v>
                </c:pt>
                <c:pt idx="265">
                  <c:v>43392</c:v>
                </c:pt>
                <c:pt idx="266">
                  <c:v>43391</c:v>
                </c:pt>
                <c:pt idx="267">
                  <c:v>43390</c:v>
                </c:pt>
                <c:pt idx="268">
                  <c:v>43389</c:v>
                </c:pt>
                <c:pt idx="269">
                  <c:v>43388</c:v>
                </c:pt>
                <c:pt idx="270">
                  <c:v>43385</c:v>
                </c:pt>
                <c:pt idx="271">
                  <c:v>43384</c:v>
                </c:pt>
                <c:pt idx="272">
                  <c:v>43383</c:v>
                </c:pt>
                <c:pt idx="273">
                  <c:v>43382</c:v>
                </c:pt>
                <c:pt idx="274">
                  <c:v>43378</c:v>
                </c:pt>
                <c:pt idx="275">
                  <c:v>43377</c:v>
                </c:pt>
                <c:pt idx="276">
                  <c:v>43376</c:v>
                </c:pt>
                <c:pt idx="277">
                  <c:v>43375</c:v>
                </c:pt>
                <c:pt idx="278">
                  <c:v>43374</c:v>
                </c:pt>
                <c:pt idx="279">
                  <c:v>43371</c:v>
                </c:pt>
                <c:pt idx="280">
                  <c:v>43370</c:v>
                </c:pt>
                <c:pt idx="281">
                  <c:v>43369</c:v>
                </c:pt>
                <c:pt idx="282">
                  <c:v>43368</c:v>
                </c:pt>
                <c:pt idx="283">
                  <c:v>43364</c:v>
                </c:pt>
                <c:pt idx="284">
                  <c:v>43363</c:v>
                </c:pt>
                <c:pt idx="285">
                  <c:v>43362</c:v>
                </c:pt>
                <c:pt idx="286">
                  <c:v>43361</c:v>
                </c:pt>
                <c:pt idx="287">
                  <c:v>43357</c:v>
                </c:pt>
                <c:pt idx="288">
                  <c:v>43356</c:v>
                </c:pt>
                <c:pt idx="289">
                  <c:v>43355</c:v>
                </c:pt>
                <c:pt idx="290">
                  <c:v>43354</c:v>
                </c:pt>
                <c:pt idx="291">
                  <c:v>43353</c:v>
                </c:pt>
                <c:pt idx="292">
                  <c:v>43350</c:v>
                </c:pt>
                <c:pt idx="293">
                  <c:v>43349</c:v>
                </c:pt>
                <c:pt idx="294">
                  <c:v>43348</c:v>
                </c:pt>
                <c:pt idx="295">
                  <c:v>43347</c:v>
                </c:pt>
                <c:pt idx="296">
                  <c:v>43346</c:v>
                </c:pt>
                <c:pt idx="297">
                  <c:v>43343</c:v>
                </c:pt>
                <c:pt idx="298">
                  <c:v>43342</c:v>
                </c:pt>
                <c:pt idx="299">
                  <c:v>43341</c:v>
                </c:pt>
                <c:pt idx="300">
                  <c:v>43340</c:v>
                </c:pt>
                <c:pt idx="301">
                  <c:v>43339</c:v>
                </c:pt>
                <c:pt idx="302">
                  <c:v>43336</c:v>
                </c:pt>
                <c:pt idx="303">
                  <c:v>43335</c:v>
                </c:pt>
                <c:pt idx="304">
                  <c:v>43334</c:v>
                </c:pt>
                <c:pt idx="305">
                  <c:v>43333</c:v>
                </c:pt>
                <c:pt idx="306">
                  <c:v>43332</c:v>
                </c:pt>
                <c:pt idx="307">
                  <c:v>43329</c:v>
                </c:pt>
                <c:pt idx="308">
                  <c:v>43328</c:v>
                </c:pt>
                <c:pt idx="309">
                  <c:v>43327</c:v>
                </c:pt>
                <c:pt idx="310">
                  <c:v>43326</c:v>
                </c:pt>
                <c:pt idx="311">
                  <c:v>43325</c:v>
                </c:pt>
                <c:pt idx="312">
                  <c:v>43322</c:v>
                </c:pt>
                <c:pt idx="313">
                  <c:v>43321</c:v>
                </c:pt>
                <c:pt idx="314">
                  <c:v>43320</c:v>
                </c:pt>
                <c:pt idx="315">
                  <c:v>43319</c:v>
                </c:pt>
                <c:pt idx="316">
                  <c:v>43318</c:v>
                </c:pt>
                <c:pt idx="317">
                  <c:v>43315</c:v>
                </c:pt>
                <c:pt idx="318">
                  <c:v>43314</c:v>
                </c:pt>
                <c:pt idx="319">
                  <c:v>43313</c:v>
                </c:pt>
                <c:pt idx="320">
                  <c:v>43312</c:v>
                </c:pt>
                <c:pt idx="321">
                  <c:v>43311</c:v>
                </c:pt>
                <c:pt idx="322">
                  <c:v>43308</c:v>
                </c:pt>
                <c:pt idx="323">
                  <c:v>43307</c:v>
                </c:pt>
                <c:pt idx="324">
                  <c:v>43306</c:v>
                </c:pt>
                <c:pt idx="325">
                  <c:v>43305</c:v>
                </c:pt>
                <c:pt idx="326">
                  <c:v>43304</c:v>
                </c:pt>
                <c:pt idx="327">
                  <c:v>43301</c:v>
                </c:pt>
                <c:pt idx="328">
                  <c:v>43300</c:v>
                </c:pt>
                <c:pt idx="329">
                  <c:v>43299</c:v>
                </c:pt>
                <c:pt idx="330">
                  <c:v>43298</c:v>
                </c:pt>
                <c:pt idx="331">
                  <c:v>43294</c:v>
                </c:pt>
                <c:pt idx="332">
                  <c:v>43293</c:v>
                </c:pt>
                <c:pt idx="333">
                  <c:v>43292</c:v>
                </c:pt>
                <c:pt idx="334">
                  <c:v>43291</c:v>
                </c:pt>
                <c:pt idx="335">
                  <c:v>43290</c:v>
                </c:pt>
                <c:pt idx="336">
                  <c:v>43287</c:v>
                </c:pt>
                <c:pt idx="337">
                  <c:v>43286</c:v>
                </c:pt>
                <c:pt idx="338">
                  <c:v>43285</c:v>
                </c:pt>
                <c:pt idx="339">
                  <c:v>43284</c:v>
                </c:pt>
                <c:pt idx="340">
                  <c:v>43283</c:v>
                </c:pt>
                <c:pt idx="341">
                  <c:v>43280</c:v>
                </c:pt>
                <c:pt idx="342">
                  <c:v>43279</c:v>
                </c:pt>
                <c:pt idx="343">
                  <c:v>43278</c:v>
                </c:pt>
                <c:pt idx="344">
                  <c:v>43277</c:v>
                </c:pt>
                <c:pt idx="345">
                  <c:v>43276</c:v>
                </c:pt>
                <c:pt idx="346">
                  <c:v>43273</c:v>
                </c:pt>
                <c:pt idx="347">
                  <c:v>43272</c:v>
                </c:pt>
                <c:pt idx="348">
                  <c:v>43271</c:v>
                </c:pt>
                <c:pt idx="349">
                  <c:v>43270</c:v>
                </c:pt>
                <c:pt idx="350">
                  <c:v>43269</c:v>
                </c:pt>
                <c:pt idx="351">
                  <c:v>43266</c:v>
                </c:pt>
                <c:pt idx="352">
                  <c:v>43265</c:v>
                </c:pt>
                <c:pt idx="353">
                  <c:v>43264</c:v>
                </c:pt>
                <c:pt idx="354">
                  <c:v>43263</c:v>
                </c:pt>
                <c:pt idx="355">
                  <c:v>43262</c:v>
                </c:pt>
                <c:pt idx="356">
                  <c:v>43259</c:v>
                </c:pt>
                <c:pt idx="357">
                  <c:v>43258</c:v>
                </c:pt>
                <c:pt idx="358">
                  <c:v>43257</c:v>
                </c:pt>
                <c:pt idx="359">
                  <c:v>43256</c:v>
                </c:pt>
                <c:pt idx="360">
                  <c:v>43255</c:v>
                </c:pt>
                <c:pt idx="361">
                  <c:v>43252</c:v>
                </c:pt>
                <c:pt idx="362">
                  <c:v>43251</c:v>
                </c:pt>
                <c:pt idx="363">
                  <c:v>43250</c:v>
                </c:pt>
                <c:pt idx="364">
                  <c:v>43249</c:v>
                </c:pt>
                <c:pt idx="365">
                  <c:v>43248</c:v>
                </c:pt>
                <c:pt idx="366">
                  <c:v>43245</c:v>
                </c:pt>
                <c:pt idx="367">
                  <c:v>43244</c:v>
                </c:pt>
                <c:pt idx="368">
                  <c:v>43243</c:v>
                </c:pt>
                <c:pt idx="369">
                  <c:v>43242</c:v>
                </c:pt>
                <c:pt idx="370">
                  <c:v>43241</c:v>
                </c:pt>
                <c:pt idx="371">
                  <c:v>43238</c:v>
                </c:pt>
                <c:pt idx="372">
                  <c:v>43237</c:v>
                </c:pt>
                <c:pt idx="373">
                  <c:v>43236</c:v>
                </c:pt>
                <c:pt idx="374">
                  <c:v>43235</c:v>
                </c:pt>
                <c:pt idx="375">
                  <c:v>43234</c:v>
                </c:pt>
                <c:pt idx="376">
                  <c:v>43231</c:v>
                </c:pt>
                <c:pt idx="377">
                  <c:v>43230</c:v>
                </c:pt>
                <c:pt idx="378">
                  <c:v>43229</c:v>
                </c:pt>
                <c:pt idx="379">
                  <c:v>43228</c:v>
                </c:pt>
                <c:pt idx="380">
                  <c:v>43227</c:v>
                </c:pt>
                <c:pt idx="381">
                  <c:v>43222</c:v>
                </c:pt>
                <c:pt idx="382">
                  <c:v>43221</c:v>
                </c:pt>
                <c:pt idx="383">
                  <c:v>43217</c:v>
                </c:pt>
                <c:pt idx="384">
                  <c:v>43216</c:v>
                </c:pt>
                <c:pt idx="385">
                  <c:v>43215</c:v>
                </c:pt>
                <c:pt idx="386">
                  <c:v>43214</c:v>
                </c:pt>
                <c:pt idx="387">
                  <c:v>43213</c:v>
                </c:pt>
                <c:pt idx="388">
                  <c:v>43210</c:v>
                </c:pt>
                <c:pt idx="389">
                  <c:v>43209</c:v>
                </c:pt>
                <c:pt idx="390">
                  <c:v>43208</c:v>
                </c:pt>
                <c:pt idx="391">
                  <c:v>43207</c:v>
                </c:pt>
                <c:pt idx="392">
                  <c:v>43206</c:v>
                </c:pt>
                <c:pt idx="393">
                  <c:v>43203</c:v>
                </c:pt>
                <c:pt idx="394">
                  <c:v>43202</c:v>
                </c:pt>
                <c:pt idx="395">
                  <c:v>43201</c:v>
                </c:pt>
                <c:pt idx="396">
                  <c:v>43200</c:v>
                </c:pt>
                <c:pt idx="397">
                  <c:v>43199</c:v>
                </c:pt>
                <c:pt idx="398">
                  <c:v>43196</c:v>
                </c:pt>
                <c:pt idx="399">
                  <c:v>43195</c:v>
                </c:pt>
                <c:pt idx="400">
                  <c:v>43194</c:v>
                </c:pt>
                <c:pt idx="401">
                  <c:v>43193</c:v>
                </c:pt>
                <c:pt idx="402">
                  <c:v>43192</c:v>
                </c:pt>
                <c:pt idx="403">
                  <c:v>43189</c:v>
                </c:pt>
                <c:pt idx="404">
                  <c:v>43188</c:v>
                </c:pt>
                <c:pt idx="405">
                  <c:v>43187</c:v>
                </c:pt>
                <c:pt idx="406">
                  <c:v>43186</c:v>
                </c:pt>
                <c:pt idx="407">
                  <c:v>43185</c:v>
                </c:pt>
                <c:pt idx="408">
                  <c:v>43182</c:v>
                </c:pt>
                <c:pt idx="409">
                  <c:v>43181</c:v>
                </c:pt>
                <c:pt idx="410">
                  <c:v>43179</c:v>
                </c:pt>
                <c:pt idx="411">
                  <c:v>43178</c:v>
                </c:pt>
                <c:pt idx="412">
                  <c:v>43175</c:v>
                </c:pt>
                <c:pt idx="413">
                  <c:v>43174</c:v>
                </c:pt>
                <c:pt idx="414">
                  <c:v>43173</c:v>
                </c:pt>
                <c:pt idx="415">
                  <c:v>43172</c:v>
                </c:pt>
                <c:pt idx="416">
                  <c:v>43171</c:v>
                </c:pt>
                <c:pt idx="417">
                  <c:v>43168</c:v>
                </c:pt>
                <c:pt idx="418">
                  <c:v>43167</c:v>
                </c:pt>
                <c:pt idx="419">
                  <c:v>43166</c:v>
                </c:pt>
                <c:pt idx="420">
                  <c:v>43165</c:v>
                </c:pt>
                <c:pt idx="421">
                  <c:v>43164</c:v>
                </c:pt>
                <c:pt idx="422">
                  <c:v>43161</c:v>
                </c:pt>
                <c:pt idx="423">
                  <c:v>43160</c:v>
                </c:pt>
                <c:pt idx="424">
                  <c:v>43159</c:v>
                </c:pt>
                <c:pt idx="425">
                  <c:v>43158</c:v>
                </c:pt>
                <c:pt idx="426">
                  <c:v>43157</c:v>
                </c:pt>
                <c:pt idx="427">
                  <c:v>43154</c:v>
                </c:pt>
                <c:pt idx="428">
                  <c:v>43153</c:v>
                </c:pt>
                <c:pt idx="429">
                  <c:v>43152</c:v>
                </c:pt>
                <c:pt idx="430">
                  <c:v>43151</c:v>
                </c:pt>
                <c:pt idx="431">
                  <c:v>43150</c:v>
                </c:pt>
                <c:pt idx="432">
                  <c:v>43147</c:v>
                </c:pt>
                <c:pt idx="433">
                  <c:v>43146</c:v>
                </c:pt>
                <c:pt idx="434">
                  <c:v>43145</c:v>
                </c:pt>
                <c:pt idx="435">
                  <c:v>43144</c:v>
                </c:pt>
                <c:pt idx="436">
                  <c:v>43140</c:v>
                </c:pt>
                <c:pt idx="437">
                  <c:v>43139</c:v>
                </c:pt>
                <c:pt idx="438">
                  <c:v>43138</c:v>
                </c:pt>
                <c:pt idx="439">
                  <c:v>43137</c:v>
                </c:pt>
                <c:pt idx="440">
                  <c:v>43136</c:v>
                </c:pt>
                <c:pt idx="441">
                  <c:v>43133</c:v>
                </c:pt>
                <c:pt idx="442">
                  <c:v>43132</c:v>
                </c:pt>
                <c:pt idx="443">
                  <c:v>43131</c:v>
                </c:pt>
                <c:pt idx="444">
                  <c:v>43130</c:v>
                </c:pt>
                <c:pt idx="445">
                  <c:v>43129</c:v>
                </c:pt>
                <c:pt idx="446">
                  <c:v>43126</c:v>
                </c:pt>
                <c:pt idx="447">
                  <c:v>43125</c:v>
                </c:pt>
                <c:pt idx="448">
                  <c:v>43124</c:v>
                </c:pt>
                <c:pt idx="449">
                  <c:v>43123</c:v>
                </c:pt>
                <c:pt idx="450">
                  <c:v>43122</c:v>
                </c:pt>
                <c:pt idx="451">
                  <c:v>43119</c:v>
                </c:pt>
                <c:pt idx="452">
                  <c:v>43118</c:v>
                </c:pt>
                <c:pt idx="453">
                  <c:v>43117</c:v>
                </c:pt>
                <c:pt idx="454">
                  <c:v>43116</c:v>
                </c:pt>
                <c:pt idx="455">
                  <c:v>43115</c:v>
                </c:pt>
                <c:pt idx="456">
                  <c:v>43112</c:v>
                </c:pt>
                <c:pt idx="457">
                  <c:v>43111</c:v>
                </c:pt>
                <c:pt idx="458">
                  <c:v>43110</c:v>
                </c:pt>
                <c:pt idx="459">
                  <c:v>43109</c:v>
                </c:pt>
                <c:pt idx="460">
                  <c:v>43105</c:v>
                </c:pt>
                <c:pt idx="461">
                  <c:v>43104</c:v>
                </c:pt>
                <c:pt idx="462">
                  <c:v>43098</c:v>
                </c:pt>
                <c:pt idx="463">
                  <c:v>43097</c:v>
                </c:pt>
                <c:pt idx="464">
                  <c:v>43096</c:v>
                </c:pt>
                <c:pt idx="465">
                  <c:v>43095</c:v>
                </c:pt>
                <c:pt idx="466">
                  <c:v>43094</c:v>
                </c:pt>
                <c:pt idx="467">
                  <c:v>43091</c:v>
                </c:pt>
                <c:pt idx="468">
                  <c:v>43090</c:v>
                </c:pt>
                <c:pt idx="469">
                  <c:v>43089</c:v>
                </c:pt>
                <c:pt idx="470">
                  <c:v>43088</c:v>
                </c:pt>
                <c:pt idx="471">
                  <c:v>43087</c:v>
                </c:pt>
                <c:pt idx="472">
                  <c:v>43084</c:v>
                </c:pt>
                <c:pt idx="473">
                  <c:v>43083</c:v>
                </c:pt>
                <c:pt idx="474">
                  <c:v>43082</c:v>
                </c:pt>
                <c:pt idx="475">
                  <c:v>43081</c:v>
                </c:pt>
                <c:pt idx="476">
                  <c:v>43080</c:v>
                </c:pt>
                <c:pt idx="477">
                  <c:v>43077</c:v>
                </c:pt>
                <c:pt idx="478">
                  <c:v>43076</c:v>
                </c:pt>
                <c:pt idx="479">
                  <c:v>43075</c:v>
                </c:pt>
                <c:pt idx="480">
                  <c:v>43074</c:v>
                </c:pt>
                <c:pt idx="481">
                  <c:v>43073</c:v>
                </c:pt>
                <c:pt idx="482">
                  <c:v>43070</c:v>
                </c:pt>
                <c:pt idx="483">
                  <c:v>43069</c:v>
                </c:pt>
                <c:pt idx="484">
                  <c:v>43068</c:v>
                </c:pt>
                <c:pt idx="485">
                  <c:v>43067</c:v>
                </c:pt>
                <c:pt idx="486">
                  <c:v>43066</c:v>
                </c:pt>
                <c:pt idx="487">
                  <c:v>43063</c:v>
                </c:pt>
                <c:pt idx="488">
                  <c:v>43061</c:v>
                </c:pt>
                <c:pt idx="489">
                  <c:v>43060</c:v>
                </c:pt>
                <c:pt idx="490">
                  <c:v>43059</c:v>
                </c:pt>
                <c:pt idx="491">
                  <c:v>43056</c:v>
                </c:pt>
                <c:pt idx="492">
                  <c:v>43055</c:v>
                </c:pt>
                <c:pt idx="493">
                  <c:v>43054</c:v>
                </c:pt>
                <c:pt idx="494">
                  <c:v>43053</c:v>
                </c:pt>
                <c:pt idx="495">
                  <c:v>43052</c:v>
                </c:pt>
                <c:pt idx="496">
                  <c:v>43049</c:v>
                </c:pt>
                <c:pt idx="497">
                  <c:v>43048</c:v>
                </c:pt>
                <c:pt idx="498">
                  <c:v>43047</c:v>
                </c:pt>
                <c:pt idx="499">
                  <c:v>43046</c:v>
                </c:pt>
                <c:pt idx="500">
                  <c:v>43045</c:v>
                </c:pt>
                <c:pt idx="501">
                  <c:v>43041</c:v>
                </c:pt>
                <c:pt idx="502">
                  <c:v>43040</c:v>
                </c:pt>
                <c:pt idx="503">
                  <c:v>43039</c:v>
                </c:pt>
                <c:pt idx="504">
                  <c:v>43038</c:v>
                </c:pt>
                <c:pt idx="505">
                  <c:v>43035</c:v>
                </c:pt>
                <c:pt idx="506">
                  <c:v>43034</c:v>
                </c:pt>
                <c:pt idx="507">
                  <c:v>43033</c:v>
                </c:pt>
                <c:pt idx="508">
                  <c:v>43032</c:v>
                </c:pt>
                <c:pt idx="509">
                  <c:v>43031</c:v>
                </c:pt>
                <c:pt idx="510">
                  <c:v>43028</c:v>
                </c:pt>
                <c:pt idx="511">
                  <c:v>43027</c:v>
                </c:pt>
                <c:pt idx="512">
                  <c:v>43026</c:v>
                </c:pt>
                <c:pt idx="513">
                  <c:v>43025</c:v>
                </c:pt>
                <c:pt idx="514">
                  <c:v>43024</c:v>
                </c:pt>
                <c:pt idx="515">
                  <c:v>43021</c:v>
                </c:pt>
                <c:pt idx="516">
                  <c:v>43020</c:v>
                </c:pt>
                <c:pt idx="517">
                  <c:v>43019</c:v>
                </c:pt>
                <c:pt idx="518">
                  <c:v>43018</c:v>
                </c:pt>
                <c:pt idx="519">
                  <c:v>43014</c:v>
                </c:pt>
                <c:pt idx="520">
                  <c:v>43013</c:v>
                </c:pt>
                <c:pt idx="521">
                  <c:v>43012</c:v>
                </c:pt>
                <c:pt idx="522">
                  <c:v>43011</c:v>
                </c:pt>
                <c:pt idx="523">
                  <c:v>43010</c:v>
                </c:pt>
                <c:pt idx="524">
                  <c:v>43007</c:v>
                </c:pt>
                <c:pt idx="525">
                  <c:v>43006</c:v>
                </c:pt>
                <c:pt idx="526">
                  <c:v>43005</c:v>
                </c:pt>
                <c:pt idx="527">
                  <c:v>43004</c:v>
                </c:pt>
                <c:pt idx="528">
                  <c:v>43003</c:v>
                </c:pt>
                <c:pt idx="529">
                  <c:v>43000</c:v>
                </c:pt>
                <c:pt idx="530">
                  <c:v>42999</c:v>
                </c:pt>
                <c:pt idx="531">
                  <c:v>42998</c:v>
                </c:pt>
                <c:pt idx="532">
                  <c:v>42997</c:v>
                </c:pt>
                <c:pt idx="533">
                  <c:v>42993</c:v>
                </c:pt>
                <c:pt idx="534">
                  <c:v>42992</c:v>
                </c:pt>
                <c:pt idx="535">
                  <c:v>42991</c:v>
                </c:pt>
                <c:pt idx="536">
                  <c:v>42990</c:v>
                </c:pt>
                <c:pt idx="537">
                  <c:v>42989</c:v>
                </c:pt>
                <c:pt idx="538">
                  <c:v>42986</c:v>
                </c:pt>
                <c:pt idx="539">
                  <c:v>42985</c:v>
                </c:pt>
                <c:pt idx="540">
                  <c:v>42984</c:v>
                </c:pt>
                <c:pt idx="541">
                  <c:v>42983</c:v>
                </c:pt>
                <c:pt idx="542">
                  <c:v>42982</c:v>
                </c:pt>
                <c:pt idx="543">
                  <c:v>42979</c:v>
                </c:pt>
                <c:pt idx="544">
                  <c:v>42978</c:v>
                </c:pt>
                <c:pt idx="545">
                  <c:v>42977</c:v>
                </c:pt>
                <c:pt idx="546">
                  <c:v>42976</c:v>
                </c:pt>
                <c:pt idx="547">
                  <c:v>42975</c:v>
                </c:pt>
                <c:pt idx="548">
                  <c:v>42972</c:v>
                </c:pt>
                <c:pt idx="549">
                  <c:v>42971</c:v>
                </c:pt>
                <c:pt idx="550">
                  <c:v>42970</c:v>
                </c:pt>
                <c:pt idx="551">
                  <c:v>42969</c:v>
                </c:pt>
                <c:pt idx="552">
                  <c:v>42968</c:v>
                </c:pt>
                <c:pt idx="553">
                  <c:v>42965</c:v>
                </c:pt>
                <c:pt idx="554">
                  <c:v>42964</c:v>
                </c:pt>
                <c:pt idx="555">
                  <c:v>42963</c:v>
                </c:pt>
                <c:pt idx="556">
                  <c:v>42962</c:v>
                </c:pt>
                <c:pt idx="557">
                  <c:v>42961</c:v>
                </c:pt>
                <c:pt idx="558">
                  <c:v>42957</c:v>
                </c:pt>
                <c:pt idx="559">
                  <c:v>42956</c:v>
                </c:pt>
                <c:pt idx="560">
                  <c:v>42955</c:v>
                </c:pt>
                <c:pt idx="561">
                  <c:v>42954</c:v>
                </c:pt>
                <c:pt idx="562">
                  <c:v>42951</c:v>
                </c:pt>
                <c:pt idx="563">
                  <c:v>42950</c:v>
                </c:pt>
                <c:pt idx="564">
                  <c:v>42949</c:v>
                </c:pt>
                <c:pt idx="565">
                  <c:v>42948</c:v>
                </c:pt>
                <c:pt idx="566">
                  <c:v>42947</c:v>
                </c:pt>
                <c:pt idx="567">
                  <c:v>42944</c:v>
                </c:pt>
                <c:pt idx="568">
                  <c:v>42943</c:v>
                </c:pt>
                <c:pt idx="569">
                  <c:v>42942</c:v>
                </c:pt>
                <c:pt idx="570">
                  <c:v>42941</c:v>
                </c:pt>
                <c:pt idx="571">
                  <c:v>42940</c:v>
                </c:pt>
                <c:pt idx="572">
                  <c:v>42937</c:v>
                </c:pt>
                <c:pt idx="573">
                  <c:v>42936</c:v>
                </c:pt>
                <c:pt idx="574">
                  <c:v>42935</c:v>
                </c:pt>
                <c:pt idx="575">
                  <c:v>42934</c:v>
                </c:pt>
                <c:pt idx="576">
                  <c:v>42930</c:v>
                </c:pt>
                <c:pt idx="577">
                  <c:v>42929</c:v>
                </c:pt>
                <c:pt idx="578">
                  <c:v>42928</c:v>
                </c:pt>
                <c:pt idx="579">
                  <c:v>42927</c:v>
                </c:pt>
                <c:pt idx="580">
                  <c:v>42926</c:v>
                </c:pt>
                <c:pt idx="581">
                  <c:v>42923</c:v>
                </c:pt>
                <c:pt idx="582">
                  <c:v>42922</c:v>
                </c:pt>
                <c:pt idx="583">
                  <c:v>42921</c:v>
                </c:pt>
                <c:pt idx="584">
                  <c:v>42920</c:v>
                </c:pt>
                <c:pt idx="585">
                  <c:v>42919</c:v>
                </c:pt>
                <c:pt idx="586">
                  <c:v>42916</c:v>
                </c:pt>
                <c:pt idx="587">
                  <c:v>42915</c:v>
                </c:pt>
                <c:pt idx="588">
                  <c:v>42914</c:v>
                </c:pt>
                <c:pt idx="589">
                  <c:v>42913</c:v>
                </c:pt>
                <c:pt idx="590">
                  <c:v>42912</c:v>
                </c:pt>
                <c:pt idx="591">
                  <c:v>42909</c:v>
                </c:pt>
                <c:pt idx="592">
                  <c:v>42908</c:v>
                </c:pt>
                <c:pt idx="593">
                  <c:v>42907</c:v>
                </c:pt>
                <c:pt idx="594">
                  <c:v>42906</c:v>
                </c:pt>
                <c:pt idx="595">
                  <c:v>42905</c:v>
                </c:pt>
                <c:pt idx="596">
                  <c:v>42902</c:v>
                </c:pt>
                <c:pt idx="597">
                  <c:v>42901</c:v>
                </c:pt>
                <c:pt idx="598">
                  <c:v>42900</c:v>
                </c:pt>
                <c:pt idx="599">
                  <c:v>42899</c:v>
                </c:pt>
                <c:pt idx="600">
                  <c:v>42898</c:v>
                </c:pt>
                <c:pt idx="601">
                  <c:v>42895</c:v>
                </c:pt>
                <c:pt idx="602">
                  <c:v>42894</c:v>
                </c:pt>
                <c:pt idx="603">
                  <c:v>42893</c:v>
                </c:pt>
                <c:pt idx="604">
                  <c:v>42892</c:v>
                </c:pt>
                <c:pt idx="605">
                  <c:v>42891</c:v>
                </c:pt>
                <c:pt idx="606">
                  <c:v>42888</c:v>
                </c:pt>
                <c:pt idx="607">
                  <c:v>42887</c:v>
                </c:pt>
                <c:pt idx="608">
                  <c:v>42886</c:v>
                </c:pt>
                <c:pt idx="609">
                  <c:v>42885</c:v>
                </c:pt>
                <c:pt idx="610">
                  <c:v>42884</c:v>
                </c:pt>
                <c:pt idx="611">
                  <c:v>42881</c:v>
                </c:pt>
                <c:pt idx="612">
                  <c:v>42880</c:v>
                </c:pt>
                <c:pt idx="613">
                  <c:v>42879</c:v>
                </c:pt>
                <c:pt idx="614">
                  <c:v>42878</c:v>
                </c:pt>
                <c:pt idx="615">
                  <c:v>42877</c:v>
                </c:pt>
                <c:pt idx="616">
                  <c:v>42874</c:v>
                </c:pt>
                <c:pt idx="617">
                  <c:v>42873</c:v>
                </c:pt>
                <c:pt idx="618">
                  <c:v>42872</c:v>
                </c:pt>
                <c:pt idx="619">
                  <c:v>42871</c:v>
                </c:pt>
                <c:pt idx="620">
                  <c:v>42870</c:v>
                </c:pt>
                <c:pt idx="621">
                  <c:v>42867</c:v>
                </c:pt>
                <c:pt idx="622">
                  <c:v>42866</c:v>
                </c:pt>
                <c:pt idx="623">
                  <c:v>42865</c:v>
                </c:pt>
                <c:pt idx="624">
                  <c:v>42864</c:v>
                </c:pt>
                <c:pt idx="625">
                  <c:v>42863</c:v>
                </c:pt>
                <c:pt idx="626">
                  <c:v>42857</c:v>
                </c:pt>
                <c:pt idx="627">
                  <c:v>42856</c:v>
                </c:pt>
                <c:pt idx="628">
                  <c:v>42853</c:v>
                </c:pt>
                <c:pt idx="629">
                  <c:v>42852</c:v>
                </c:pt>
                <c:pt idx="630">
                  <c:v>42851</c:v>
                </c:pt>
                <c:pt idx="631">
                  <c:v>42850</c:v>
                </c:pt>
                <c:pt idx="632">
                  <c:v>42849</c:v>
                </c:pt>
                <c:pt idx="633">
                  <c:v>42846</c:v>
                </c:pt>
                <c:pt idx="634">
                  <c:v>42845</c:v>
                </c:pt>
                <c:pt idx="635">
                  <c:v>42844</c:v>
                </c:pt>
                <c:pt idx="636">
                  <c:v>42843</c:v>
                </c:pt>
                <c:pt idx="637">
                  <c:v>42842</c:v>
                </c:pt>
                <c:pt idx="638">
                  <c:v>42839</c:v>
                </c:pt>
                <c:pt idx="639">
                  <c:v>42838</c:v>
                </c:pt>
                <c:pt idx="640">
                  <c:v>42837</c:v>
                </c:pt>
                <c:pt idx="641">
                  <c:v>42836</c:v>
                </c:pt>
                <c:pt idx="642">
                  <c:v>42835</c:v>
                </c:pt>
                <c:pt idx="643">
                  <c:v>42832</c:v>
                </c:pt>
                <c:pt idx="644">
                  <c:v>42831</c:v>
                </c:pt>
                <c:pt idx="645">
                  <c:v>42830</c:v>
                </c:pt>
                <c:pt idx="646">
                  <c:v>42829</c:v>
                </c:pt>
                <c:pt idx="647">
                  <c:v>42828</c:v>
                </c:pt>
                <c:pt idx="648">
                  <c:v>42825</c:v>
                </c:pt>
                <c:pt idx="649">
                  <c:v>42824</c:v>
                </c:pt>
                <c:pt idx="650">
                  <c:v>42823</c:v>
                </c:pt>
                <c:pt idx="651">
                  <c:v>42822</c:v>
                </c:pt>
                <c:pt idx="652">
                  <c:v>42821</c:v>
                </c:pt>
                <c:pt idx="653">
                  <c:v>42818</c:v>
                </c:pt>
                <c:pt idx="654">
                  <c:v>42817</c:v>
                </c:pt>
                <c:pt idx="655">
                  <c:v>42816</c:v>
                </c:pt>
                <c:pt idx="656">
                  <c:v>42815</c:v>
                </c:pt>
                <c:pt idx="657">
                  <c:v>42811</c:v>
                </c:pt>
                <c:pt idx="658">
                  <c:v>42810</c:v>
                </c:pt>
                <c:pt idx="659">
                  <c:v>42809</c:v>
                </c:pt>
                <c:pt idx="660">
                  <c:v>42808</c:v>
                </c:pt>
                <c:pt idx="661">
                  <c:v>42807</c:v>
                </c:pt>
              </c:numCache>
            </c:numRef>
          </c:cat>
          <c:val>
            <c:numRef>
              <c:f>グラフ!$F$42:$F$703</c:f>
              <c:numCache>
                <c:formatCode>General</c:formatCode>
                <c:ptCount val="662"/>
                <c:pt idx="0">
                  <c:v>3.51641791044776</c:v>
                </c:pt>
                <c:pt idx="1">
                  <c:v>3.5169867060561302</c:v>
                </c:pt>
                <c:pt idx="2">
                  <c:v>3.50445103857566</c:v>
                </c:pt>
                <c:pt idx="3">
                  <c:v>3.50147928994082</c:v>
                </c:pt>
                <c:pt idx="4">
                  <c:v>3.5193452380952301</c:v>
                </c:pt>
                <c:pt idx="5">
                  <c:v>3.5455882352941099</c:v>
                </c:pt>
                <c:pt idx="6">
                  <c:v>3.4399421128798799</c:v>
                </c:pt>
                <c:pt idx="7">
                  <c:v>3.4193083573487</c:v>
                </c:pt>
                <c:pt idx="8">
                  <c:v>3.41279069767441</c:v>
                </c:pt>
                <c:pt idx="9">
                  <c:v>3.3997175141242901</c:v>
                </c:pt>
                <c:pt idx="10">
                  <c:v>3.4394366197182999</c:v>
                </c:pt>
                <c:pt idx="11">
                  <c:v>3.4300144300144302</c:v>
                </c:pt>
                <c:pt idx="12">
                  <c:v>3.4255014326647499</c:v>
                </c:pt>
                <c:pt idx="13">
                  <c:v>3.3542857142857101</c:v>
                </c:pt>
                <c:pt idx="14">
                  <c:v>3.3084648493543698</c:v>
                </c:pt>
                <c:pt idx="15">
                  <c:v>3.3096960926193901</c:v>
                </c:pt>
                <c:pt idx="16">
                  <c:v>3.38038632986627</c:v>
                </c:pt>
                <c:pt idx="17">
                  <c:v>3.32697947214076</c:v>
                </c:pt>
                <c:pt idx="18">
                  <c:v>3.2733918128654902</c:v>
                </c:pt>
                <c:pt idx="19">
                  <c:v>3.2565597667638402</c:v>
                </c:pt>
                <c:pt idx="20">
                  <c:v>3.29437869822485</c:v>
                </c:pt>
                <c:pt idx="21">
                  <c:v>3.2609970674486801</c:v>
                </c:pt>
                <c:pt idx="22">
                  <c:v>3.2636229749631802</c:v>
                </c:pt>
                <c:pt idx="23">
                  <c:v>3.2451708766716099</c:v>
                </c:pt>
                <c:pt idx="24">
                  <c:v>3.2218890554722601</c:v>
                </c:pt>
                <c:pt idx="25">
                  <c:v>3.28220858895705</c:v>
                </c:pt>
                <c:pt idx="26">
                  <c:v>3.3032159264930998</c:v>
                </c:pt>
                <c:pt idx="27">
                  <c:v>3.2393292682926802</c:v>
                </c:pt>
                <c:pt idx="28">
                  <c:v>3.2380952380952301</c:v>
                </c:pt>
                <c:pt idx="29">
                  <c:v>3.28</c:v>
                </c:pt>
                <c:pt idx="30">
                  <c:v>3.2572815533980499</c:v>
                </c:pt>
                <c:pt idx="31">
                  <c:v>3.1971153846153801</c:v>
                </c:pt>
                <c:pt idx="32">
                  <c:v>3.1787439613526498</c:v>
                </c:pt>
                <c:pt idx="33">
                  <c:v>3.1931260229132499</c:v>
                </c:pt>
                <c:pt idx="34">
                  <c:v>3.20197044334975</c:v>
                </c:pt>
                <c:pt idx="35">
                  <c:v>3.2105263157894699</c:v>
                </c:pt>
                <c:pt idx="36">
                  <c:v>3.1990445859872598</c:v>
                </c:pt>
                <c:pt idx="37">
                  <c:v>3.2515923566878899</c:v>
                </c:pt>
                <c:pt idx="38">
                  <c:v>3.2367149758454099</c:v>
                </c:pt>
                <c:pt idx="39">
                  <c:v>3.1825396825396801</c:v>
                </c:pt>
                <c:pt idx="40">
                  <c:v>3.1908517350157699</c:v>
                </c:pt>
                <c:pt idx="41">
                  <c:v>3.17088607594936</c:v>
                </c:pt>
                <c:pt idx="42">
                  <c:v>3.1597444089456799</c:v>
                </c:pt>
                <c:pt idx="43">
                  <c:v>3.2038523274478301</c:v>
                </c:pt>
                <c:pt idx="44">
                  <c:v>3.1468750000000001</c:v>
                </c:pt>
                <c:pt idx="45">
                  <c:v>3.21061093247588</c:v>
                </c:pt>
                <c:pt idx="46">
                  <c:v>3.2225755166931598</c:v>
                </c:pt>
                <c:pt idx="47">
                  <c:v>3.1875993640699498</c:v>
                </c:pt>
                <c:pt idx="48">
                  <c:v>3.19354838709677</c:v>
                </c:pt>
                <c:pt idx="49">
                  <c:v>3.2006472491909301</c:v>
                </c:pt>
                <c:pt idx="50">
                  <c:v>3.2066666666666599</c:v>
                </c:pt>
                <c:pt idx="51">
                  <c:v>3.23842195540308</c:v>
                </c:pt>
                <c:pt idx="52">
                  <c:v>3.2682926829268202</c:v>
                </c:pt>
                <c:pt idx="53">
                  <c:v>3.25565217391304</c:v>
                </c:pt>
                <c:pt idx="54">
                  <c:v>3.27935943060498</c:v>
                </c:pt>
                <c:pt idx="55">
                  <c:v>3.25868055555555</c:v>
                </c:pt>
                <c:pt idx="56">
                  <c:v>3.2703639514731302</c:v>
                </c:pt>
                <c:pt idx="57">
                  <c:v>3.2148900169204699</c:v>
                </c:pt>
                <c:pt idx="58">
                  <c:v>3.2991304347826</c:v>
                </c:pt>
                <c:pt idx="59">
                  <c:v>3.3156028368794299</c:v>
                </c:pt>
                <c:pt idx="60">
                  <c:v>3.3169877408056001</c:v>
                </c:pt>
                <c:pt idx="61">
                  <c:v>3.3232682060390699</c:v>
                </c:pt>
                <c:pt idx="62">
                  <c:v>3.2785467128027599</c:v>
                </c:pt>
                <c:pt idx="63">
                  <c:v>3.2120689655172399</c:v>
                </c:pt>
                <c:pt idx="64">
                  <c:v>3.27622377622377</c:v>
                </c:pt>
                <c:pt idx="65">
                  <c:v>3.2335640138408301</c:v>
                </c:pt>
                <c:pt idx="66">
                  <c:v>3.21403508771929</c:v>
                </c:pt>
                <c:pt idx="67">
                  <c:v>3.2124999999999999</c:v>
                </c:pt>
                <c:pt idx="68">
                  <c:v>3.1779359430604899</c:v>
                </c:pt>
                <c:pt idx="69">
                  <c:v>3.1742957746478799</c:v>
                </c:pt>
                <c:pt idx="70">
                  <c:v>3.2378378378378301</c:v>
                </c:pt>
                <c:pt idx="71">
                  <c:v>3.25316455696202</c:v>
                </c:pt>
                <c:pt idx="72">
                  <c:v>3.4105461393596901</c:v>
                </c:pt>
                <c:pt idx="73">
                  <c:v>3.3861940298507398</c:v>
                </c:pt>
                <c:pt idx="74">
                  <c:v>3.3400735294117601</c:v>
                </c:pt>
                <c:pt idx="75">
                  <c:v>3.3715846994535501</c:v>
                </c:pt>
                <c:pt idx="76">
                  <c:v>3.3918439716312001</c:v>
                </c:pt>
                <c:pt idx="77">
                  <c:v>3.4577702702702702</c:v>
                </c:pt>
                <c:pt idx="78">
                  <c:v>3.4449999999999998</c:v>
                </c:pt>
                <c:pt idx="79">
                  <c:v>3.3913764510779401</c:v>
                </c:pt>
                <c:pt idx="80">
                  <c:v>3.4577702702702702</c:v>
                </c:pt>
                <c:pt idx="81">
                  <c:v>3.4420529801324502</c:v>
                </c:pt>
                <c:pt idx="82">
                  <c:v>3.49421487603305</c:v>
                </c:pt>
                <c:pt idx="83">
                  <c:v>3.4782608695652102</c:v>
                </c:pt>
                <c:pt idx="84">
                  <c:v>3.5066889632107001</c:v>
                </c:pt>
                <c:pt idx="85">
                  <c:v>3.5042158516020199</c:v>
                </c:pt>
                <c:pt idx="86">
                  <c:v>3.5152027027027</c:v>
                </c:pt>
                <c:pt idx="87">
                  <c:v>3.55190311418685</c:v>
                </c:pt>
                <c:pt idx="88">
                  <c:v>3.5334448160535099</c:v>
                </c:pt>
                <c:pt idx="89">
                  <c:v>3.4387417218543002</c:v>
                </c:pt>
                <c:pt idx="90">
                  <c:v>3.4991789819375998</c:v>
                </c:pt>
                <c:pt idx="91">
                  <c:v>3.4869706840390799</c:v>
                </c:pt>
                <c:pt idx="92">
                  <c:v>3.48856209150326</c:v>
                </c:pt>
                <c:pt idx="93">
                  <c:v>3.4051446945337598</c:v>
                </c:pt>
                <c:pt idx="94">
                  <c:v>3.4308426073131901</c:v>
                </c:pt>
                <c:pt idx="95">
                  <c:v>3.4012441679626702</c:v>
                </c:pt>
                <c:pt idx="96">
                  <c:v>3.4131455399060999</c:v>
                </c:pt>
                <c:pt idx="97">
                  <c:v>3.4159999999999999</c:v>
                </c:pt>
                <c:pt idx="98">
                  <c:v>3.3968253968253901</c:v>
                </c:pt>
                <c:pt idx="99">
                  <c:v>3.4421221864951699</c:v>
                </c:pt>
                <c:pt idx="100">
                  <c:v>3.48489932885906</c:v>
                </c:pt>
                <c:pt idx="101">
                  <c:v>3.49413735343383</c:v>
                </c:pt>
                <c:pt idx="102">
                  <c:v>3.48888888888888</c:v>
                </c:pt>
                <c:pt idx="103">
                  <c:v>3.4922813036020499</c:v>
                </c:pt>
                <c:pt idx="104">
                  <c:v>3.45546218487394</c:v>
                </c:pt>
                <c:pt idx="105">
                  <c:v>3.4672268907563</c:v>
                </c:pt>
                <c:pt idx="106">
                  <c:v>3.5149501661129499</c:v>
                </c:pt>
                <c:pt idx="107">
                  <c:v>3.5133333333333301</c:v>
                </c:pt>
                <c:pt idx="108">
                  <c:v>3.5333333333333301</c:v>
                </c:pt>
                <c:pt idx="109">
                  <c:v>3.57118927973199</c:v>
                </c:pt>
                <c:pt idx="110">
                  <c:v>3.6084033613445299</c:v>
                </c:pt>
                <c:pt idx="111">
                  <c:v>3.5856905158069798</c:v>
                </c:pt>
                <c:pt idx="112">
                  <c:v>3.5656401944894598</c:v>
                </c:pt>
                <c:pt idx="113">
                  <c:v>3.4944356120826701</c:v>
                </c:pt>
                <c:pt idx="114">
                  <c:v>3.45016077170418</c:v>
                </c:pt>
                <c:pt idx="115">
                  <c:v>3.4437299035369699</c:v>
                </c:pt>
                <c:pt idx="116">
                  <c:v>3.4357723577235699</c:v>
                </c:pt>
                <c:pt idx="117">
                  <c:v>3.5098360655737699</c:v>
                </c:pt>
                <c:pt idx="118">
                  <c:v>3.4588815789473601</c:v>
                </c:pt>
                <c:pt idx="119">
                  <c:v>3.39867109634551</c:v>
                </c:pt>
                <c:pt idx="120">
                  <c:v>3.4691151919866399</c:v>
                </c:pt>
                <c:pt idx="121">
                  <c:v>3.5099667774086298</c:v>
                </c:pt>
                <c:pt idx="122">
                  <c:v>3.5033783783783701</c:v>
                </c:pt>
                <c:pt idx="123">
                  <c:v>3.4608985024958399</c:v>
                </c:pt>
                <c:pt idx="124">
                  <c:v>3.4488448844884401</c:v>
                </c:pt>
                <c:pt idx="125">
                  <c:v>3.4440789473684199</c:v>
                </c:pt>
                <c:pt idx="126">
                  <c:v>3.5099337748344301</c:v>
                </c:pt>
                <c:pt idx="127">
                  <c:v>3.4927066450567201</c:v>
                </c:pt>
                <c:pt idx="128">
                  <c:v>3.4708737864077599</c:v>
                </c:pt>
                <c:pt idx="129">
                  <c:v>3.4507936507936501</c:v>
                </c:pt>
                <c:pt idx="130">
                  <c:v>3.46044303797468</c:v>
                </c:pt>
                <c:pt idx="131">
                  <c:v>3.4790322580645099</c:v>
                </c:pt>
                <c:pt idx="132">
                  <c:v>3.39778129952456</c:v>
                </c:pt>
                <c:pt idx="133">
                  <c:v>3.33587786259542</c:v>
                </c:pt>
                <c:pt idx="134">
                  <c:v>3.4789391575663</c:v>
                </c:pt>
                <c:pt idx="135">
                  <c:v>3.6671924290220801</c:v>
                </c:pt>
                <c:pt idx="136">
                  <c:v>3.5955414012738798</c:v>
                </c:pt>
                <c:pt idx="137">
                  <c:v>3.5913978494623602</c:v>
                </c:pt>
                <c:pt idx="138">
                  <c:v>3.5386904761904701</c:v>
                </c:pt>
                <c:pt idx="139">
                  <c:v>3.5109489051094802</c:v>
                </c:pt>
                <c:pt idx="140">
                  <c:v>3.4743777452415801</c:v>
                </c:pt>
                <c:pt idx="141">
                  <c:v>3.5113122171945701</c:v>
                </c:pt>
                <c:pt idx="142">
                  <c:v>3.48596750369276</c:v>
                </c:pt>
                <c:pt idx="143">
                  <c:v>3.5172413793103399</c:v>
                </c:pt>
                <c:pt idx="144">
                  <c:v>3.47470238095238</c:v>
                </c:pt>
                <c:pt idx="145">
                  <c:v>3.45994065281899</c:v>
                </c:pt>
                <c:pt idx="146">
                  <c:v>3.4281567489114599</c:v>
                </c:pt>
                <c:pt idx="147">
                  <c:v>3.4376811594202898</c:v>
                </c:pt>
                <c:pt idx="148">
                  <c:v>3.4211287988422501</c:v>
                </c:pt>
                <c:pt idx="149">
                  <c:v>3.4452662721893401</c:v>
                </c:pt>
                <c:pt idx="150">
                  <c:v>3.4437869822485201</c:v>
                </c:pt>
                <c:pt idx="151">
                  <c:v>3.4050073637702498</c:v>
                </c:pt>
                <c:pt idx="152">
                  <c:v>3.4240231548480402</c:v>
                </c:pt>
                <c:pt idx="153">
                  <c:v>3.4762589928057501</c:v>
                </c:pt>
                <c:pt idx="154">
                  <c:v>3.4942528735632101</c:v>
                </c:pt>
                <c:pt idx="155">
                  <c:v>3.5144092219020102</c:v>
                </c:pt>
                <c:pt idx="156">
                  <c:v>3.5258620689655098</c:v>
                </c:pt>
                <c:pt idx="157">
                  <c:v>3.5706051873198801</c:v>
                </c:pt>
                <c:pt idx="158">
                  <c:v>3.5894134477825399</c:v>
                </c:pt>
                <c:pt idx="159">
                  <c:v>3.6073529411764702</c:v>
                </c:pt>
                <c:pt idx="160">
                  <c:v>3.6443452380952301</c:v>
                </c:pt>
                <c:pt idx="161">
                  <c:v>3.5830945558739198</c:v>
                </c:pt>
                <c:pt idx="162">
                  <c:v>3.5636114911080701</c:v>
                </c:pt>
                <c:pt idx="163">
                  <c:v>3.6368876080691601</c:v>
                </c:pt>
                <c:pt idx="164">
                  <c:v>3.5986013986013901</c:v>
                </c:pt>
                <c:pt idx="165">
                  <c:v>3.5792426367461401</c:v>
                </c:pt>
                <c:pt idx="166">
                  <c:v>3.5895627644569799</c:v>
                </c:pt>
                <c:pt idx="167">
                  <c:v>3.59375</c:v>
                </c:pt>
                <c:pt idx="168">
                  <c:v>3.6248196248196201</c:v>
                </c:pt>
                <c:pt idx="169">
                  <c:v>3.6184971098265799</c:v>
                </c:pt>
                <c:pt idx="170">
                  <c:v>3.6289855072463699</c:v>
                </c:pt>
                <c:pt idx="171">
                  <c:v>3.6140602582496402</c:v>
                </c:pt>
                <c:pt idx="172">
                  <c:v>3.6524926686216999</c:v>
                </c:pt>
                <c:pt idx="173">
                  <c:v>3.63716814159292</c:v>
                </c:pt>
                <c:pt idx="174">
                  <c:v>3.59913793103448</c:v>
                </c:pt>
                <c:pt idx="175">
                  <c:v>3.5451977401129899</c:v>
                </c:pt>
                <c:pt idx="176">
                  <c:v>3.6251768033946199</c:v>
                </c:pt>
                <c:pt idx="177">
                  <c:v>3.5704323570432299</c:v>
                </c:pt>
                <c:pt idx="178">
                  <c:v>3.6557610241820702</c:v>
                </c:pt>
                <c:pt idx="179">
                  <c:v>3.66478076379066</c:v>
                </c:pt>
                <c:pt idx="180">
                  <c:v>3.7202295552367199</c:v>
                </c:pt>
                <c:pt idx="181">
                  <c:v>3.6657183499288699</c:v>
                </c:pt>
                <c:pt idx="182">
                  <c:v>3.61810466760961</c:v>
                </c:pt>
                <c:pt idx="183">
                  <c:v>3.6739130434782599</c:v>
                </c:pt>
                <c:pt idx="184">
                  <c:v>3.5566572237960301</c:v>
                </c:pt>
                <c:pt idx="185">
                  <c:v>3.55240793201133</c:v>
                </c:pt>
                <c:pt idx="186">
                  <c:v>3.5262411347517699</c:v>
                </c:pt>
                <c:pt idx="187">
                  <c:v>3.4759887005649701</c:v>
                </c:pt>
                <c:pt idx="188">
                  <c:v>3.5180375180375099</c:v>
                </c:pt>
                <c:pt idx="189">
                  <c:v>3.5732946298983999</c:v>
                </c:pt>
                <c:pt idx="190">
                  <c:v>3.5625</c:v>
                </c:pt>
                <c:pt idx="191">
                  <c:v>3.6461086637297999</c:v>
                </c:pt>
                <c:pt idx="192">
                  <c:v>3.69321533923303</c:v>
                </c:pt>
                <c:pt idx="193">
                  <c:v>3.6392045454545401</c:v>
                </c:pt>
                <c:pt idx="194">
                  <c:v>3.5581717451523498</c:v>
                </c:pt>
                <c:pt idx="195">
                  <c:v>3.6030640668523599</c:v>
                </c:pt>
                <c:pt idx="196">
                  <c:v>3.5801952580195202</c:v>
                </c:pt>
                <c:pt idx="197">
                  <c:v>3.5962643678160902</c:v>
                </c:pt>
                <c:pt idx="198">
                  <c:v>3.6341463414634099</c:v>
                </c:pt>
                <c:pt idx="199">
                  <c:v>3.6959064327485298</c:v>
                </c:pt>
                <c:pt idx="200">
                  <c:v>3.6613603473227201</c:v>
                </c:pt>
                <c:pt idx="201">
                  <c:v>3.69208211143695</c:v>
                </c:pt>
                <c:pt idx="202">
                  <c:v>3.6715542521994098</c:v>
                </c:pt>
                <c:pt idx="203">
                  <c:v>3.6808823529411701</c:v>
                </c:pt>
                <c:pt idx="204">
                  <c:v>3.6510948905109402</c:v>
                </c:pt>
                <c:pt idx="205">
                  <c:v>3.5994236311239098</c:v>
                </c:pt>
                <c:pt idx="206">
                  <c:v>3.5826210826210798</c:v>
                </c:pt>
                <c:pt idx="207">
                  <c:v>3.5565092989985598</c:v>
                </c:pt>
                <c:pt idx="208">
                  <c:v>3.5956204379562</c:v>
                </c:pt>
                <c:pt idx="209">
                  <c:v>3.6102189781021798</c:v>
                </c:pt>
                <c:pt idx="210">
                  <c:v>3.5573065902578702</c:v>
                </c:pt>
                <c:pt idx="211">
                  <c:v>3.5450581395348801</c:v>
                </c:pt>
                <c:pt idx="212">
                  <c:v>3.63425253991291</c:v>
                </c:pt>
                <c:pt idx="213">
                  <c:v>3.6695778748180401</c:v>
                </c:pt>
                <c:pt idx="214">
                  <c:v>3.65049928673323</c:v>
                </c:pt>
                <c:pt idx="215">
                  <c:v>3.60511363636363</c:v>
                </c:pt>
                <c:pt idx="216">
                  <c:v>3.5753623188405799</c:v>
                </c:pt>
                <c:pt idx="217">
                  <c:v>3.64868804664723</c:v>
                </c:pt>
                <c:pt idx="218">
                  <c:v>3.6142649199417698</c:v>
                </c:pt>
                <c:pt idx="219">
                  <c:v>3.6040372670807401</c:v>
                </c:pt>
                <c:pt idx="220">
                  <c:v>3.6325878594249201</c:v>
                </c:pt>
                <c:pt idx="221">
                  <c:v>3.61846153846153</c:v>
                </c:pt>
                <c:pt idx="222">
                  <c:v>3.6</c:v>
                </c:pt>
                <c:pt idx="223">
                  <c:v>3.6477438136826699</c:v>
                </c:pt>
                <c:pt idx="224">
                  <c:v>3.68945022288261</c:v>
                </c:pt>
                <c:pt idx="225">
                  <c:v>3.6802325581395299</c:v>
                </c:pt>
                <c:pt idx="226">
                  <c:v>3.6061046511627901</c:v>
                </c:pt>
                <c:pt idx="227">
                  <c:v>3.6278735632183898</c:v>
                </c:pt>
                <c:pt idx="228">
                  <c:v>3.55212922173274</c:v>
                </c:pt>
                <c:pt idx="229">
                  <c:v>3.6641337386018198</c:v>
                </c:pt>
                <c:pt idx="230">
                  <c:v>3.5670553935860001</c:v>
                </c:pt>
                <c:pt idx="231">
                  <c:v>3.5497159090908998</c:v>
                </c:pt>
                <c:pt idx="232">
                  <c:v>3.50974930362116</c:v>
                </c:pt>
                <c:pt idx="233">
                  <c:v>3.4386920980926399</c:v>
                </c:pt>
                <c:pt idx="234">
                  <c:v>3.4346049046321498</c:v>
                </c:pt>
                <c:pt idx="235">
                  <c:v>3.4505208333333299</c:v>
                </c:pt>
                <c:pt idx="236">
                  <c:v>3.4267015706806201</c:v>
                </c:pt>
                <c:pt idx="237">
                  <c:v>3.3842105263157798</c:v>
                </c:pt>
                <c:pt idx="238">
                  <c:v>3.4216867469879499</c:v>
                </c:pt>
                <c:pt idx="239">
                  <c:v>3.5121951219512102</c:v>
                </c:pt>
                <c:pt idx="240">
                  <c:v>3.4829467939972698</c:v>
                </c:pt>
                <c:pt idx="241">
                  <c:v>3.56643356643356</c:v>
                </c:pt>
                <c:pt idx="242">
                  <c:v>3.52454417952314</c:v>
                </c:pt>
                <c:pt idx="243">
                  <c:v>3.4320652173913002</c:v>
                </c:pt>
                <c:pt idx="244">
                  <c:v>3.4362139917695398</c:v>
                </c:pt>
                <c:pt idx="245">
                  <c:v>3.4972752043596702</c:v>
                </c:pt>
                <c:pt idx="246">
                  <c:v>3.6068493150684899</c:v>
                </c:pt>
                <c:pt idx="247">
                  <c:v>3.5810810810810798</c:v>
                </c:pt>
                <c:pt idx="248">
                  <c:v>3.65421853388658</c:v>
                </c:pt>
                <c:pt idx="249">
                  <c:v>3.5875331564986701</c:v>
                </c:pt>
                <c:pt idx="250">
                  <c:v>3.4903225806451599</c:v>
                </c:pt>
                <c:pt idx="251">
                  <c:v>3.5136186770428002</c:v>
                </c:pt>
                <c:pt idx="252">
                  <c:v>3.4870801033591698</c:v>
                </c:pt>
                <c:pt idx="253">
                  <c:v>3.4891165172855301</c:v>
                </c:pt>
                <c:pt idx="254">
                  <c:v>3.4762516046213001</c:v>
                </c:pt>
                <c:pt idx="255">
                  <c:v>3.4682230869001298</c:v>
                </c:pt>
                <c:pt idx="256">
                  <c:v>3.4222797927461102</c:v>
                </c:pt>
                <c:pt idx="257">
                  <c:v>3.45203679369251</c:v>
                </c:pt>
                <c:pt idx="258">
                  <c:v>3.4671916010498598</c:v>
                </c:pt>
                <c:pt idx="259">
                  <c:v>3.3756684491978599</c:v>
                </c:pt>
                <c:pt idx="260">
                  <c:v>3.2835820895522301</c:v>
                </c:pt>
                <c:pt idx="261">
                  <c:v>3.3415637860082299</c:v>
                </c:pt>
                <c:pt idx="262">
                  <c:v>3.52857142857142</c:v>
                </c:pt>
                <c:pt idx="263">
                  <c:v>3.56</c:v>
                </c:pt>
                <c:pt idx="264">
                  <c:v>3.4575</c:v>
                </c:pt>
                <c:pt idx="265">
                  <c:v>3.47607052896725</c:v>
                </c:pt>
                <c:pt idx="266">
                  <c:v>3.5227848101265802</c:v>
                </c:pt>
                <c:pt idx="267">
                  <c:v>3.5018450184501799</c:v>
                </c:pt>
                <c:pt idx="268">
                  <c:v>3.4728877679697301</c:v>
                </c:pt>
                <c:pt idx="269">
                  <c:v>3.4961439588688901</c:v>
                </c:pt>
                <c:pt idx="270">
                  <c:v>3.4830614805520699</c:v>
                </c:pt>
                <c:pt idx="271">
                  <c:v>3.51457541191381</c:v>
                </c:pt>
                <c:pt idx="272">
                  <c:v>3.5</c:v>
                </c:pt>
                <c:pt idx="273">
                  <c:v>3.4697156983930699</c:v>
                </c:pt>
                <c:pt idx="274">
                  <c:v>3.5066991473812399</c:v>
                </c:pt>
                <c:pt idx="275">
                  <c:v>3.4613526570048299</c:v>
                </c:pt>
                <c:pt idx="276">
                  <c:v>3.5122850122850102</c:v>
                </c:pt>
                <c:pt idx="277">
                  <c:v>3.5344827586206802</c:v>
                </c:pt>
                <c:pt idx="278">
                  <c:v>3.55514250309789</c:v>
                </c:pt>
                <c:pt idx="279">
                  <c:v>3.5073170731707299</c:v>
                </c:pt>
                <c:pt idx="280">
                  <c:v>3.5515527950310499</c:v>
                </c:pt>
                <c:pt idx="281">
                  <c:v>3.5006002400960301</c:v>
                </c:pt>
                <c:pt idx="282">
                  <c:v>3.49036144578313</c:v>
                </c:pt>
                <c:pt idx="283">
                  <c:v>3.5221130221130199</c:v>
                </c:pt>
                <c:pt idx="284">
                  <c:v>3.4918648310387899</c:v>
                </c:pt>
                <c:pt idx="285">
                  <c:v>3.4423558897243098</c:v>
                </c:pt>
                <c:pt idx="286">
                  <c:v>3.45580808080808</c:v>
                </c:pt>
                <c:pt idx="287">
                  <c:v>3.4408740359897099</c:v>
                </c:pt>
                <c:pt idx="288">
                  <c:v>3.4150453955901399</c:v>
                </c:pt>
                <c:pt idx="289">
                  <c:v>3.3938992042440299</c:v>
                </c:pt>
                <c:pt idx="290">
                  <c:v>3.43178807947019</c:v>
                </c:pt>
                <c:pt idx="291">
                  <c:v>3.4528552456839301</c:v>
                </c:pt>
                <c:pt idx="292">
                  <c:v>3.44414893617021</c:v>
                </c:pt>
                <c:pt idx="293">
                  <c:v>3.5335120643431601</c:v>
                </c:pt>
                <c:pt idx="294">
                  <c:v>3.4442970822281098</c:v>
                </c:pt>
                <c:pt idx="295">
                  <c:v>3.452</c:v>
                </c:pt>
                <c:pt idx="296">
                  <c:v>3.4596026490066198</c:v>
                </c:pt>
                <c:pt idx="297">
                  <c:v>3.4468911917098399</c:v>
                </c:pt>
                <c:pt idx="298">
                  <c:v>3.4574742268041199</c:v>
                </c:pt>
                <c:pt idx="299">
                  <c:v>3.4832904884318698</c:v>
                </c:pt>
                <c:pt idx="300">
                  <c:v>3.5311688311688298</c:v>
                </c:pt>
                <c:pt idx="301">
                  <c:v>3.4967824967824899</c:v>
                </c:pt>
                <c:pt idx="302">
                  <c:v>3.4837872892347601</c:v>
                </c:pt>
                <c:pt idx="303">
                  <c:v>3.4973753280839799</c:v>
                </c:pt>
                <c:pt idx="304">
                  <c:v>3.47803617571059</c:v>
                </c:pt>
                <c:pt idx="305">
                  <c:v>3.4986945169712702</c:v>
                </c:pt>
                <c:pt idx="306">
                  <c:v>3.50324254215304</c:v>
                </c:pt>
                <c:pt idx="307">
                  <c:v>3.4929577464788699</c:v>
                </c:pt>
                <c:pt idx="308">
                  <c:v>3.4838292367399699</c:v>
                </c:pt>
                <c:pt idx="309">
                  <c:v>3.4769230769230699</c:v>
                </c:pt>
                <c:pt idx="310">
                  <c:v>3.42</c:v>
                </c:pt>
                <c:pt idx="311">
                  <c:v>3.38403041825095</c:v>
                </c:pt>
                <c:pt idx="312">
                  <c:v>3.2535545023696599</c:v>
                </c:pt>
                <c:pt idx="313">
                  <c:v>3.1808755760368599</c:v>
                </c:pt>
                <c:pt idx="314">
                  <c:v>3.13097949886104</c:v>
                </c:pt>
                <c:pt idx="315">
                  <c:v>3.09130913091309</c:v>
                </c:pt>
                <c:pt idx="316">
                  <c:v>3.1666666666666599</c:v>
                </c:pt>
                <c:pt idx="317">
                  <c:v>3.2261521972132901</c:v>
                </c:pt>
                <c:pt idx="318">
                  <c:v>3.2753164556962</c:v>
                </c:pt>
                <c:pt idx="319">
                  <c:v>3.2368148914167501</c:v>
                </c:pt>
                <c:pt idx="320">
                  <c:v>3.2599795291709301</c:v>
                </c:pt>
                <c:pt idx="321">
                  <c:v>3.2287449392712499</c:v>
                </c:pt>
                <c:pt idx="322">
                  <c:v>3.3094994892747698</c:v>
                </c:pt>
                <c:pt idx="323">
                  <c:v>3.3299389002036599</c:v>
                </c:pt>
                <c:pt idx="324">
                  <c:v>3.35251046025104</c:v>
                </c:pt>
                <c:pt idx="325">
                  <c:v>3.4014675052410901</c:v>
                </c:pt>
                <c:pt idx="326">
                  <c:v>3.3511205976520801</c:v>
                </c:pt>
                <c:pt idx="327">
                  <c:v>3.3210137275607101</c:v>
                </c:pt>
                <c:pt idx="328">
                  <c:v>3.3350895679662802</c:v>
                </c:pt>
                <c:pt idx="329">
                  <c:v>3.3437826541274802</c:v>
                </c:pt>
                <c:pt idx="330">
                  <c:v>3.3140756302521002</c:v>
                </c:pt>
                <c:pt idx="331">
                  <c:v>3.3404482390608301</c:v>
                </c:pt>
                <c:pt idx="332">
                  <c:v>3.33510074231177</c:v>
                </c:pt>
                <c:pt idx="333">
                  <c:v>3.3298208640674298</c:v>
                </c:pt>
                <c:pt idx="334">
                  <c:v>3.26862539349422</c:v>
                </c:pt>
                <c:pt idx="335">
                  <c:v>3.2704402515723201</c:v>
                </c:pt>
                <c:pt idx="336">
                  <c:v>3.3118279569892399</c:v>
                </c:pt>
                <c:pt idx="337">
                  <c:v>3.2846320346320299</c:v>
                </c:pt>
                <c:pt idx="338">
                  <c:v>3.2782515991471199</c:v>
                </c:pt>
                <c:pt idx="339">
                  <c:v>3.2594594594594501</c:v>
                </c:pt>
                <c:pt idx="340">
                  <c:v>3.2799145299145298</c:v>
                </c:pt>
                <c:pt idx="341">
                  <c:v>3.2987551867219902</c:v>
                </c:pt>
                <c:pt idx="342">
                  <c:v>3.3039419087136901</c:v>
                </c:pt>
                <c:pt idx="343">
                  <c:v>3.2836587872559</c:v>
                </c:pt>
                <c:pt idx="344">
                  <c:v>3.2866043613707099</c:v>
                </c:pt>
                <c:pt idx="345">
                  <c:v>3.2894736842105199</c:v>
                </c:pt>
                <c:pt idx="346">
                  <c:v>3.2518210197710702</c:v>
                </c:pt>
                <c:pt idx="347">
                  <c:v>3.2866043613707099</c:v>
                </c:pt>
                <c:pt idx="348">
                  <c:v>3.3228511530398301</c:v>
                </c:pt>
                <c:pt idx="349">
                  <c:v>3.26541274817136</c:v>
                </c:pt>
                <c:pt idx="350">
                  <c:v>3.20668693009118</c:v>
                </c:pt>
                <c:pt idx="351">
                  <c:v>3.2085020242914899</c:v>
                </c:pt>
                <c:pt idx="352">
                  <c:v>3.2056451612903198</c:v>
                </c:pt>
                <c:pt idx="353">
                  <c:v>3.18637274549098</c:v>
                </c:pt>
                <c:pt idx="354">
                  <c:v>3.2092555331991899</c:v>
                </c:pt>
                <c:pt idx="355">
                  <c:v>3.16</c:v>
                </c:pt>
                <c:pt idx="356">
                  <c:v>3.1675126903553301</c:v>
                </c:pt>
                <c:pt idx="357">
                  <c:v>3.2287449392712499</c:v>
                </c:pt>
                <c:pt idx="358">
                  <c:v>3.24824824824824</c:v>
                </c:pt>
                <c:pt idx="359">
                  <c:v>3.23232323232323</c:v>
                </c:pt>
                <c:pt idx="360">
                  <c:v>3.2809330628803202</c:v>
                </c:pt>
                <c:pt idx="361">
                  <c:v>3.2468879668049699</c:v>
                </c:pt>
                <c:pt idx="362">
                  <c:v>3.2776617954070901</c:v>
                </c:pt>
                <c:pt idx="363">
                  <c:v>3.2165271966527098</c:v>
                </c:pt>
                <c:pt idx="364">
                  <c:v>3.1780538302277401</c:v>
                </c:pt>
                <c:pt idx="365">
                  <c:v>3.1218014329580299</c:v>
                </c:pt>
                <c:pt idx="366">
                  <c:v>3.0330330330330302</c:v>
                </c:pt>
                <c:pt idx="367">
                  <c:v>3.0909090909090899</c:v>
                </c:pt>
                <c:pt idx="368">
                  <c:v>3.1269035532994902</c:v>
                </c:pt>
                <c:pt idx="369">
                  <c:v>3.1326530612244898</c:v>
                </c:pt>
                <c:pt idx="370">
                  <c:v>3.1180061037639799</c:v>
                </c:pt>
                <c:pt idx="371">
                  <c:v>3.20288362512873</c:v>
                </c:pt>
                <c:pt idx="372">
                  <c:v>3.2411273486429999</c:v>
                </c:pt>
                <c:pt idx="373">
                  <c:v>3.23068893528183</c:v>
                </c:pt>
                <c:pt idx="374">
                  <c:v>3.2676348547717802</c:v>
                </c:pt>
                <c:pt idx="375">
                  <c:v>3.3194154488517702</c:v>
                </c:pt>
                <c:pt idx="376">
                  <c:v>3.3174097664543498</c:v>
                </c:pt>
                <c:pt idx="377">
                  <c:v>3.50389321468298</c:v>
                </c:pt>
                <c:pt idx="378">
                  <c:v>3.4343434343434298</c:v>
                </c:pt>
                <c:pt idx="379">
                  <c:v>3.4503901895206202</c:v>
                </c:pt>
                <c:pt idx="380">
                  <c:v>3.4403153153153099</c:v>
                </c:pt>
                <c:pt idx="381">
                  <c:v>3.4276018099547501</c:v>
                </c:pt>
                <c:pt idx="382">
                  <c:v>3.36966292134831</c:v>
                </c:pt>
                <c:pt idx="383">
                  <c:v>3.3351769911504401</c:v>
                </c:pt>
                <c:pt idx="384">
                  <c:v>3.3262331838565</c:v>
                </c:pt>
                <c:pt idx="385">
                  <c:v>3.3496027241770698</c:v>
                </c:pt>
                <c:pt idx="386">
                  <c:v>3.3462857142857101</c:v>
                </c:pt>
                <c:pt idx="387">
                  <c:v>3.34837962962962</c:v>
                </c:pt>
                <c:pt idx="388">
                  <c:v>3.2930444697833501</c:v>
                </c:pt>
                <c:pt idx="389">
                  <c:v>3.2879818594104302</c:v>
                </c:pt>
                <c:pt idx="390">
                  <c:v>3.3455797933409799</c:v>
                </c:pt>
                <c:pt idx="391">
                  <c:v>3.59675405742821</c:v>
                </c:pt>
                <c:pt idx="392">
                  <c:v>3.5687500000000001</c:v>
                </c:pt>
                <c:pt idx="393">
                  <c:v>3.5806045340050301</c:v>
                </c:pt>
                <c:pt idx="394">
                  <c:v>3.5439490445859798</c:v>
                </c:pt>
                <c:pt idx="395">
                  <c:v>3.5531645569620198</c:v>
                </c:pt>
                <c:pt idx="396">
                  <c:v>3.5081555834378899</c:v>
                </c:pt>
                <c:pt idx="397">
                  <c:v>3.4688691232528499</c:v>
                </c:pt>
                <c:pt idx="398">
                  <c:v>3.4663278271918601</c:v>
                </c:pt>
                <c:pt idx="399">
                  <c:v>3.5673940949935798</c:v>
                </c:pt>
                <c:pt idx="400">
                  <c:v>3.5979247730220401</c:v>
                </c:pt>
                <c:pt idx="401">
                  <c:v>3.3994708994708902</c:v>
                </c:pt>
                <c:pt idx="402">
                  <c:v>3.42312746386333</c:v>
                </c:pt>
                <c:pt idx="403">
                  <c:v>3.42153047989623</c:v>
                </c:pt>
                <c:pt idx="404">
                  <c:v>3.4293193717277402</c:v>
                </c:pt>
                <c:pt idx="405">
                  <c:v>3.4110671936758798</c:v>
                </c:pt>
                <c:pt idx="406">
                  <c:v>3.5025906735751202</c:v>
                </c:pt>
                <c:pt idx="407">
                  <c:v>3.5488621151271702</c:v>
                </c:pt>
                <c:pt idx="408">
                  <c:v>3.4686248331108098</c:v>
                </c:pt>
                <c:pt idx="409">
                  <c:v>3.4114649681528602</c:v>
                </c:pt>
                <c:pt idx="410">
                  <c:v>3.4787644787644698</c:v>
                </c:pt>
                <c:pt idx="411">
                  <c:v>3.4162371134020599</c:v>
                </c:pt>
                <c:pt idx="412">
                  <c:v>3.4178343949044501</c:v>
                </c:pt>
                <c:pt idx="413">
                  <c:v>3.44726810673443</c:v>
                </c:pt>
                <c:pt idx="414">
                  <c:v>3.5415617128463399</c:v>
                </c:pt>
                <c:pt idx="415">
                  <c:v>3.4843945068664102</c:v>
                </c:pt>
                <c:pt idx="416">
                  <c:v>3.4830614805520699</c:v>
                </c:pt>
                <c:pt idx="417">
                  <c:v>3.4405063291139202</c:v>
                </c:pt>
                <c:pt idx="418">
                  <c:v>3.4955070603337601</c:v>
                </c:pt>
                <c:pt idx="419">
                  <c:v>3.4750320102432699</c:v>
                </c:pt>
                <c:pt idx="420">
                  <c:v>3.4179487179487098</c:v>
                </c:pt>
                <c:pt idx="421">
                  <c:v>3.3979460847239999</c:v>
                </c:pt>
                <c:pt idx="422">
                  <c:v>3.3713188220230399</c:v>
                </c:pt>
                <c:pt idx="423">
                  <c:v>3.3526448362720398</c:v>
                </c:pt>
                <c:pt idx="424">
                  <c:v>3.2935444579780699</c:v>
                </c:pt>
                <c:pt idx="425">
                  <c:v>3.30963855421686</c:v>
                </c:pt>
                <c:pt idx="426">
                  <c:v>3.3496332518337399</c:v>
                </c:pt>
                <c:pt idx="427">
                  <c:v>3.34432234432234</c:v>
                </c:pt>
                <c:pt idx="428">
                  <c:v>3.2952029520295198</c:v>
                </c:pt>
                <c:pt idx="429">
                  <c:v>3.3483009708737801</c:v>
                </c:pt>
                <c:pt idx="430">
                  <c:v>3.3837638376383699</c:v>
                </c:pt>
                <c:pt idx="431">
                  <c:v>3.3935643564356401</c:v>
                </c:pt>
                <c:pt idx="432">
                  <c:v>3.3793969849246199</c:v>
                </c:pt>
                <c:pt idx="433">
                  <c:v>3.3073979591836702</c:v>
                </c:pt>
                <c:pt idx="434">
                  <c:v>3.3242542153047898</c:v>
                </c:pt>
                <c:pt idx="435">
                  <c:v>3.3941326530612201</c:v>
                </c:pt>
                <c:pt idx="436">
                  <c:v>3.3929024081115302</c:v>
                </c:pt>
                <c:pt idx="437">
                  <c:v>3.41604010025062</c:v>
                </c:pt>
                <c:pt idx="438">
                  <c:v>3.57994923857868</c:v>
                </c:pt>
                <c:pt idx="439">
                  <c:v>3.64572864321608</c:v>
                </c:pt>
                <c:pt idx="440">
                  <c:v>3.6384976525821502</c:v>
                </c:pt>
                <c:pt idx="441">
                  <c:v>3.6295871559632999</c:v>
                </c:pt>
                <c:pt idx="442">
                  <c:v>3.6232718894009199</c:v>
                </c:pt>
                <c:pt idx="443">
                  <c:v>3.6130536130536099</c:v>
                </c:pt>
                <c:pt idx="444">
                  <c:v>3.57471264367816</c:v>
                </c:pt>
                <c:pt idx="445">
                  <c:v>3.5545556805399299</c:v>
                </c:pt>
                <c:pt idx="446">
                  <c:v>3.5730337078651599</c:v>
                </c:pt>
                <c:pt idx="447">
                  <c:v>3.5859728506787301</c:v>
                </c:pt>
                <c:pt idx="448">
                  <c:v>3.5545556805399299</c:v>
                </c:pt>
                <c:pt idx="449">
                  <c:v>3.5369955156950601</c:v>
                </c:pt>
                <c:pt idx="450">
                  <c:v>3.5369955156950601</c:v>
                </c:pt>
                <c:pt idx="451">
                  <c:v>3.5412026726057899</c:v>
                </c:pt>
                <c:pt idx="452">
                  <c:v>3.5227272727272698</c:v>
                </c:pt>
                <c:pt idx="453">
                  <c:v>3.50111856823266</c:v>
                </c:pt>
                <c:pt idx="454">
                  <c:v>3.4905660377358401</c:v>
                </c:pt>
                <c:pt idx="455">
                  <c:v>3.4983314794215699</c:v>
                </c:pt>
                <c:pt idx="456">
                  <c:v>3.4911894273127699</c:v>
                </c:pt>
                <c:pt idx="457">
                  <c:v>3.48849945235487</c:v>
                </c:pt>
                <c:pt idx="458">
                  <c:v>3.4846827133479201</c:v>
                </c:pt>
                <c:pt idx="459">
                  <c:v>3.46448087431693</c:v>
                </c:pt>
                <c:pt idx="460">
                  <c:v>3.4794372294372198</c:v>
                </c:pt>
                <c:pt idx="461">
                  <c:v>3.44120819848975</c:v>
                </c:pt>
                <c:pt idx="462">
                  <c:v>3.4955752212389299</c:v>
                </c:pt>
                <c:pt idx="463">
                  <c:v>3.5127635960044299</c:v>
                </c:pt>
                <c:pt idx="464">
                  <c:v>3.5044150110375201</c:v>
                </c:pt>
                <c:pt idx="465">
                  <c:v>3.5117056856187201</c:v>
                </c:pt>
                <c:pt idx="466">
                  <c:v>3.5337078651685299</c:v>
                </c:pt>
                <c:pt idx="467">
                  <c:v>3.53863381858902</c:v>
                </c:pt>
                <c:pt idx="468">
                  <c:v>3.5449438202247099</c:v>
                </c:pt>
                <c:pt idx="469">
                  <c:v>3.5960874568469499</c:v>
                </c:pt>
                <c:pt idx="470">
                  <c:v>3.63272311212814</c:v>
                </c:pt>
                <c:pt idx="471">
                  <c:v>3.6378923766816098</c:v>
                </c:pt>
                <c:pt idx="472">
                  <c:v>3.6887115165336302</c:v>
                </c:pt>
                <c:pt idx="473">
                  <c:v>3.65771812080536</c:v>
                </c:pt>
                <c:pt idx="474">
                  <c:v>3.6547085201793701</c:v>
                </c:pt>
                <c:pt idx="475">
                  <c:v>3.6445444319460001</c:v>
                </c:pt>
                <c:pt idx="476">
                  <c:v>3.68</c:v>
                </c:pt>
                <c:pt idx="477">
                  <c:v>3.6178414096916298</c:v>
                </c:pt>
                <c:pt idx="478">
                  <c:v>3.6368715083798802</c:v>
                </c:pt>
                <c:pt idx="479">
                  <c:v>3.6177474402730301</c:v>
                </c:pt>
                <c:pt idx="480">
                  <c:v>3.6015538290787998</c:v>
                </c:pt>
                <c:pt idx="481">
                  <c:v>3.6606129398410898</c:v>
                </c:pt>
                <c:pt idx="482">
                  <c:v>3.6711711711711699</c:v>
                </c:pt>
                <c:pt idx="483">
                  <c:v>3.6328125</c:v>
                </c:pt>
                <c:pt idx="484">
                  <c:v>3.7013729977116698</c:v>
                </c:pt>
                <c:pt idx="485">
                  <c:v>3.6658932714617101</c:v>
                </c:pt>
                <c:pt idx="486">
                  <c:v>3.6686046511627901</c:v>
                </c:pt>
                <c:pt idx="487">
                  <c:v>3.6405529953917002</c:v>
                </c:pt>
                <c:pt idx="488">
                  <c:v>3.67276887871853</c:v>
                </c:pt>
                <c:pt idx="489">
                  <c:v>3.6540664375715899</c:v>
                </c:pt>
                <c:pt idx="490">
                  <c:v>3.6720554272517298</c:v>
                </c:pt>
                <c:pt idx="491">
                  <c:v>3.7147887323943598</c:v>
                </c:pt>
                <c:pt idx="492">
                  <c:v>3.7353629976580698</c:v>
                </c:pt>
                <c:pt idx="493">
                  <c:v>3.7928994082840202</c:v>
                </c:pt>
                <c:pt idx="494">
                  <c:v>3.7342497136311499</c:v>
                </c:pt>
                <c:pt idx="495">
                  <c:v>3.7471655328798099</c:v>
                </c:pt>
                <c:pt idx="496">
                  <c:v>3.6299892125134798</c:v>
                </c:pt>
                <c:pt idx="497">
                  <c:v>3.4339815762538302</c:v>
                </c:pt>
                <c:pt idx="498">
                  <c:v>3.5617860851505698</c:v>
                </c:pt>
                <c:pt idx="499">
                  <c:v>3.6396303901437301</c:v>
                </c:pt>
                <c:pt idx="500">
                  <c:v>3.6690647482014298</c:v>
                </c:pt>
                <c:pt idx="501">
                  <c:v>3.68366285119667</c:v>
                </c:pt>
                <c:pt idx="502">
                  <c:v>3.7459978655282802</c:v>
                </c:pt>
                <c:pt idx="503">
                  <c:v>3.7133550488599298</c:v>
                </c:pt>
                <c:pt idx="504">
                  <c:v>3.6928104575163401</c:v>
                </c:pt>
                <c:pt idx="505">
                  <c:v>3.7185104052573901</c:v>
                </c:pt>
                <c:pt idx="506">
                  <c:v>3.7555803571428501</c:v>
                </c:pt>
                <c:pt idx="507">
                  <c:v>3.7907761529808699</c:v>
                </c:pt>
                <c:pt idx="508">
                  <c:v>3.7302483069977401</c:v>
                </c:pt>
                <c:pt idx="509">
                  <c:v>3.7570942111237202</c:v>
                </c:pt>
                <c:pt idx="510">
                  <c:v>3.7929061784896998</c:v>
                </c:pt>
                <c:pt idx="511">
                  <c:v>3.83815028901734</c:v>
                </c:pt>
                <c:pt idx="512">
                  <c:v>3.7387387387387299</c:v>
                </c:pt>
                <c:pt idx="513">
                  <c:v>3.7485970819304102</c:v>
                </c:pt>
                <c:pt idx="514">
                  <c:v>3.7134831460674098</c:v>
                </c:pt>
                <c:pt idx="515">
                  <c:v>3.79566210045662</c:v>
                </c:pt>
                <c:pt idx="516">
                  <c:v>3.8062283737024201</c:v>
                </c:pt>
                <c:pt idx="517">
                  <c:v>3.8157894736842102</c:v>
                </c:pt>
                <c:pt idx="518">
                  <c:v>3.8009049773755601</c:v>
                </c:pt>
                <c:pt idx="519">
                  <c:v>3.7064965197215698</c:v>
                </c:pt>
                <c:pt idx="520">
                  <c:v>3.6562860438292901</c:v>
                </c:pt>
                <c:pt idx="521">
                  <c:v>3.6104783599088801</c:v>
                </c:pt>
                <c:pt idx="522">
                  <c:v>3.5803167420814401</c:v>
                </c:pt>
                <c:pt idx="523">
                  <c:v>3.6013590033975</c:v>
                </c:pt>
                <c:pt idx="524">
                  <c:v>3.7058152793614498</c:v>
                </c:pt>
                <c:pt idx="525">
                  <c:v>3.6929223744292199</c:v>
                </c:pt>
                <c:pt idx="526">
                  <c:v>3.6631944444444402</c:v>
                </c:pt>
                <c:pt idx="527">
                  <c:v>3.6845168800931298</c:v>
                </c:pt>
                <c:pt idx="528">
                  <c:v>3.7263033175355398</c:v>
                </c:pt>
                <c:pt idx="529">
                  <c:v>3.7395459976105099</c:v>
                </c:pt>
                <c:pt idx="530">
                  <c:v>3.7259615384615299</c:v>
                </c:pt>
                <c:pt idx="531">
                  <c:v>3.7137681159420199</c:v>
                </c:pt>
                <c:pt idx="532">
                  <c:v>3.63309352517985</c:v>
                </c:pt>
                <c:pt idx="533">
                  <c:v>3.6744759556103501</c:v>
                </c:pt>
                <c:pt idx="534">
                  <c:v>3.7114673242909899</c:v>
                </c:pt>
                <c:pt idx="535">
                  <c:v>3.6929716399506698</c:v>
                </c:pt>
                <c:pt idx="536">
                  <c:v>3.69753086419753</c:v>
                </c:pt>
                <c:pt idx="537">
                  <c:v>3.6897404202719399</c:v>
                </c:pt>
                <c:pt idx="538">
                  <c:v>3.6940298507462601</c:v>
                </c:pt>
                <c:pt idx="539">
                  <c:v>3.79093198992443</c:v>
                </c:pt>
                <c:pt idx="540">
                  <c:v>3.7769328263624802</c:v>
                </c:pt>
                <c:pt idx="541">
                  <c:v>3.8125802310654602</c:v>
                </c:pt>
                <c:pt idx="542">
                  <c:v>3.8613231552162799</c:v>
                </c:pt>
                <c:pt idx="543">
                  <c:v>3.8867924528301798</c:v>
                </c:pt>
                <c:pt idx="544">
                  <c:v>3.83544303797468</c:v>
                </c:pt>
                <c:pt idx="545">
                  <c:v>3.8578680203045601</c:v>
                </c:pt>
                <c:pt idx="546">
                  <c:v>3.7984981226533101</c:v>
                </c:pt>
                <c:pt idx="547">
                  <c:v>3.8662420382165599</c:v>
                </c:pt>
                <c:pt idx="548">
                  <c:v>3.8697318007662802</c:v>
                </c:pt>
                <c:pt idx="549">
                  <c:v>3.8095238095238</c:v>
                </c:pt>
                <c:pt idx="550">
                  <c:v>3.8770388958594699</c:v>
                </c:pt>
                <c:pt idx="551">
                  <c:v>3.86649874055415</c:v>
                </c:pt>
                <c:pt idx="552">
                  <c:v>3.86591478696741</c:v>
                </c:pt>
                <c:pt idx="553">
                  <c:v>3.8945362134688599</c:v>
                </c:pt>
                <c:pt idx="554">
                  <c:v>3.8399503722084298</c:v>
                </c:pt>
                <c:pt idx="555">
                  <c:v>4.0090673575129498</c:v>
                </c:pt>
                <c:pt idx="556">
                  <c:v>4.0399484536082397</c:v>
                </c:pt>
                <c:pt idx="557">
                  <c:v>4.0310077519379801</c:v>
                </c:pt>
                <c:pt idx="558">
                  <c:v>4.1153846153846096</c:v>
                </c:pt>
                <c:pt idx="559">
                  <c:v>4.1064638783269896</c:v>
                </c:pt>
                <c:pt idx="560">
                  <c:v>4.0417690417690402</c:v>
                </c:pt>
                <c:pt idx="561">
                  <c:v>4.0655339805825204</c:v>
                </c:pt>
                <c:pt idx="562">
                  <c:v>4.0586034912718203</c:v>
                </c:pt>
                <c:pt idx="563">
                  <c:v>4.1217948717948696</c:v>
                </c:pt>
                <c:pt idx="564">
                  <c:v>4.1493506493506498</c:v>
                </c:pt>
                <c:pt idx="565">
                  <c:v>4.1259640102827699</c:v>
                </c:pt>
                <c:pt idx="566">
                  <c:v>4.1831357048748297</c:v>
                </c:pt>
                <c:pt idx="567">
                  <c:v>4.1931216931216904</c:v>
                </c:pt>
                <c:pt idx="568">
                  <c:v>4.2</c:v>
                </c:pt>
                <c:pt idx="569">
                  <c:v>4.1534391534391499</c:v>
                </c:pt>
                <c:pt idx="570">
                  <c:v>4.21228304405874</c:v>
                </c:pt>
                <c:pt idx="571">
                  <c:v>4.2516556291390701</c:v>
                </c:pt>
                <c:pt idx="572">
                  <c:v>4.2338177014531002</c:v>
                </c:pt>
                <c:pt idx="573">
                  <c:v>4.2171052631578902</c:v>
                </c:pt>
                <c:pt idx="574">
                  <c:v>4.2297476759628099</c:v>
                </c:pt>
                <c:pt idx="575">
                  <c:v>4.2338709677419297</c:v>
                </c:pt>
                <c:pt idx="576">
                  <c:v>4.2344173441734396</c:v>
                </c:pt>
                <c:pt idx="577">
                  <c:v>4.2729766803840796</c:v>
                </c:pt>
                <c:pt idx="578">
                  <c:v>4.24863387978142</c:v>
                </c:pt>
                <c:pt idx="579">
                  <c:v>4.2510121457489802</c:v>
                </c:pt>
                <c:pt idx="580">
                  <c:v>4.3881856540084296</c:v>
                </c:pt>
                <c:pt idx="581">
                  <c:v>4.3229901269393496</c:v>
                </c:pt>
                <c:pt idx="582">
                  <c:v>4.2461964038727498</c:v>
                </c:pt>
                <c:pt idx="583">
                  <c:v>4.2715700141442703</c:v>
                </c:pt>
                <c:pt idx="584">
                  <c:v>4.3145743145743101</c:v>
                </c:pt>
                <c:pt idx="585">
                  <c:v>4.3285714285714203</c:v>
                </c:pt>
                <c:pt idx="586">
                  <c:v>4.25714285714285</c:v>
                </c:pt>
                <c:pt idx="587">
                  <c:v>4.23943661971831</c:v>
                </c:pt>
                <c:pt idx="588">
                  <c:v>4.2847025495750701</c:v>
                </c:pt>
                <c:pt idx="589">
                  <c:v>4.3137254901960702</c:v>
                </c:pt>
                <c:pt idx="590">
                  <c:v>4.2628650904033298</c:v>
                </c:pt>
                <c:pt idx="591">
                  <c:v>4.2946058091286297</c:v>
                </c:pt>
                <c:pt idx="592">
                  <c:v>4.3263888888888804</c:v>
                </c:pt>
                <c:pt idx="593">
                  <c:v>4.3065187239944498</c:v>
                </c:pt>
                <c:pt idx="594">
                  <c:v>4.2986111111111098</c:v>
                </c:pt>
                <c:pt idx="595">
                  <c:v>4.3258426966292101</c:v>
                </c:pt>
                <c:pt idx="596">
                  <c:v>4.2787114845938303</c:v>
                </c:pt>
                <c:pt idx="597">
                  <c:v>4.3380281690140796</c:v>
                </c:pt>
                <c:pt idx="598">
                  <c:v>4.28169014084507</c:v>
                </c:pt>
                <c:pt idx="599">
                  <c:v>4.23943661971831</c:v>
                </c:pt>
                <c:pt idx="600">
                  <c:v>4.2269503546099196</c:v>
                </c:pt>
                <c:pt idx="601">
                  <c:v>4.2196531791907503</c:v>
                </c:pt>
                <c:pt idx="602">
                  <c:v>4.2743105950653097</c:v>
                </c:pt>
                <c:pt idx="603">
                  <c:v>4.2450142450142403</c:v>
                </c:pt>
                <c:pt idx="604">
                  <c:v>4.2464788732394299</c:v>
                </c:pt>
                <c:pt idx="605">
                  <c:v>4.2597765363128399</c:v>
                </c:pt>
                <c:pt idx="606">
                  <c:v>4.2706872370266398</c:v>
                </c:pt>
                <c:pt idx="607">
                  <c:v>4.3624641833810802</c:v>
                </c:pt>
                <c:pt idx="608">
                  <c:v>4.3624641833810802</c:v>
                </c:pt>
                <c:pt idx="609">
                  <c:v>4.3149717514124202</c:v>
                </c:pt>
                <c:pt idx="610">
                  <c:v>4.2988668555240697</c:v>
                </c:pt>
                <c:pt idx="611">
                  <c:v>4.2458100558659204</c:v>
                </c:pt>
                <c:pt idx="612">
                  <c:v>4.2233009708737796</c:v>
                </c:pt>
                <c:pt idx="613">
                  <c:v>4.2409470752089096</c:v>
                </c:pt>
                <c:pt idx="614">
                  <c:v>4.1849315068493098</c:v>
                </c:pt>
                <c:pt idx="615">
                  <c:v>4.2127071823204396</c:v>
                </c:pt>
                <c:pt idx="616">
                  <c:v>4.2016806722688997</c:v>
                </c:pt>
                <c:pt idx="617">
                  <c:v>4.1944444444444402</c:v>
                </c:pt>
                <c:pt idx="618">
                  <c:v>4.2345505617977501</c:v>
                </c:pt>
                <c:pt idx="619">
                  <c:v>4.2064606741572996</c:v>
                </c:pt>
                <c:pt idx="620">
                  <c:v>4.1868758915834503</c:v>
                </c:pt>
                <c:pt idx="621">
                  <c:v>4.34684684684684</c:v>
                </c:pt>
                <c:pt idx="622">
                  <c:v>4.0419580419580399</c:v>
                </c:pt>
                <c:pt idx="623">
                  <c:v>4.0542420027816402</c:v>
                </c:pt>
                <c:pt idx="624">
                  <c:v>4.1376912378303201</c:v>
                </c:pt>
                <c:pt idx="625">
                  <c:v>4.0676795580110499</c:v>
                </c:pt>
                <c:pt idx="626">
                  <c:v>4.1248206599713004</c:v>
                </c:pt>
                <c:pt idx="627">
                  <c:v>4.0804597701149401</c:v>
                </c:pt>
                <c:pt idx="628">
                  <c:v>4.1206395348837201</c:v>
                </c:pt>
                <c:pt idx="629">
                  <c:v>4.0982404692082097</c:v>
                </c:pt>
                <c:pt idx="630">
                  <c:v>4.0995607613469902</c:v>
                </c:pt>
                <c:pt idx="631">
                  <c:v>4.1543026706231396</c:v>
                </c:pt>
                <c:pt idx="632">
                  <c:v>4.1541916167664601</c:v>
                </c:pt>
                <c:pt idx="633">
                  <c:v>4.1768292682926802</c:v>
                </c:pt>
                <c:pt idx="634">
                  <c:v>4.16282642089093</c:v>
                </c:pt>
                <c:pt idx="635">
                  <c:v>4.1334355828220799</c:v>
                </c:pt>
                <c:pt idx="636">
                  <c:v>4.1476407914764</c:v>
                </c:pt>
                <c:pt idx="637">
                  <c:v>4.1217257318952196</c:v>
                </c:pt>
                <c:pt idx="638">
                  <c:v>4.1162790697674403</c:v>
                </c:pt>
                <c:pt idx="639">
                  <c:v>4.1424196018376698</c:v>
                </c:pt>
                <c:pt idx="640">
                  <c:v>4.0827067669172896</c:v>
                </c:pt>
                <c:pt idx="641">
                  <c:v>4.0963855421686697</c:v>
                </c:pt>
                <c:pt idx="642">
                  <c:v>4.1883614088820798</c:v>
                </c:pt>
                <c:pt idx="643">
                  <c:v>4.13608562691131</c:v>
                </c:pt>
                <c:pt idx="644">
                  <c:v>4.203125</c:v>
                </c:pt>
                <c:pt idx="645">
                  <c:v>4.1743119266055002</c:v>
                </c:pt>
                <c:pt idx="646">
                  <c:v>4.15781487101669</c:v>
                </c:pt>
                <c:pt idx="647">
                  <c:v>4.1281669150521596</c:v>
                </c:pt>
                <c:pt idx="648">
                  <c:v>4.08955223880597</c:v>
                </c:pt>
                <c:pt idx="649">
                  <c:v>4.0680473372780996</c:v>
                </c:pt>
                <c:pt idx="650">
                  <c:v>4.0143884892086303</c:v>
                </c:pt>
                <c:pt idx="651">
                  <c:v>4.0793201133144397</c:v>
                </c:pt>
                <c:pt idx="652">
                  <c:v>4.1824817518248096</c:v>
                </c:pt>
                <c:pt idx="653">
                  <c:v>4.1347517730496399</c:v>
                </c:pt>
                <c:pt idx="654">
                  <c:v>4.1630901287553597</c:v>
                </c:pt>
                <c:pt idx="655">
                  <c:v>4.1548295454545396</c:v>
                </c:pt>
                <c:pt idx="656">
                  <c:v>4.1444600280504904</c:v>
                </c:pt>
                <c:pt idx="657">
                  <c:v>4.0934449093444902</c:v>
                </c:pt>
                <c:pt idx="658">
                  <c:v>4.1584852734922801</c:v>
                </c:pt>
                <c:pt idx="659">
                  <c:v>4.1631799163179899</c:v>
                </c:pt>
                <c:pt idx="660">
                  <c:v>4.1991643454038998</c:v>
                </c:pt>
                <c:pt idx="661">
                  <c:v>4.1631799163179899</c:v>
                </c:pt>
              </c:numCache>
            </c:numRef>
          </c:val>
        </c:ser>
        <c:ser>
          <c:idx val="1"/>
          <c:order val="1"/>
          <c:tx>
            <c:strRef>
              <c:f>グラフ!$N$41</c:f>
              <c:strCache>
                <c:ptCount val="1"/>
                <c:pt idx="0">
                  <c:v>+2-Sigama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dPt>
            <c:idx val="526"/>
            <c:spPr>
              <a:ln w="25400">
                <a:solidFill>
                  <a:schemeClr val="accent2"/>
                </a:solidFill>
              </a:ln>
            </c:spPr>
          </c:dPt>
          <c:cat>
            <c:numRef>
              <c:f>グラフ!$A$42:$A$703</c:f>
              <c:numCache>
                <c:formatCode>yyyy/mm/dd</c:formatCode>
                <c:ptCount val="662"/>
                <c:pt idx="0">
                  <c:v>43795</c:v>
                </c:pt>
                <c:pt idx="1">
                  <c:v>43794</c:v>
                </c:pt>
                <c:pt idx="2">
                  <c:v>43791</c:v>
                </c:pt>
                <c:pt idx="3">
                  <c:v>43790</c:v>
                </c:pt>
                <c:pt idx="4">
                  <c:v>43789</c:v>
                </c:pt>
                <c:pt idx="5">
                  <c:v>43788</c:v>
                </c:pt>
                <c:pt idx="6">
                  <c:v>43787</c:v>
                </c:pt>
                <c:pt idx="7">
                  <c:v>43784</c:v>
                </c:pt>
                <c:pt idx="8">
                  <c:v>43783</c:v>
                </c:pt>
                <c:pt idx="9">
                  <c:v>43782</c:v>
                </c:pt>
                <c:pt idx="10">
                  <c:v>43781</c:v>
                </c:pt>
                <c:pt idx="11">
                  <c:v>43780</c:v>
                </c:pt>
                <c:pt idx="12">
                  <c:v>43777</c:v>
                </c:pt>
                <c:pt idx="13">
                  <c:v>43776</c:v>
                </c:pt>
                <c:pt idx="14">
                  <c:v>43775</c:v>
                </c:pt>
                <c:pt idx="15">
                  <c:v>43774</c:v>
                </c:pt>
                <c:pt idx="16">
                  <c:v>43770</c:v>
                </c:pt>
                <c:pt idx="17">
                  <c:v>43769</c:v>
                </c:pt>
                <c:pt idx="18">
                  <c:v>43768</c:v>
                </c:pt>
                <c:pt idx="19">
                  <c:v>43767</c:v>
                </c:pt>
                <c:pt idx="20">
                  <c:v>43766</c:v>
                </c:pt>
                <c:pt idx="21">
                  <c:v>43763</c:v>
                </c:pt>
                <c:pt idx="22">
                  <c:v>43762</c:v>
                </c:pt>
                <c:pt idx="23">
                  <c:v>43761</c:v>
                </c:pt>
                <c:pt idx="24">
                  <c:v>43759</c:v>
                </c:pt>
                <c:pt idx="25">
                  <c:v>43756</c:v>
                </c:pt>
                <c:pt idx="26">
                  <c:v>43755</c:v>
                </c:pt>
                <c:pt idx="27">
                  <c:v>43754</c:v>
                </c:pt>
                <c:pt idx="28">
                  <c:v>43753</c:v>
                </c:pt>
                <c:pt idx="29">
                  <c:v>43749</c:v>
                </c:pt>
                <c:pt idx="30">
                  <c:v>43748</c:v>
                </c:pt>
                <c:pt idx="31">
                  <c:v>43747</c:v>
                </c:pt>
                <c:pt idx="32">
                  <c:v>43746</c:v>
                </c:pt>
                <c:pt idx="33">
                  <c:v>43745</c:v>
                </c:pt>
                <c:pt idx="34">
                  <c:v>43742</c:v>
                </c:pt>
                <c:pt idx="35">
                  <c:v>43741</c:v>
                </c:pt>
                <c:pt idx="36">
                  <c:v>43740</c:v>
                </c:pt>
                <c:pt idx="37">
                  <c:v>43739</c:v>
                </c:pt>
                <c:pt idx="38">
                  <c:v>43738</c:v>
                </c:pt>
                <c:pt idx="39">
                  <c:v>43735</c:v>
                </c:pt>
                <c:pt idx="40">
                  <c:v>43734</c:v>
                </c:pt>
                <c:pt idx="41">
                  <c:v>43733</c:v>
                </c:pt>
                <c:pt idx="42">
                  <c:v>43732</c:v>
                </c:pt>
                <c:pt idx="43">
                  <c:v>43728</c:v>
                </c:pt>
                <c:pt idx="44">
                  <c:v>43727</c:v>
                </c:pt>
                <c:pt idx="45">
                  <c:v>43726</c:v>
                </c:pt>
                <c:pt idx="46">
                  <c:v>43725</c:v>
                </c:pt>
                <c:pt idx="47">
                  <c:v>43721</c:v>
                </c:pt>
                <c:pt idx="48">
                  <c:v>43720</c:v>
                </c:pt>
                <c:pt idx="49">
                  <c:v>43719</c:v>
                </c:pt>
                <c:pt idx="50">
                  <c:v>43718</c:v>
                </c:pt>
                <c:pt idx="51">
                  <c:v>43717</c:v>
                </c:pt>
                <c:pt idx="52">
                  <c:v>43714</c:v>
                </c:pt>
                <c:pt idx="53">
                  <c:v>43713</c:v>
                </c:pt>
                <c:pt idx="54">
                  <c:v>43712</c:v>
                </c:pt>
                <c:pt idx="55">
                  <c:v>43711</c:v>
                </c:pt>
                <c:pt idx="56">
                  <c:v>43710</c:v>
                </c:pt>
                <c:pt idx="57">
                  <c:v>43707</c:v>
                </c:pt>
                <c:pt idx="58">
                  <c:v>43706</c:v>
                </c:pt>
                <c:pt idx="59">
                  <c:v>43705</c:v>
                </c:pt>
                <c:pt idx="60">
                  <c:v>43704</c:v>
                </c:pt>
                <c:pt idx="61">
                  <c:v>43703</c:v>
                </c:pt>
                <c:pt idx="62">
                  <c:v>43700</c:v>
                </c:pt>
                <c:pt idx="63">
                  <c:v>43699</c:v>
                </c:pt>
                <c:pt idx="64">
                  <c:v>43698</c:v>
                </c:pt>
                <c:pt idx="65">
                  <c:v>43697</c:v>
                </c:pt>
                <c:pt idx="66">
                  <c:v>43696</c:v>
                </c:pt>
                <c:pt idx="67">
                  <c:v>43693</c:v>
                </c:pt>
                <c:pt idx="68">
                  <c:v>43692</c:v>
                </c:pt>
                <c:pt idx="69">
                  <c:v>43691</c:v>
                </c:pt>
                <c:pt idx="70">
                  <c:v>43690</c:v>
                </c:pt>
                <c:pt idx="71">
                  <c:v>43686</c:v>
                </c:pt>
                <c:pt idx="72">
                  <c:v>43685</c:v>
                </c:pt>
                <c:pt idx="73">
                  <c:v>43684</c:v>
                </c:pt>
                <c:pt idx="74">
                  <c:v>43683</c:v>
                </c:pt>
                <c:pt idx="75">
                  <c:v>43682</c:v>
                </c:pt>
                <c:pt idx="76">
                  <c:v>43679</c:v>
                </c:pt>
                <c:pt idx="77">
                  <c:v>43678</c:v>
                </c:pt>
                <c:pt idx="78">
                  <c:v>43677</c:v>
                </c:pt>
                <c:pt idx="79">
                  <c:v>43676</c:v>
                </c:pt>
                <c:pt idx="80">
                  <c:v>43675</c:v>
                </c:pt>
                <c:pt idx="81">
                  <c:v>43672</c:v>
                </c:pt>
                <c:pt idx="82">
                  <c:v>43671</c:v>
                </c:pt>
                <c:pt idx="83">
                  <c:v>43670</c:v>
                </c:pt>
                <c:pt idx="84">
                  <c:v>43669</c:v>
                </c:pt>
                <c:pt idx="85">
                  <c:v>43668</c:v>
                </c:pt>
                <c:pt idx="86">
                  <c:v>43665</c:v>
                </c:pt>
                <c:pt idx="87">
                  <c:v>43664</c:v>
                </c:pt>
                <c:pt idx="88">
                  <c:v>43663</c:v>
                </c:pt>
                <c:pt idx="89">
                  <c:v>43662</c:v>
                </c:pt>
                <c:pt idx="90">
                  <c:v>43658</c:v>
                </c:pt>
                <c:pt idx="91">
                  <c:v>43657</c:v>
                </c:pt>
                <c:pt idx="92">
                  <c:v>43656</c:v>
                </c:pt>
                <c:pt idx="93">
                  <c:v>43655</c:v>
                </c:pt>
                <c:pt idx="94">
                  <c:v>43654</c:v>
                </c:pt>
                <c:pt idx="95">
                  <c:v>43651</c:v>
                </c:pt>
                <c:pt idx="96">
                  <c:v>43650</c:v>
                </c:pt>
                <c:pt idx="97">
                  <c:v>43649</c:v>
                </c:pt>
                <c:pt idx="98">
                  <c:v>43648</c:v>
                </c:pt>
                <c:pt idx="99">
                  <c:v>43647</c:v>
                </c:pt>
                <c:pt idx="100">
                  <c:v>43644</c:v>
                </c:pt>
                <c:pt idx="101">
                  <c:v>43643</c:v>
                </c:pt>
                <c:pt idx="102">
                  <c:v>43642</c:v>
                </c:pt>
                <c:pt idx="103">
                  <c:v>43641</c:v>
                </c:pt>
                <c:pt idx="104">
                  <c:v>43640</c:v>
                </c:pt>
                <c:pt idx="105">
                  <c:v>43637</c:v>
                </c:pt>
                <c:pt idx="106">
                  <c:v>43636</c:v>
                </c:pt>
                <c:pt idx="107">
                  <c:v>43635</c:v>
                </c:pt>
                <c:pt idx="108">
                  <c:v>43634</c:v>
                </c:pt>
                <c:pt idx="109">
                  <c:v>43633</c:v>
                </c:pt>
                <c:pt idx="110">
                  <c:v>43630</c:v>
                </c:pt>
                <c:pt idx="111">
                  <c:v>43629</c:v>
                </c:pt>
                <c:pt idx="112">
                  <c:v>43628</c:v>
                </c:pt>
                <c:pt idx="113">
                  <c:v>43627</c:v>
                </c:pt>
                <c:pt idx="114">
                  <c:v>43626</c:v>
                </c:pt>
                <c:pt idx="115">
                  <c:v>43623</c:v>
                </c:pt>
                <c:pt idx="116">
                  <c:v>43622</c:v>
                </c:pt>
                <c:pt idx="117">
                  <c:v>43621</c:v>
                </c:pt>
                <c:pt idx="118">
                  <c:v>43620</c:v>
                </c:pt>
                <c:pt idx="119">
                  <c:v>43619</c:v>
                </c:pt>
                <c:pt idx="120">
                  <c:v>43616</c:v>
                </c:pt>
                <c:pt idx="121">
                  <c:v>43615</c:v>
                </c:pt>
                <c:pt idx="122">
                  <c:v>43614</c:v>
                </c:pt>
                <c:pt idx="123">
                  <c:v>43613</c:v>
                </c:pt>
                <c:pt idx="124">
                  <c:v>43612</c:v>
                </c:pt>
                <c:pt idx="125">
                  <c:v>43609</c:v>
                </c:pt>
                <c:pt idx="126">
                  <c:v>43608</c:v>
                </c:pt>
                <c:pt idx="127">
                  <c:v>43607</c:v>
                </c:pt>
                <c:pt idx="128">
                  <c:v>43606</c:v>
                </c:pt>
                <c:pt idx="129">
                  <c:v>43605</c:v>
                </c:pt>
                <c:pt idx="130">
                  <c:v>43602</c:v>
                </c:pt>
                <c:pt idx="131">
                  <c:v>43601</c:v>
                </c:pt>
                <c:pt idx="132">
                  <c:v>43600</c:v>
                </c:pt>
                <c:pt idx="133">
                  <c:v>43599</c:v>
                </c:pt>
                <c:pt idx="134">
                  <c:v>43598</c:v>
                </c:pt>
                <c:pt idx="135">
                  <c:v>43595</c:v>
                </c:pt>
                <c:pt idx="136">
                  <c:v>43594</c:v>
                </c:pt>
                <c:pt idx="137">
                  <c:v>43593</c:v>
                </c:pt>
                <c:pt idx="138">
                  <c:v>43592</c:v>
                </c:pt>
                <c:pt idx="139">
                  <c:v>43581</c:v>
                </c:pt>
                <c:pt idx="140">
                  <c:v>43580</c:v>
                </c:pt>
                <c:pt idx="141">
                  <c:v>43579</c:v>
                </c:pt>
                <c:pt idx="142">
                  <c:v>43578</c:v>
                </c:pt>
                <c:pt idx="143">
                  <c:v>43577</c:v>
                </c:pt>
                <c:pt idx="144">
                  <c:v>43574</c:v>
                </c:pt>
                <c:pt idx="145">
                  <c:v>43573</c:v>
                </c:pt>
                <c:pt idx="146">
                  <c:v>43572</c:v>
                </c:pt>
                <c:pt idx="147">
                  <c:v>43571</c:v>
                </c:pt>
                <c:pt idx="148">
                  <c:v>43570</c:v>
                </c:pt>
                <c:pt idx="149">
                  <c:v>43567</c:v>
                </c:pt>
                <c:pt idx="150">
                  <c:v>43566</c:v>
                </c:pt>
                <c:pt idx="151">
                  <c:v>43565</c:v>
                </c:pt>
                <c:pt idx="152">
                  <c:v>43564</c:v>
                </c:pt>
                <c:pt idx="153">
                  <c:v>43563</c:v>
                </c:pt>
                <c:pt idx="154">
                  <c:v>43560</c:v>
                </c:pt>
                <c:pt idx="155">
                  <c:v>43559</c:v>
                </c:pt>
                <c:pt idx="156">
                  <c:v>43558</c:v>
                </c:pt>
                <c:pt idx="157">
                  <c:v>43557</c:v>
                </c:pt>
                <c:pt idx="158">
                  <c:v>43556</c:v>
                </c:pt>
                <c:pt idx="159">
                  <c:v>43553</c:v>
                </c:pt>
                <c:pt idx="160">
                  <c:v>43552</c:v>
                </c:pt>
                <c:pt idx="161">
                  <c:v>43551</c:v>
                </c:pt>
                <c:pt idx="162">
                  <c:v>43550</c:v>
                </c:pt>
                <c:pt idx="163">
                  <c:v>43549</c:v>
                </c:pt>
                <c:pt idx="164">
                  <c:v>43546</c:v>
                </c:pt>
                <c:pt idx="165">
                  <c:v>43544</c:v>
                </c:pt>
                <c:pt idx="166">
                  <c:v>43543</c:v>
                </c:pt>
                <c:pt idx="167">
                  <c:v>43542</c:v>
                </c:pt>
                <c:pt idx="168">
                  <c:v>43539</c:v>
                </c:pt>
                <c:pt idx="169">
                  <c:v>43538</c:v>
                </c:pt>
                <c:pt idx="170">
                  <c:v>43537</c:v>
                </c:pt>
                <c:pt idx="171">
                  <c:v>43536</c:v>
                </c:pt>
                <c:pt idx="172">
                  <c:v>43535</c:v>
                </c:pt>
                <c:pt idx="173">
                  <c:v>43532</c:v>
                </c:pt>
                <c:pt idx="174">
                  <c:v>43531</c:v>
                </c:pt>
                <c:pt idx="175">
                  <c:v>43530</c:v>
                </c:pt>
                <c:pt idx="176">
                  <c:v>43529</c:v>
                </c:pt>
                <c:pt idx="177">
                  <c:v>43528</c:v>
                </c:pt>
                <c:pt idx="178">
                  <c:v>43525</c:v>
                </c:pt>
                <c:pt idx="179">
                  <c:v>43524</c:v>
                </c:pt>
                <c:pt idx="180">
                  <c:v>43523</c:v>
                </c:pt>
                <c:pt idx="181">
                  <c:v>43522</c:v>
                </c:pt>
                <c:pt idx="182">
                  <c:v>43521</c:v>
                </c:pt>
                <c:pt idx="183">
                  <c:v>43518</c:v>
                </c:pt>
                <c:pt idx="184">
                  <c:v>43517</c:v>
                </c:pt>
                <c:pt idx="185">
                  <c:v>43516</c:v>
                </c:pt>
                <c:pt idx="186">
                  <c:v>43515</c:v>
                </c:pt>
                <c:pt idx="187">
                  <c:v>43514</c:v>
                </c:pt>
                <c:pt idx="188">
                  <c:v>43511</c:v>
                </c:pt>
                <c:pt idx="189">
                  <c:v>43510</c:v>
                </c:pt>
                <c:pt idx="190">
                  <c:v>43509</c:v>
                </c:pt>
                <c:pt idx="191">
                  <c:v>43508</c:v>
                </c:pt>
                <c:pt idx="192">
                  <c:v>43504</c:v>
                </c:pt>
                <c:pt idx="193">
                  <c:v>43503</c:v>
                </c:pt>
                <c:pt idx="194">
                  <c:v>43502</c:v>
                </c:pt>
                <c:pt idx="195">
                  <c:v>43501</c:v>
                </c:pt>
                <c:pt idx="196">
                  <c:v>43500</c:v>
                </c:pt>
                <c:pt idx="197">
                  <c:v>43497</c:v>
                </c:pt>
                <c:pt idx="198">
                  <c:v>43496</c:v>
                </c:pt>
                <c:pt idx="199">
                  <c:v>43495</c:v>
                </c:pt>
                <c:pt idx="200">
                  <c:v>43494</c:v>
                </c:pt>
                <c:pt idx="201">
                  <c:v>43493</c:v>
                </c:pt>
                <c:pt idx="202">
                  <c:v>43490</c:v>
                </c:pt>
                <c:pt idx="203">
                  <c:v>43489</c:v>
                </c:pt>
                <c:pt idx="204">
                  <c:v>43488</c:v>
                </c:pt>
                <c:pt idx="205">
                  <c:v>43487</c:v>
                </c:pt>
                <c:pt idx="206">
                  <c:v>43486</c:v>
                </c:pt>
                <c:pt idx="207">
                  <c:v>43483</c:v>
                </c:pt>
                <c:pt idx="208">
                  <c:v>43482</c:v>
                </c:pt>
                <c:pt idx="209">
                  <c:v>43481</c:v>
                </c:pt>
                <c:pt idx="210">
                  <c:v>43480</c:v>
                </c:pt>
                <c:pt idx="211">
                  <c:v>43476</c:v>
                </c:pt>
                <c:pt idx="212">
                  <c:v>43475</c:v>
                </c:pt>
                <c:pt idx="213">
                  <c:v>43474</c:v>
                </c:pt>
                <c:pt idx="214">
                  <c:v>43473</c:v>
                </c:pt>
                <c:pt idx="215">
                  <c:v>43472</c:v>
                </c:pt>
                <c:pt idx="216">
                  <c:v>43469</c:v>
                </c:pt>
                <c:pt idx="217">
                  <c:v>43462</c:v>
                </c:pt>
                <c:pt idx="218">
                  <c:v>43461</c:v>
                </c:pt>
                <c:pt idx="219">
                  <c:v>43460</c:v>
                </c:pt>
                <c:pt idx="220">
                  <c:v>43459</c:v>
                </c:pt>
                <c:pt idx="221">
                  <c:v>43455</c:v>
                </c:pt>
                <c:pt idx="222">
                  <c:v>43454</c:v>
                </c:pt>
                <c:pt idx="223">
                  <c:v>43453</c:v>
                </c:pt>
                <c:pt idx="224">
                  <c:v>43452</c:v>
                </c:pt>
                <c:pt idx="225">
                  <c:v>43451</c:v>
                </c:pt>
                <c:pt idx="226">
                  <c:v>43448</c:v>
                </c:pt>
                <c:pt idx="227">
                  <c:v>43447</c:v>
                </c:pt>
                <c:pt idx="228">
                  <c:v>43446</c:v>
                </c:pt>
                <c:pt idx="229">
                  <c:v>43445</c:v>
                </c:pt>
                <c:pt idx="230">
                  <c:v>43444</c:v>
                </c:pt>
                <c:pt idx="231">
                  <c:v>43441</c:v>
                </c:pt>
                <c:pt idx="232">
                  <c:v>43440</c:v>
                </c:pt>
                <c:pt idx="233">
                  <c:v>43439</c:v>
                </c:pt>
                <c:pt idx="234">
                  <c:v>43438</c:v>
                </c:pt>
                <c:pt idx="235">
                  <c:v>43437</c:v>
                </c:pt>
                <c:pt idx="236">
                  <c:v>43434</c:v>
                </c:pt>
                <c:pt idx="237">
                  <c:v>43433</c:v>
                </c:pt>
                <c:pt idx="238">
                  <c:v>43432</c:v>
                </c:pt>
                <c:pt idx="239">
                  <c:v>43431</c:v>
                </c:pt>
                <c:pt idx="240">
                  <c:v>43430</c:v>
                </c:pt>
                <c:pt idx="241">
                  <c:v>43426</c:v>
                </c:pt>
                <c:pt idx="242">
                  <c:v>43425</c:v>
                </c:pt>
                <c:pt idx="243">
                  <c:v>43424</c:v>
                </c:pt>
                <c:pt idx="244">
                  <c:v>43423</c:v>
                </c:pt>
                <c:pt idx="245">
                  <c:v>43420</c:v>
                </c:pt>
                <c:pt idx="246">
                  <c:v>43419</c:v>
                </c:pt>
                <c:pt idx="247">
                  <c:v>43418</c:v>
                </c:pt>
                <c:pt idx="248">
                  <c:v>43417</c:v>
                </c:pt>
                <c:pt idx="249">
                  <c:v>43416</c:v>
                </c:pt>
                <c:pt idx="250">
                  <c:v>43413</c:v>
                </c:pt>
                <c:pt idx="251">
                  <c:v>43412</c:v>
                </c:pt>
                <c:pt idx="252">
                  <c:v>43411</c:v>
                </c:pt>
                <c:pt idx="253">
                  <c:v>43410</c:v>
                </c:pt>
                <c:pt idx="254">
                  <c:v>43409</c:v>
                </c:pt>
                <c:pt idx="255">
                  <c:v>43406</c:v>
                </c:pt>
                <c:pt idx="256">
                  <c:v>43405</c:v>
                </c:pt>
                <c:pt idx="257">
                  <c:v>43404</c:v>
                </c:pt>
                <c:pt idx="258">
                  <c:v>43403</c:v>
                </c:pt>
                <c:pt idx="259">
                  <c:v>43402</c:v>
                </c:pt>
                <c:pt idx="260">
                  <c:v>43399</c:v>
                </c:pt>
                <c:pt idx="261">
                  <c:v>43398</c:v>
                </c:pt>
                <c:pt idx="262">
                  <c:v>43397</c:v>
                </c:pt>
                <c:pt idx="263">
                  <c:v>43396</c:v>
                </c:pt>
                <c:pt idx="264">
                  <c:v>43395</c:v>
                </c:pt>
                <c:pt idx="265">
                  <c:v>43392</c:v>
                </c:pt>
                <c:pt idx="266">
                  <c:v>43391</c:v>
                </c:pt>
                <c:pt idx="267">
                  <c:v>43390</c:v>
                </c:pt>
                <c:pt idx="268">
                  <c:v>43389</c:v>
                </c:pt>
                <c:pt idx="269">
                  <c:v>43388</c:v>
                </c:pt>
                <c:pt idx="270">
                  <c:v>43385</c:v>
                </c:pt>
                <c:pt idx="271">
                  <c:v>43384</c:v>
                </c:pt>
                <c:pt idx="272">
                  <c:v>43383</c:v>
                </c:pt>
                <c:pt idx="273">
                  <c:v>43382</c:v>
                </c:pt>
                <c:pt idx="274">
                  <c:v>43378</c:v>
                </c:pt>
                <c:pt idx="275">
                  <c:v>43377</c:v>
                </c:pt>
                <c:pt idx="276">
                  <c:v>43376</c:v>
                </c:pt>
                <c:pt idx="277">
                  <c:v>43375</c:v>
                </c:pt>
                <c:pt idx="278">
                  <c:v>43374</c:v>
                </c:pt>
                <c:pt idx="279">
                  <c:v>43371</c:v>
                </c:pt>
                <c:pt idx="280">
                  <c:v>43370</c:v>
                </c:pt>
                <c:pt idx="281">
                  <c:v>43369</c:v>
                </c:pt>
                <c:pt idx="282">
                  <c:v>43368</c:v>
                </c:pt>
                <c:pt idx="283">
                  <c:v>43364</c:v>
                </c:pt>
                <c:pt idx="284">
                  <c:v>43363</c:v>
                </c:pt>
                <c:pt idx="285">
                  <c:v>43362</c:v>
                </c:pt>
                <c:pt idx="286">
                  <c:v>43361</c:v>
                </c:pt>
                <c:pt idx="287">
                  <c:v>43357</c:v>
                </c:pt>
                <c:pt idx="288">
                  <c:v>43356</c:v>
                </c:pt>
                <c:pt idx="289">
                  <c:v>43355</c:v>
                </c:pt>
                <c:pt idx="290">
                  <c:v>43354</c:v>
                </c:pt>
                <c:pt idx="291">
                  <c:v>43353</c:v>
                </c:pt>
                <c:pt idx="292">
                  <c:v>43350</c:v>
                </c:pt>
                <c:pt idx="293">
                  <c:v>43349</c:v>
                </c:pt>
                <c:pt idx="294">
                  <c:v>43348</c:v>
                </c:pt>
                <c:pt idx="295">
                  <c:v>43347</c:v>
                </c:pt>
                <c:pt idx="296">
                  <c:v>43346</c:v>
                </c:pt>
                <c:pt idx="297">
                  <c:v>43343</c:v>
                </c:pt>
                <c:pt idx="298">
                  <c:v>43342</c:v>
                </c:pt>
                <c:pt idx="299">
                  <c:v>43341</c:v>
                </c:pt>
                <c:pt idx="300">
                  <c:v>43340</c:v>
                </c:pt>
                <c:pt idx="301">
                  <c:v>43339</c:v>
                </c:pt>
                <c:pt idx="302">
                  <c:v>43336</c:v>
                </c:pt>
                <c:pt idx="303">
                  <c:v>43335</c:v>
                </c:pt>
                <c:pt idx="304">
                  <c:v>43334</c:v>
                </c:pt>
                <c:pt idx="305">
                  <c:v>43333</c:v>
                </c:pt>
                <c:pt idx="306">
                  <c:v>43332</c:v>
                </c:pt>
                <c:pt idx="307">
                  <c:v>43329</c:v>
                </c:pt>
                <c:pt idx="308">
                  <c:v>43328</c:v>
                </c:pt>
                <c:pt idx="309">
                  <c:v>43327</c:v>
                </c:pt>
                <c:pt idx="310">
                  <c:v>43326</c:v>
                </c:pt>
                <c:pt idx="311">
                  <c:v>43325</c:v>
                </c:pt>
                <c:pt idx="312">
                  <c:v>43322</c:v>
                </c:pt>
                <c:pt idx="313">
                  <c:v>43321</c:v>
                </c:pt>
                <c:pt idx="314">
                  <c:v>43320</c:v>
                </c:pt>
                <c:pt idx="315">
                  <c:v>43319</c:v>
                </c:pt>
                <c:pt idx="316">
                  <c:v>43318</c:v>
                </c:pt>
                <c:pt idx="317">
                  <c:v>43315</c:v>
                </c:pt>
                <c:pt idx="318">
                  <c:v>43314</c:v>
                </c:pt>
                <c:pt idx="319">
                  <c:v>43313</c:v>
                </c:pt>
                <c:pt idx="320">
                  <c:v>43312</c:v>
                </c:pt>
                <c:pt idx="321">
                  <c:v>43311</c:v>
                </c:pt>
                <c:pt idx="322">
                  <c:v>43308</c:v>
                </c:pt>
                <c:pt idx="323">
                  <c:v>43307</c:v>
                </c:pt>
                <c:pt idx="324">
                  <c:v>43306</c:v>
                </c:pt>
                <c:pt idx="325">
                  <c:v>43305</c:v>
                </c:pt>
                <c:pt idx="326">
                  <c:v>43304</c:v>
                </c:pt>
                <c:pt idx="327">
                  <c:v>43301</c:v>
                </c:pt>
                <c:pt idx="328">
                  <c:v>43300</c:v>
                </c:pt>
                <c:pt idx="329">
                  <c:v>43299</c:v>
                </c:pt>
                <c:pt idx="330">
                  <c:v>43298</c:v>
                </c:pt>
                <c:pt idx="331">
                  <c:v>43294</c:v>
                </c:pt>
                <c:pt idx="332">
                  <c:v>43293</c:v>
                </c:pt>
                <c:pt idx="333">
                  <c:v>43292</c:v>
                </c:pt>
                <c:pt idx="334">
                  <c:v>43291</c:v>
                </c:pt>
                <c:pt idx="335">
                  <c:v>43290</c:v>
                </c:pt>
                <c:pt idx="336">
                  <c:v>43287</c:v>
                </c:pt>
                <c:pt idx="337">
                  <c:v>43286</c:v>
                </c:pt>
                <c:pt idx="338">
                  <c:v>43285</c:v>
                </c:pt>
                <c:pt idx="339">
                  <c:v>43284</c:v>
                </c:pt>
                <c:pt idx="340">
                  <c:v>43283</c:v>
                </c:pt>
                <c:pt idx="341">
                  <c:v>43280</c:v>
                </c:pt>
                <c:pt idx="342">
                  <c:v>43279</c:v>
                </c:pt>
                <c:pt idx="343">
                  <c:v>43278</c:v>
                </c:pt>
                <c:pt idx="344">
                  <c:v>43277</c:v>
                </c:pt>
                <c:pt idx="345">
                  <c:v>43276</c:v>
                </c:pt>
                <c:pt idx="346">
                  <c:v>43273</c:v>
                </c:pt>
                <c:pt idx="347">
                  <c:v>43272</c:v>
                </c:pt>
                <c:pt idx="348">
                  <c:v>43271</c:v>
                </c:pt>
                <c:pt idx="349">
                  <c:v>43270</c:v>
                </c:pt>
                <c:pt idx="350">
                  <c:v>43269</c:v>
                </c:pt>
                <c:pt idx="351">
                  <c:v>43266</c:v>
                </c:pt>
                <c:pt idx="352">
                  <c:v>43265</c:v>
                </c:pt>
                <c:pt idx="353">
                  <c:v>43264</c:v>
                </c:pt>
                <c:pt idx="354">
                  <c:v>43263</c:v>
                </c:pt>
                <c:pt idx="355">
                  <c:v>43262</c:v>
                </c:pt>
                <c:pt idx="356">
                  <c:v>43259</c:v>
                </c:pt>
                <c:pt idx="357">
                  <c:v>43258</c:v>
                </c:pt>
                <c:pt idx="358">
                  <c:v>43257</c:v>
                </c:pt>
                <c:pt idx="359">
                  <c:v>43256</c:v>
                </c:pt>
                <c:pt idx="360">
                  <c:v>43255</c:v>
                </c:pt>
                <c:pt idx="361">
                  <c:v>43252</c:v>
                </c:pt>
                <c:pt idx="362">
                  <c:v>43251</c:v>
                </c:pt>
                <c:pt idx="363">
                  <c:v>43250</c:v>
                </c:pt>
                <c:pt idx="364">
                  <c:v>43249</c:v>
                </c:pt>
                <c:pt idx="365">
                  <c:v>43248</c:v>
                </c:pt>
                <c:pt idx="366">
                  <c:v>43245</c:v>
                </c:pt>
                <c:pt idx="367">
                  <c:v>43244</c:v>
                </c:pt>
                <c:pt idx="368">
                  <c:v>43243</c:v>
                </c:pt>
                <c:pt idx="369">
                  <c:v>43242</c:v>
                </c:pt>
                <c:pt idx="370">
                  <c:v>43241</c:v>
                </c:pt>
                <c:pt idx="371">
                  <c:v>43238</c:v>
                </c:pt>
                <c:pt idx="372">
                  <c:v>43237</c:v>
                </c:pt>
                <c:pt idx="373">
                  <c:v>43236</c:v>
                </c:pt>
                <c:pt idx="374">
                  <c:v>43235</c:v>
                </c:pt>
                <c:pt idx="375">
                  <c:v>43234</c:v>
                </c:pt>
                <c:pt idx="376">
                  <c:v>43231</c:v>
                </c:pt>
                <c:pt idx="377">
                  <c:v>43230</c:v>
                </c:pt>
                <c:pt idx="378">
                  <c:v>43229</c:v>
                </c:pt>
                <c:pt idx="379">
                  <c:v>43228</c:v>
                </c:pt>
                <c:pt idx="380">
                  <c:v>43227</c:v>
                </c:pt>
                <c:pt idx="381">
                  <c:v>43222</c:v>
                </c:pt>
                <c:pt idx="382">
                  <c:v>43221</c:v>
                </c:pt>
                <c:pt idx="383">
                  <c:v>43217</c:v>
                </c:pt>
                <c:pt idx="384">
                  <c:v>43216</c:v>
                </c:pt>
                <c:pt idx="385">
                  <c:v>43215</c:v>
                </c:pt>
                <c:pt idx="386">
                  <c:v>43214</c:v>
                </c:pt>
                <c:pt idx="387">
                  <c:v>43213</c:v>
                </c:pt>
                <c:pt idx="388">
                  <c:v>43210</c:v>
                </c:pt>
                <c:pt idx="389">
                  <c:v>43209</c:v>
                </c:pt>
                <c:pt idx="390">
                  <c:v>43208</c:v>
                </c:pt>
                <c:pt idx="391">
                  <c:v>43207</c:v>
                </c:pt>
                <c:pt idx="392">
                  <c:v>43206</c:v>
                </c:pt>
                <c:pt idx="393">
                  <c:v>43203</c:v>
                </c:pt>
                <c:pt idx="394">
                  <c:v>43202</c:v>
                </c:pt>
                <c:pt idx="395">
                  <c:v>43201</c:v>
                </c:pt>
                <c:pt idx="396">
                  <c:v>43200</c:v>
                </c:pt>
                <c:pt idx="397">
                  <c:v>43199</c:v>
                </c:pt>
                <c:pt idx="398">
                  <c:v>43196</c:v>
                </c:pt>
                <c:pt idx="399">
                  <c:v>43195</c:v>
                </c:pt>
                <c:pt idx="400">
                  <c:v>43194</c:v>
                </c:pt>
                <c:pt idx="401">
                  <c:v>43193</c:v>
                </c:pt>
                <c:pt idx="402">
                  <c:v>43192</c:v>
                </c:pt>
                <c:pt idx="403">
                  <c:v>43189</c:v>
                </c:pt>
                <c:pt idx="404">
                  <c:v>43188</c:v>
                </c:pt>
                <c:pt idx="405">
                  <c:v>43187</c:v>
                </c:pt>
                <c:pt idx="406">
                  <c:v>43186</c:v>
                </c:pt>
                <c:pt idx="407">
                  <c:v>43185</c:v>
                </c:pt>
                <c:pt idx="408">
                  <c:v>43182</c:v>
                </c:pt>
                <c:pt idx="409">
                  <c:v>43181</c:v>
                </c:pt>
                <c:pt idx="410">
                  <c:v>43179</c:v>
                </c:pt>
                <c:pt idx="411">
                  <c:v>43178</c:v>
                </c:pt>
                <c:pt idx="412">
                  <c:v>43175</c:v>
                </c:pt>
                <c:pt idx="413">
                  <c:v>43174</c:v>
                </c:pt>
                <c:pt idx="414">
                  <c:v>43173</c:v>
                </c:pt>
                <c:pt idx="415">
                  <c:v>43172</c:v>
                </c:pt>
                <c:pt idx="416">
                  <c:v>43171</c:v>
                </c:pt>
                <c:pt idx="417">
                  <c:v>43168</c:v>
                </c:pt>
                <c:pt idx="418">
                  <c:v>43167</c:v>
                </c:pt>
                <c:pt idx="419">
                  <c:v>43166</c:v>
                </c:pt>
                <c:pt idx="420">
                  <c:v>43165</c:v>
                </c:pt>
                <c:pt idx="421">
                  <c:v>43164</c:v>
                </c:pt>
                <c:pt idx="422">
                  <c:v>43161</c:v>
                </c:pt>
                <c:pt idx="423">
                  <c:v>43160</c:v>
                </c:pt>
                <c:pt idx="424">
                  <c:v>43159</c:v>
                </c:pt>
                <c:pt idx="425">
                  <c:v>43158</c:v>
                </c:pt>
                <c:pt idx="426">
                  <c:v>43157</c:v>
                </c:pt>
                <c:pt idx="427">
                  <c:v>43154</c:v>
                </c:pt>
                <c:pt idx="428">
                  <c:v>43153</c:v>
                </c:pt>
                <c:pt idx="429">
                  <c:v>43152</c:v>
                </c:pt>
                <c:pt idx="430">
                  <c:v>43151</c:v>
                </c:pt>
                <c:pt idx="431">
                  <c:v>43150</c:v>
                </c:pt>
                <c:pt idx="432">
                  <c:v>43147</c:v>
                </c:pt>
                <c:pt idx="433">
                  <c:v>43146</c:v>
                </c:pt>
                <c:pt idx="434">
                  <c:v>43145</c:v>
                </c:pt>
                <c:pt idx="435">
                  <c:v>43144</c:v>
                </c:pt>
                <c:pt idx="436">
                  <c:v>43140</c:v>
                </c:pt>
                <c:pt idx="437">
                  <c:v>43139</c:v>
                </c:pt>
                <c:pt idx="438">
                  <c:v>43138</c:v>
                </c:pt>
                <c:pt idx="439">
                  <c:v>43137</c:v>
                </c:pt>
                <c:pt idx="440">
                  <c:v>43136</c:v>
                </c:pt>
                <c:pt idx="441">
                  <c:v>43133</c:v>
                </c:pt>
                <c:pt idx="442">
                  <c:v>43132</c:v>
                </c:pt>
                <c:pt idx="443">
                  <c:v>43131</c:v>
                </c:pt>
                <c:pt idx="444">
                  <c:v>43130</c:v>
                </c:pt>
                <c:pt idx="445">
                  <c:v>43129</c:v>
                </c:pt>
                <c:pt idx="446">
                  <c:v>43126</c:v>
                </c:pt>
                <c:pt idx="447">
                  <c:v>43125</c:v>
                </c:pt>
                <c:pt idx="448">
                  <c:v>43124</c:v>
                </c:pt>
                <c:pt idx="449">
                  <c:v>43123</c:v>
                </c:pt>
                <c:pt idx="450">
                  <c:v>43122</c:v>
                </c:pt>
                <c:pt idx="451">
                  <c:v>43119</c:v>
                </c:pt>
                <c:pt idx="452">
                  <c:v>43118</c:v>
                </c:pt>
                <c:pt idx="453">
                  <c:v>43117</c:v>
                </c:pt>
                <c:pt idx="454">
                  <c:v>43116</c:v>
                </c:pt>
                <c:pt idx="455">
                  <c:v>43115</c:v>
                </c:pt>
                <c:pt idx="456">
                  <c:v>43112</c:v>
                </c:pt>
                <c:pt idx="457">
                  <c:v>43111</c:v>
                </c:pt>
                <c:pt idx="458">
                  <c:v>43110</c:v>
                </c:pt>
                <c:pt idx="459">
                  <c:v>43109</c:v>
                </c:pt>
                <c:pt idx="460">
                  <c:v>43105</c:v>
                </c:pt>
                <c:pt idx="461">
                  <c:v>43104</c:v>
                </c:pt>
                <c:pt idx="462">
                  <c:v>43098</c:v>
                </c:pt>
                <c:pt idx="463">
                  <c:v>43097</c:v>
                </c:pt>
                <c:pt idx="464">
                  <c:v>43096</c:v>
                </c:pt>
                <c:pt idx="465">
                  <c:v>43095</c:v>
                </c:pt>
                <c:pt idx="466">
                  <c:v>43094</c:v>
                </c:pt>
                <c:pt idx="467">
                  <c:v>43091</c:v>
                </c:pt>
                <c:pt idx="468">
                  <c:v>43090</c:v>
                </c:pt>
                <c:pt idx="469">
                  <c:v>43089</c:v>
                </c:pt>
                <c:pt idx="470">
                  <c:v>43088</c:v>
                </c:pt>
                <c:pt idx="471">
                  <c:v>43087</c:v>
                </c:pt>
                <c:pt idx="472">
                  <c:v>43084</c:v>
                </c:pt>
                <c:pt idx="473">
                  <c:v>43083</c:v>
                </c:pt>
                <c:pt idx="474">
                  <c:v>43082</c:v>
                </c:pt>
                <c:pt idx="475">
                  <c:v>43081</c:v>
                </c:pt>
                <c:pt idx="476">
                  <c:v>43080</c:v>
                </c:pt>
                <c:pt idx="477">
                  <c:v>43077</c:v>
                </c:pt>
                <c:pt idx="478">
                  <c:v>43076</c:v>
                </c:pt>
                <c:pt idx="479">
                  <c:v>43075</c:v>
                </c:pt>
                <c:pt idx="480">
                  <c:v>43074</c:v>
                </c:pt>
                <c:pt idx="481">
                  <c:v>43073</c:v>
                </c:pt>
                <c:pt idx="482">
                  <c:v>43070</c:v>
                </c:pt>
                <c:pt idx="483">
                  <c:v>43069</c:v>
                </c:pt>
                <c:pt idx="484">
                  <c:v>43068</c:v>
                </c:pt>
                <c:pt idx="485">
                  <c:v>43067</c:v>
                </c:pt>
                <c:pt idx="486">
                  <c:v>43066</c:v>
                </c:pt>
                <c:pt idx="487">
                  <c:v>43063</c:v>
                </c:pt>
                <c:pt idx="488">
                  <c:v>43061</c:v>
                </c:pt>
                <c:pt idx="489">
                  <c:v>43060</c:v>
                </c:pt>
                <c:pt idx="490">
                  <c:v>43059</c:v>
                </c:pt>
                <c:pt idx="491">
                  <c:v>43056</c:v>
                </c:pt>
                <c:pt idx="492">
                  <c:v>43055</c:v>
                </c:pt>
                <c:pt idx="493">
                  <c:v>43054</c:v>
                </c:pt>
                <c:pt idx="494">
                  <c:v>43053</c:v>
                </c:pt>
                <c:pt idx="495">
                  <c:v>43052</c:v>
                </c:pt>
                <c:pt idx="496">
                  <c:v>43049</c:v>
                </c:pt>
                <c:pt idx="497">
                  <c:v>43048</c:v>
                </c:pt>
                <c:pt idx="498">
                  <c:v>43047</c:v>
                </c:pt>
                <c:pt idx="499">
                  <c:v>43046</c:v>
                </c:pt>
                <c:pt idx="500">
                  <c:v>43045</c:v>
                </c:pt>
                <c:pt idx="501">
                  <c:v>43041</c:v>
                </c:pt>
                <c:pt idx="502">
                  <c:v>43040</c:v>
                </c:pt>
                <c:pt idx="503">
                  <c:v>43039</c:v>
                </c:pt>
                <c:pt idx="504">
                  <c:v>43038</c:v>
                </c:pt>
                <c:pt idx="505">
                  <c:v>43035</c:v>
                </c:pt>
                <c:pt idx="506">
                  <c:v>43034</c:v>
                </c:pt>
                <c:pt idx="507">
                  <c:v>43033</c:v>
                </c:pt>
                <c:pt idx="508">
                  <c:v>43032</c:v>
                </c:pt>
                <c:pt idx="509">
                  <c:v>43031</c:v>
                </c:pt>
                <c:pt idx="510">
                  <c:v>43028</c:v>
                </c:pt>
                <c:pt idx="511">
                  <c:v>43027</c:v>
                </c:pt>
                <c:pt idx="512">
                  <c:v>43026</c:v>
                </c:pt>
                <c:pt idx="513">
                  <c:v>43025</c:v>
                </c:pt>
                <c:pt idx="514">
                  <c:v>43024</c:v>
                </c:pt>
                <c:pt idx="515">
                  <c:v>43021</c:v>
                </c:pt>
                <c:pt idx="516">
                  <c:v>43020</c:v>
                </c:pt>
                <c:pt idx="517">
                  <c:v>43019</c:v>
                </c:pt>
                <c:pt idx="518">
                  <c:v>43018</c:v>
                </c:pt>
                <c:pt idx="519">
                  <c:v>43014</c:v>
                </c:pt>
                <c:pt idx="520">
                  <c:v>43013</c:v>
                </c:pt>
                <c:pt idx="521">
                  <c:v>43012</c:v>
                </c:pt>
                <c:pt idx="522">
                  <c:v>43011</c:v>
                </c:pt>
                <c:pt idx="523">
                  <c:v>43010</c:v>
                </c:pt>
                <c:pt idx="524">
                  <c:v>43007</c:v>
                </c:pt>
                <c:pt idx="525">
                  <c:v>43006</c:v>
                </c:pt>
                <c:pt idx="526">
                  <c:v>43005</c:v>
                </c:pt>
                <c:pt idx="527">
                  <c:v>43004</c:v>
                </c:pt>
                <c:pt idx="528">
                  <c:v>43003</c:v>
                </c:pt>
                <c:pt idx="529">
                  <c:v>43000</c:v>
                </c:pt>
                <c:pt idx="530">
                  <c:v>42999</c:v>
                </c:pt>
                <c:pt idx="531">
                  <c:v>42998</c:v>
                </c:pt>
                <c:pt idx="532">
                  <c:v>42997</c:v>
                </c:pt>
                <c:pt idx="533">
                  <c:v>42993</c:v>
                </c:pt>
                <c:pt idx="534">
                  <c:v>42992</c:v>
                </c:pt>
                <c:pt idx="535">
                  <c:v>42991</c:v>
                </c:pt>
                <c:pt idx="536">
                  <c:v>42990</c:v>
                </c:pt>
                <c:pt idx="537">
                  <c:v>42989</c:v>
                </c:pt>
                <c:pt idx="538">
                  <c:v>42986</c:v>
                </c:pt>
                <c:pt idx="539">
                  <c:v>42985</c:v>
                </c:pt>
                <c:pt idx="540">
                  <c:v>42984</c:v>
                </c:pt>
                <c:pt idx="541">
                  <c:v>42983</c:v>
                </c:pt>
                <c:pt idx="542">
                  <c:v>42982</c:v>
                </c:pt>
                <c:pt idx="543">
                  <c:v>42979</c:v>
                </c:pt>
                <c:pt idx="544">
                  <c:v>42978</c:v>
                </c:pt>
                <c:pt idx="545">
                  <c:v>42977</c:v>
                </c:pt>
                <c:pt idx="546">
                  <c:v>42976</c:v>
                </c:pt>
                <c:pt idx="547">
                  <c:v>42975</c:v>
                </c:pt>
                <c:pt idx="548">
                  <c:v>42972</c:v>
                </c:pt>
                <c:pt idx="549">
                  <c:v>42971</c:v>
                </c:pt>
                <c:pt idx="550">
                  <c:v>42970</c:v>
                </c:pt>
                <c:pt idx="551">
                  <c:v>42969</c:v>
                </c:pt>
                <c:pt idx="552">
                  <c:v>42968</c:v>
                </c:pt>
                <c:pt idx="553">
                  <c:v>42965</c:v>
                </c:pt>
                <c:pt idx="554">
                  <c:v>42964</c:v>
                </c:pt>
                <c:pt idx="555">
                  <c:v>42963</c:v>
                </c:pt>
                <c:pt idx="556">
                  <c:v>42962</c:v>
                </c:pt>
                <c:pt idx="557">
                  <c:v>42961</c:v>
                </c:pt>
                <c:pt idx="558">
                  <c:v>42957</c:v>
                </c:pt>
                <c:pt idx="559">
                  <c:v>42956</c:v>
                </c:pt>
                <c:pt idx="560">
                  <c:v>42955</c:v>
                </c:pt>
                <c:pt idx="561">
                  <c:v>42954</c:v>
                </c:pt>
                <c:pt idx="562">
                  <c:v>42951</c:v>
                </c:pt>
                <c:pt idx="563">
                  <c:v>42950</c:v>
                </c:pt>
                <c:pt idx="564">
                  <c:v>42949</c:v>
                </c:pt>
                <c:pt idx="565">
                  <c:v>42948</c:v>
                </c:pt>
                <c:pt idx="566">
                  <c:v>42947</c:v>
                </c:pt>
                <c:pt idx="567">
                  <c:v>42944</c:v>
                </c:pt>
                <c:pt idx="568">
                  <c:v>42943</c:v>
                </c:pt>
                <c:pt idx="569">
                  <c:v>42942</c:v>
                </c:pt>
                <c:pt idx="570">
                  <c:v>42941</c:v>
                </c:pt>
                <c:pt idx="571">
                  <c:v>42940</c:v>
                </c:pt>
                <c:pt idx="572">
                  <c:v>42937</c:v>
                </c:pt>
                <c:pt idx="573">
                  <c:v>42936</c:v>
                </c:pt>
                <c:pt idx="574">
                  <c:v>42935</c:v>
                </c:pt>
                <c:pt idx="575">
                  <c:v>42934</c:v>
                </c:pt>
                <c:pt idx="576">
                  <c:v>42930</c:v>
                </c:pt>
                <c:pt idx="577">
                  <c:v>42929</c:v>
                </c:pt>
                <c:pt idx="578">
                  <c:v>42928</c:v>
                </c:pt>
                <c:pt idx="579">
                  <c:v>42927</c:v>
                </c:pt>
                <c:pt idx="580">
                  <c:v>42926</c:v>
                </c:pt>
                <c:pt idx="581">
                  <c:v>42923</c:v>
                </c:pt>
                <c:pt idx="582">
                  <c:v>42922</c:v>
                </c:pt>
                <c:pt idx="583">
                  <c:v>42921</c:v>
                </c:pt>
                <c:pt idx="584">
                  <c:v>42920</c:v>
                </c:pt>
                <c:pt idx="585">
                  <c:v>42919</c:v>
                </c:pt>
                <c:pt idx="586">
                  <c:v>42916</c:v>
                </c:pt>
                <c:pt idx="587">
                  <c:v>42915</c:v>
                </c:pt>
                <c:pt idx="588">
                  <c:v>42914</c:v>
                </c:pt>
                <c:pt idx="589">
                  <c:v>42913</c:v>
                </c:pt>
                <c:pt idx="590">
                  <c:v>42912</c:v>
                </c:pt>
                <c:pt idx="591">
                  <c:v>42909</c:v>
                </c:pt>
                <c:pt idx="592">
                  <c:v>42908</c:v>
                </c:pt>
                <c:pt idx="593">
                  <c:v>42907</c:v>
                </c:pt>
                <c:pt idx="594">
                  <c:v>42906</c:v>
                </c:pt>
                <c:pt idx="595">
                  <c:v>42905</c:v>
                </c:pt>
                <c:pt idx="596">
                  <c:v>42902</c:v>
                </c:pt>
                <c:pt idx="597">
                  <c:v>42901</c:v>
                </c:pt>
                <c:pt idx="598">
                  <c:v>42900</c:v>
                </c:pt>
                <c:pt idx="599">
                  <c:v>42899</c:v>
                </c:pt>
                <c:pt idx="600">
                  <c:v>42898</c:v>
                </c:pt>
                <c:pt idx="601">
                  <c:v>42895</c:v>
                </c:pt>
                <c:pt idx="602">
                  <c:v>42894</c:v>
                </c:pt>
                <c:pt idx="603">
                  <c:v>42893</c:v>
                </c:pt>
                <c:pt idx="604">
                  <c:v>42892</c:v>
                </c:pt>
                <c:pt idx="605">
                  <c:v>42891</c:v>
                </c:pt>
                <c:pt idx="606">
                  <c:v>42888</c:v>
                </c:pt>
                <c:pt idx="607">
                  <c:v>42887</c:v>
                </c:pt>
                <c:pt idx="608">
                  <c:v>42886</c:v>
                </c:pt>
                <c:pt idx="609">
                  <c:v>42885</c:v>
                </c:pt>
                <c:pt idx="610">
                  <c:v>42884</c:v>
                </c:pt>
                <c:pt idx="611">
                  <c:v>42881</c:v>
                </c:pt>
                <c:pt idx="612">
                  <c:v>42880</c:v>
                </c:pt>
                <c:pt idx="613">
                  <c:v>42879</c:v>
                </c:pt>
                <c:pt idx="614">
                  <c:v>42878</c:v>
                </c:pt>
                <c:pt idx="615">
                  <c:v>42877</c:v>
                </c:pt>
                <c:pt idx="616">
                  <c:v>42874</c:v>
                </c:pt>
                <c:pt idx="617">
                  <c:v>42873</c:v>
                </c:pt>
                <c:pt idx="618">
                  <c:v>42872</c:v>
                </c:pt>
                <c:pt idx="619">
                  <c:v>42871</c:v>
                </c:pt>
                <c:pt idx="620">
                  <c:v>42870</c:v>
                </c:pt>
                <c:pt idx="621">
                  <c:v>42867</c:v>
                </c:pt>
                <c:pt idx="622">
                  <c:v>42866</c:v>
                </c:pt>
                <c:pt idx="623">
                  <c:v>42865</c:v>
                </c:pt>
                <c:pt idx="624">
                  <c:v>42864</c:v>
                </c:pt>
                <c:pt idx="625">
                  <c:v>42863</c:v>
                </c:pt>
                <c:pt idx="626">
                  <c:v>42857</c:v>
                </c:pt>
                <c:pt idx="627">
                  <c:v>42856</c:v>
                </c:pt>
                <c:pt idx="628">
                  <c:v>42853</c:v>
                </c:pt>
                <c:pt idx="629">
                  <c:v>42852</c:v>
                </c:pt>
                <c:pt idx="630">
                  <c:v>42851</c:v>
                </c:pt>
                <c:pt idx="631">
                  <c:v>42850</c:v>
                </c:pt>
                <c:pt idx="632">
                  <c:v>42849</c:v>
                </c:pt>
                <c:pt idx="633">
                  <c:v>42846</c:v>
                </c:pt>
                <c:pt idx="634">
                  <c:v>42845</c:v>
                </c:pt>
                <c:pt idx="635">
                  <c:v>42844</c:v>
                </c:pt>
                <c:pt idx="636">
                  <c:v>42843</c:v>
                </c:pt>
                <c:pt idx="637">
                  <c:v>42842</c:v>
                </c:pt>
                <c:pt idx="638">
                  <c:v>42839</c:v>
                </c:pt>
                <c:pt idx="639">
                  <c:v>42838</c:v>
                </c:pt>
                <c:pt idx="640">
                  <c:v>42837</c:v>
                </c:pt>
                <c:pt idx="641">
                  <c:v>42836</c:v>
                </c:pt>
                <c:pt idx="642">
                  <c:v>42835</c:v>
                </c:pt>
                <c:pt idx="643">
                  <c:v>42832</c:v>
                </c:pt>
                <c:pt idx="644">
                  <c:v>42831</c:v>
                </c:pt>
                <c:pt idx="645">
                  <c:v>42830</c:v>
                </c:pt>
                <c:pt idx="646">
                  <c:v>42829</c:v>
                </c:pt>
                <c:pt idx="647">
                  <c:v>42828</c:v>
                </c:pt>
                <c:pt idx="648">
                  <c:v>42825</c:v>
                </c:pt>
                <c:pt idx="649">
                  <c:v>42824</c:v>
                </c:pt>
                <c:pt idx="650">
                  <c:v>42823</c:v>
                </c:pt>
                <c:pt idx="651">
                  <c:v>42822</c:v>
                </c:pt>
                <c:pt idx="652">
                  <c:v>42821</c:v>
                </c:pt>
                <c:pt idx="653">
                  <c:v>42818</c:v>
                </c:pt>
                <c:pt idx="654">
                  <c:v>42817</c:v>
                </c:pt>
                <c:pt idx="655">
                  <c:v>42816</c:v>
                </c:pt>
                <c:pt idx="656">
                  <c:v>42815</c:v>
                </c:pt>
                <c:pt idx="657">
                  <c:v>42811</c:v>
                </c:pt>
                <c:pt idx="658">
                  <c:v>42810</c:v>
                </c:pt>
                <c:pt idx="659">
                  <c:v>42809</c:v>
                </c:pt>
                <c:pt idx="660">
                  <c:v>42808</c:v>
                </c:pt>
                <c:pt idx="661">
                  <c:v>42807</c:v>
                </c:pt>
              </c:numCache>
            </c:numRef>
          </c:cat>
          <c:val>
            <c:numRef>
              <c:f>グラフ!$N$42:$N$703</c:f>
              <c:numCache>
                <c:formatCode>General</c:formatCode>
                <c:ptCount val="662"/>
                <c:pt idx="0">
                  <c:v>3.4865215874367301</c:v>
                </c:pt>
                <c:pt idx="1">
                  <c:v>3.4783817458893496</c:v>
                </c:pt>
                <c:pt idx="2">
                  <c:v>3.4707471913028853</c:v>
                </c:pt>
                <c:pt idx="3">
                  <c:v>3.4674741352005718</c:v>
                </c:pt>
                <c:pt idx="4">
                  <c:v>3.463581677402821</c:v>
                </c:pt>
                <c:pt idx="5">
                  <c:v>3.4552052573483012</c:v>
                </c:pt>
                <c:pt idx="6">
                  <c:v>3.4479820747997239</c:v>
                </c:pt>
                <c:pt idx="7">
                  <c:v>3.4481180851695754</c:v>
                </c:pt>
                <c:pt idx="8">
                  <c:v>3.4532541697490089</c:v>
                </c:pt>
                <c:pt idx="9">
                  <c:v>3.4574222346342549</c:v>
                </c:pt>
                <c:pt idx="10">
                  <c:v>3.4643089566361449</c:v>
                </c:pt>
                <c:pt idx="11">
                  <c:v>3.4687276997769625</c:v>
                </c:pt>
                <c:pt idx="12">
                  <c:v>3.4744318850904494</c:v>
                </c:pt>
                <c:pt idx="13">
                  <c:v>3.4832038550290867</c:v>
                </c:pt>
                <c:pt idx="14">
                  <c:v>3.4930366784573579</c:v>
                </c:pt>
                <c:pt idx="15">
                  <c:v>3.497605259154716</c:v>
                </c:pt>
                <c:pt idx="16">
                  <c:v>3.5055530899782541</c:v>
                </c:pt>
                <c:pt idx="17">
                  <c:v>3.5106825971367379</c:v>
                </c:pt>
                <c:pt idx="18">
                  <c:v>3.5172603730383076</c:v>
                </c:pt>
                <c:pt idx="19">
                  <c:v>3.5203374269446019</c:v>
                </c:pt>
                <c:pt idx="20">
                  <c:v>3.5244952747331739</c:v>
                </c:pt>
                <c:pt idx="21">
                  <c:v>3.5270940602743321</c:v>
                </c:pt>
                <c:pt idx="22">
                  <c:v>3.5303362693623437</c:v>
                </c:pt>
                <c:pt idx="23">
                  <c:v>3.5336022506894778</c:v>
                </c:pt>
                <c:pt idx="24">
                  <c:v>3.5361069459302477</c:v>
                </c:pt>
                <c:pt idx="25">
                  <c:v>3.5401806724647562</c:v>
                </c:pt>
                <c:pt idx="26">
                  <c:v>3.5462054359155122</c:v>
                </c:pt>
                <c:pt idx="27">
                  <c:v>3.552377902826132</c:v>
                </c:pt>
                <c:pt idx="28">
                  <c:v>3.5582782881868678</c:v>
                </c:pt>
                <c:pt idx="29">
                  <c:v>3.5641315327468441</c:v>
                </c:pt>
                <c:pt idx="30">
                  <c:v>3.5681449548518418</c:v>
                </c:pt>
                <c:pt idx="31">
                  <c:v>3.5725632296904761</c:v>
                </c:pt>
                <c:pt idx="32">
                  <c:v>3.5785611291122881</c:v>
                </c:pt>
                <c:pt idx="33">
                  <c:v>3.583826121779516</c:v>
                </c:pt>
                <c:pt idx="34">
                  <c:v>3.5901057209014877</c:v>
                </c:pt>
                <c:pt idx="35">
                  <c:v>3.5983679143049501</c:v>
                </c:pt>
                <c:pt idx="36">
                  <c:v>3.6086954694525621</c:v>
                </c:pt>
                <c:pt idx="37">
                  <c:v>3.6168727598065198</c:v>
                </c:pt>
                <c:pt idx="38">
                  <c:v>3.6242275253211522</c:v>
                </c:pt>
                <c:pt idx="39">
                  <c:v>3.6277982801945581</c:v>
                </c:pt>
                <c:pt idx="40">
                  <c:v>3.6286312652031283</c:v>
                </c:pt>
                <c:pt idx="41">
                  <c:v>3.6292592934526979</c:v>
                </c:pt>
                <c:pt idx="42">
                  <c:v>3.6289177329593238</c:v>
                </c:pt>
                <c:pt idx="43">
                  <c:v>3.6304209870856181</c:v>
                </c:pt>
                <c:pt idx="44">
                  <c:v>3.631081695760856</c:v>
                </c:pt>
                <c:pt idx="45">
                  <c:v>3.6282844304668238</c:v>
                </c:pt>
                <c:pt idx="46">
                  <c:v>3.6289495248694217</c:v>
                </c:pt>
                <c:pt idx="47">
                  <c:v>3.6311261092463538</c:v>
                </c:pt>
                <c:pt idx="48">
                  <c:v>3.6317229683847101</c:v>
                </c:pt>
                <c:pt idx="49">
                  <c:v>3.6308096172101298</c:v>
                </c:pt>
                <c:pt idx="50">
                  <c:v>3.629533524967842</c:v>
                </c:pt>
                <c:pt idx="51">
                  <c:v>3.6280732483785041</c:v>
                </c:pt>
                <c:pt idx="52">
                  <c:v>3.6293249133249623</c:v>
                </c:pt>
                <c:pt idx="53">
                  <c:v>3.6305071744753943</c:v>
                </c:pt>
                <c:pt idx="54">
                  <c:v>3.6305421292973881</c:v>
                </c:pt>
                <c:pt idx="55">
                  <c:v>3.630509504513006</c:v>
                </c:pt>
                <c:pt idx="56">
                  <c:v>3.6300232239707539</c:v>
                </c:pt>
                <c:pt idx="57">
                  <c:v>3.6301433826550236</c:v>
                </c:pt>
                <c:pt idx="58">
                  <c:v>3.6267700510027638</c:v>
                </c:pt>
                <c:pt idx="59">
                  <c:v>3.6261678081935713</c:v>
                </c:pt>
                <c:pt idx="60">
                  <c:v>3.6269257656413214</c:v>
                </c:pt>
                <c:pt idx="61">
                  <c:v>3.637151506309638</c:v>
                </c:pt>
                <c:pt idx="62">
                  <c:v>3.6423877847344861</c:v>
                </c:pt>
                <c:pt idx="63">
                  <c:v>3.6460745710117641</c:v>
                </c:pt>
                <c:pt idx="64">
                  <c:v>3.6443556281644462</c:v>
                </c:pt>
                <c:pt idx="65">
                  <c:v>3.6439401306418535</c:v>
                </c:pt>
                <c:pt idx="66">
                  <c:v>3.6405271751879726</c:v>
                </c:pt>
                <c:pt idx="67">
                  <c:v>3.636429195342969</c:v>
                </c:pt>
                <c:pt idx="68">
                  <c:v>3.6308475000662845</c:v>
                </c:pt>
                <c:pt idx="69">
                  <c:v>3.6225113437736916</c:v>
                </c:pt>
                <c:pt idx="70">
                  <c:v>3.6111098861983435</c:v>
                </c:pt>
                <c:pt idx="71">
                  <c:v>3.6034096851307305</c:v>
                </c:pt>
                <c:pt idx="72">
                  <c:v>3.595848463937473</c:v>
                </c:pt>
                <c:pt idx="73">
                  <c:v>3.5955955656768297</c:v>
                </c:pt>
                <c:pt idx="74">
                  <c:v>3.5949391093004728</c:v>
                </c:pt>
                <c:pt idx="75">
                  <c:v>3.5923162843894856</c:v>
                </c:pt>
                <c:pt idx="76">
                  <c:v>3.5909064307254415</c:v>
                </c:pt>
                <c:pt idx="77">
                  <c:v>3.5905824595008524</c:v>
                </c:pt>
                <c:pt idx="78">
                  <c:v>3.5907303081231827</c:v>
                </c:pt>
                <c:pt idx="79">
                  <c:v>3.5908866268591151</c:v>
                </c:pt>
                <c:pt idx="80">
                  <c:v>3.590473126641808</c:v>
                </c:pt>
                <c:pt idx="81">
                  <c:v>3.5913895647512213</c:v>
                </c:pt>
                <c:pt idx="82">
                  <c:v>3.5926216418128361</c:v>
                </c:pt>
                <c:pt idx="83">
                  <c:v>3.5954695223870905</c:v>
                </c:pt>
                <c:pt idx="84">
                  <c:v>3.599570658060594</c:v>
                </c:pt>
                <c:pt idx="85">
                  <c:v>3.6042233041764216</c:v>
                </c:pt>
                <c:pt idx="86">
                  <c:v>3.6114982058922682</c:v>
                </c:pt>
                <c:pt idx="87">
                  <c:v>3.6141794400589</c:v>
                </c:pt>
                <c:pt idx="88">
                  <c:v>3.6146792748745669</c:v>
                </c:pt>
                <c:pt idx="89">
                  <c:v>3.6201879390656564</c:v>
                </c:pt>
                <c:pt idx="90">
                  <c:v>3.6241238394577304</c:v>
                </c:pt>
                <c:pt idx="91">
                  <c:v>3.6266922949137697</c:v>
                </c:pt>
                <c:pt idx="92">
                  <c:v>3.6298719000806883</c:v>
                </c:pt>
                <c:pt idx="93">
                  <c:v>3.6331685786692489</c:v>
                </c:pt>
                <c:pt idx="94">
                  <c:v>3.63760093843395</c:v>
                </c:pt>
                <c:pt idx="95">
                  <c:v>3.6418714628030591</c:v>
                </c:pt>
                <c:pt idx="96">
                  <c:v>3.6459724127998414</c:v>
                </c:pt>
                <c:pt idx="97">
                  <c:v>3.6492550719564596</c:v>
                </c:pt>
                <c:pt idx="98">
                  <c:v>3.6546706590047187</c:v>
                </c:pt>
                <c:pt idx="99">
                  <c:v>3.6583444646192436</c:v>
                </c:pt>
                <c:pt idx="100">
                  <c:v>3.6608004346652008</c:v>
                </c:pt>
                <c:pt idx="101">
                  <c:v>3.6615879367845103</c:v>
                </c:pt>
                <c:pt idx="102">
                  <c:v>3.6653680504880022</c:v>
                </c:pt>
                <c:pt idx="103">
                  <c:v>3.6667845667843952</c:v>
                </c:pt>
                <c:pt idx="104">
                  <c:v>3.6721114689728749</c:v>
                </c:pt>
                <c:pt idx="105">
                  <c:v>3.6776527648415636</c:v>
                </c:pt>
                <c:pt idx="106">
                  <c:v>3.6868895033941564</c:v>
                </c:pt>
                <c:pt idx="107">
                  <c:v>3.691992837683606</c:v>
                </c:pt>
                <c:pt idx="108">
                  <c:v>3.6946098021198202</c:v>
                </c:pt>
                <c:pt idx="109">
                  <c:v>3.6997425075757731</c:v>
                </c:pt>
                <c:pt idx="110">
                  <c:v>3.699403196820827</c:v>
                </c:pt>
                <c:pt idx="111">
                  <c:v>3.6977899934847978</c:v>
                </c:pt>
                <c:pt idx="112">
                  <c:v>3.6965261160456513</c:v>
                </c:pt>
                <c:pt idx="113">
                  <c:v>3.6956051251115167</c:v>
                </c:pt>
                <c:pt idx="114">
                  <c:v>3.6957402672589024</c:v>
                </c:pt>
                <c:pt idx="115">
                  <c:v>3.6966219283949342</c:v>
                </c:pt>
                <c:pt idx="116">
                  <c:v>3.697074068909588</c:v>
                </c:pt>
                <c:pt idx="117">
                  <c:v>3.7003074496324393</c:v>
                </c:pt>
                <c:pt idx="118">
                  <c:v>3.7065339533423907</c:v>
                </c:pt>
                <c:pt idx="119">
                  <c:v>3.7094711242069938</c:v>
                </c:pt>
                <c:pt idx="120">
                  <c:v>3.7083586586432742</c:v>
                </c:pt>
                <c:pt idx="121">
                  <c:v>3.709805007675516</c:v>
                </c:pt>
                <c:pt idx="122">
                  <c:v>3.7107363719313549</c:v>
                </c:pt>
                <c:pt idx="123">
                  <c:v>3.7120778828758012</c:v>
                </c:pt>
                <c:pt idx="124">
                  <c:v>3.7143519610204043</c:v>
                </c:pt>
                <c:pt idx="125">
                  <c:v>3.7193467736801553</c:v>
                </c:pt>
                <c:pt idx="126">
                  <c:v>3.7221505883167261</c:v>
                </c:pt>
                <c:pt idx="127">
                  <c:v>3.7271411323196602</c:v>
                </c:pt>
                <c:pt idx="128">
                  <c:v>3.7308174086720811</c:v>
                </c:pt>
                <c:pt idx="129">
                  <c:v>3.7345448950565827</c:v>
                </c:pt>
                <c:pt idx="130">
                  <c:v>3.7363713112497003</c:v>
                </c:pt>
                <c:pt idx="131">
                  <c:v>3.7366182729194675</c:v>
                </c:pt>
                <c:pt idx="132">
                  <c:v>3.7367685066470173</c:v>
                </c:pt>
                <c:pt idx="133">
                  <c:v>3.7341268663273954</c:v>
                </c:pt>
                <c:pt idx="134">
                  <c:v>3.7282150418734905</c:v>
                </c:pt>
                <c:pt idx="135">
                  <c:v>3.7285502879130341</c:v>
                </c:pt>
                <c:pt idx="136">
                  <c:v>3.7256682420123997</c:v>
                </c:pt>
                <c:pt idx="137">
                  <c:v>3.7250711254323132</c:v>
                </c:pt>
                <c:pt idx="138">
                  <c:v>3.7262219979509155</c:v>
                </c:pt>
                <c:pt idx="139">
                  <c:v>3.7292739505939112</c:v>
                </c:pt>
                <c:pt idx="140">
                  <c:v>3.7312932642264585</c:v>
                </c:pt>
                <c:pt idx="141">
                  <c:v>3.7312232763601902</c:v>
                </c:pt>
                <c:pt idx="142">
                  <c:v>3.7312331447021556</c:v>
                </c:pt>
                <c:pt idx="143">
                  <c:v>3.73254822492747</c:v>
                </c:pt>
                <c:pt idx="144">
                  <c:v>3.7332150538742974</c:v>
                </c:pt>
                <c:pt idx="145">
                  <c:v>3.7327933470951642</c:v>
                </c:pt>
                <c:pt idx="146">
                  <c:v>3.7324929138720941</c:v>
                </c:pt>
                <c:pt idx="147">
                  <c:v>3.730268728447689</c:v>
                </c:pt>
                <c:pt idx="148">
                  <c:v>3.7278011946734102</c:v>
                </c:pt>
                <c:pt idx="149">
                  <c:v>3.7252991009602621</c:v>
                </c:pt>
                <c:pt idx="150">
                  <c:v>3.7254427955360763</c:v>
                </c:pt>
                <c:pt idx="151">
                  <c:v>3.7246260710004759</c:v>
                </c:pt>
                <c:pt idx="152">
                  <c:v>3.718327139502887</c:v>
                </c:pt>
                <c:pt idx="153">
                  <c:v>3.7129955209705283</c:v>
                </c:pt>
                <c:pt idx="154">
                  <c:v>3.7103061324614917</c:v>
                </c:pt>
                <c:pt idx="155">
                  <c:v>3.7097621176488409</c:v>
                </c:pt>
                <c:pt idx="156">
                  <c:v>3.708420934211242</c:v>
                </c:pt>
                <c:pt idx="157">
                  <c:v>3.7077528366133707</c:v>
                </c:pt>
                <c:pt idx="158">
                  <c:v>3.7093502796043136</c:v>
                </c:pt>
                <c:pt idx="159">
                  <c:v>3.7149663490349893</c:v>
                </c:pt>
                <c:pt idx="160">
                  <c:v>3.7200361535887003</c:v>
                </c:pt>
                <c:pt idx="161">
                  <c:v>3.7226857444247394</c:v>
                </c:pt>
                <c:pt idx="162">
                  <c:v>3.7273753055090646</c:v>
                </c:pt>
                <c:pt idx="163">
                  <c:v>3.734392444387447</c:v>
                </c:pt>
                <c:pt idx="164">
                  <c:v>3.7373302771289474</c:v>
                </c:pt>
                <c:pt idx="165">
                  <c:v>3.7375298186480874</c:v>
                </c:pt>
                <c:pt idx="166">
                  <c:v>3.7385643323234863</c:v>
                </c:pt>
                <c:pt idx="167">
                  <c:v>3.7383989091567589</c:v>
                </c:pt>
                <c:pt idx="168">
                  <c:v>3.7383687342587146</c:v>
                </c:pt>
                <c:pt idx="169">
                  <c:v>3.7402643683478214</c:v>
                </c:pt>
                <c:pt idx="170">
                  <c:v>3.7418477993478079</c:v>
                </c:pt>
                <c:pt idx="171">
                  <c:v>3.7412141691044902</c:v>
                </c:pt>
                <c:pt idx="172">
                  <c:v>3.7410590460608999</c:v>
                </c:pt>
                <c:pt idx="173">
                  <c:v>3.7393516591934608</c:v>
                </c:pt>
                <c:pt idx="174">
                  <c:v>3.7399326713130829</c:v>
                </c:pt>
                <c:pt idx="175">
                  <c:v>3.7397481767910392</c:v>
                </c:pt>
                <c:pt idx="176">
                  <c:v>3.7402992515560074</c:v>
                </c:pt>
                <c:pt idx="177">
                  <c:v>3.7393852601550663</c:v>
                </c:pt>
                <c:pt idx="178">
                  <c:v>3.7398168557039635</c:v>
                </c:pt>
                <c:pt idx="179">
                  <c:v>3.7381013338728746</c:v>
                </c:pt>
                <c:pt idx="180">
                  <c:v>3.7361302972716666</c:v>
                </c:pt>
                <c:pt idx="181">
                  <c:v>3.7312249534588995</c:v>
                </c:pt>
                <c:pt idx="182">
                  <c:v>3.7303467279002489</c:v>
                </c:pt>
                <c:pt idx="183">
                  <c:v>3.7300687522516647</c:v>
                </c:pt>
                <c:pt idx="184">
                  <c:v>3.7271097640477846</c:v>
                </c:pt>
                <c:pt idx="185">
                  <c:v>3.7305212206412315</c:v>
                </c:pt>
                <c:pt idx="186">
                  <c:v>3.7388928786936231</c:v>
                </c:pt>
                <c:pt idx="187">
                  <c:v>3.7431975231979453</c:v>
                </c:pt>
                <c:pt idx="188">
                  <c:v>3.7430524716060041</c:v>
                </c:pt>
                <c:pt idx="189">
                  <c:v>3.7433727810163067</c:v>
                </c:pt>
                <c:pt idx="190">
                  <c:v>3.7432585725342196</c:v>
                </c:pt>
                <c:pt idx="191">
                  <c:v>3.7430369762322195</c:v>
                </c:pt>
                <c:pt idx="192">
                  <c:v>3.7403700645843312</c:v>
                </c:pt>
                <c:pt idx="193">
                  <c:v>3.735376791126837</c:v>
                </c:pt>
                <c:pt idx="194">
                  <c:v>3.7329154890865359</c:v>
                </c:pt>
                <c:pt idx="195">
                  <c:v>3.7324917182922546</c:v>
                </c:pt>
                <c:pt idx="196">
                  <c:v>3.7310735777144153</c:v>
                </c:pt>
                <c:pt idx="197">
                  <c:v>3.7301920739546213</c:v>
                </c:pt>
                <c:pt idx="198">
                  <c:v>3.7288478304284767</c:v>
                </c:pt>
                <c:pt idx="199">
                  <c:v>3.7262867518479612</c:v>
                </c:pt>
                <c:pt idx="200">
                  <c:v>3.7204595368173203</c:v>
                </c:pt>
                <c:pt idx="201">
                  <c:v>3.7164780878651058</c:v>
                </c:pt>
                <c:pt idx="202">
                  <c:v>3.7105305505461619</c:v>
                </c:pt>
                <c:pt idx="203">
                  <c:v>3.7058220380777311</c:v>
                </c:pt>
                <c:pt idx="204">
                  <c:v>3.7007955599853877</c:v>
                </c:pt>
                <c:pt idx="205">
                  <c:v>3.6966772939784116</c:v>
                </c:pt>
                <c:pt idx="206">
                  <c:v>3.6953371989812647</c:v>
                </c:pt>
                <c:pt idx="207">
                  <c:v>3.6939089056754422</c:v>
                </c:pt>
                <c:pt idx="208">
                  <c:v>3.6931230502449446</c:v>
                </c:pt>
                <c:pt idx="209">
                  <c:v>3.6913872593118446</c:v>
                </c:pt>
                <c:pt idx="210">
                  <c:v>3.6888374359553766</c:v>
                </c:pt>
                <c:pt idx="211">
                  <c:v>3.6882130948280065</c:v>
                </c:pt>
                <c:pt idx="212">
                  <c:v>3.6876684317322521</c:v>
                </c:pt>
                <c:pt idx="213">
                  <c:v>3.6840502181234012</c:v>
                </c:pt>
                <c:pt idx="214">
                  <c:v>3.6786323518464199</c:v>
                </c:pt>
                <c:pt idx="215">
                  <c:v>3.6745643482956849</c:v>
                </c:pt>
                <c:pt idx="216">
                  <c:v>3.6718656215010075</c:v>
                </c:pt>
                <c:pt idx="217">
                  <c:v>3.6700536921934255</c:v>
                </c:pt>
                <c:pt idx="218">
                  <c:v>3.664671960043385</c:v>
                </c:pt>
                <c:pt idx="219">
                  <c:v>3.6617294326610876</c:v>
                </c:pt>
                <c:pt idx="220">
                  <c:v>3.6584998431307332</c:v>
                </c:pt>
                <c:pt idx="221">
                  <c:v>3.6535608917698039</c:v>
                </c:pt>
                <c:pt idx="222">
                  <c:v>3.6492372083447542</c:v>
                </c:pt>
                <c:pt idx="223">
                  <c:v>3.645779164882982</c:v>
                </c:pt>
                <c:pt idx="224">
                  <c:v>3.6392846104087595</c:v>
                </c:pt>
                <c:pt idx="225">
                  <c:v>3.6292548632699284</c:v>
                </c:pt>
                <c:pt idx="226">
                  <c:v>3.6204471648389491</c:v>
                </c:pt>
                <c:pt idx="227">
                  <c:v>3.6161595351846176</c:v>
                </c:pt>
                <c:pt idx="228">
                  <c:v>3.6100352848414916</c:v>
                </c:pt>
                <c:pt idx="229">
                  <c:v>3.6083765217722661</c:v>
                </c:pt>
                <c:pt idx="230">
                  <c:v>3.5986579903513589</c:v>
                </c:pt>
                <c:pt idx="231">
                  <c:v>3.5961403430382251</c:v>
                </c:pt>
                <c:pt idx="232">
                  <c:v>3.5945387644286666</c:v>
                </c:pt>
                <c:pt idx="233">
                  <c:v>3.5941532792464663</c:v>
                </c:pt>
                <c:pt idx="234">
                  <c:v>3.5943337962874788</c:v>
                </c:pt>
                <c:pt idx="235">
                  <c:v>3.5943796445879062</c:v>
                </c:pt>
                <c:pt idx="236">
                  <c:v>3.5946433878061348</c:v>
                </c:pt>
                <c:pt idx="237">
                  <c:v>3.5955908092405697</c:v>
                </c:pt>
                <c:pt idx="238">
                  <c:v>3.6032614834021337</c:v>
                </c:pt>
                <c:pt idx="239">
                  <c:v>3.6171310737755484</c:v>
                </c:pt>
                <c:pt idx="240">
                  <c:v>3.6324530880867436</c:v>
                </c:pt>
                <c:pt idx="241">
                  <c:v>3.6491697993669727</c:v>
                </c:pt>
                <c:pt idx="242">
                  <c:v>3.6547287788466831</c:v>
                </c:pt>
                <c:pt idx="243">
                  <c:v>3.657433981190862</c:v>
                </c:pt>
                <c:pt idx="244">
                  <c:v>3.6595275627950499</c:v>
                </c:pt>
                <c:pt idx="245">
                  <c:v>3.66281737023305</c:v>
                </c:pt>
                <c:pt idx="246">
                  <c:v>3.663891872650042</c:v>
                </c:pt>
                <c:pt idx="247">
                  <c:v>3.6614707261778778</c:v>
                </c:pt>
                <c:pt idx="248">
                  <c:v>3.6576060939799717</c:v>
                </c:pt>
                <c:pt idx="249">
                  <c:v>3.6489166852999699</c:v>
                </c:pt>
                <c:pt idx="250">
                  <c:v>3.6436524392305563</c:v>
                </c:pt>
                <c:pt idx="251">
                  <c:v>3.642150577794796</c:v>
                </c:pt>
                <c:pt idx="252">
                  <c:v>3.6398902839596663</c:v>
                </c:pt>
                <c:pt idx="253">
                  <c:v>3.638675495027198</c:v>
                </c:pt>
                <c:pt idx="254">
                  <c:v>3.6371508555778518</c:v>
                </c:pt>
                <c:pt idx="255">
                  <c:v>3.6358443961594182</c:v>
                </c:pt>
                <c:pt idx="256">
                  <c:v>3.6349751399213979</c:v>
                </c:pt>
                <c:pt idx="257">
                  <c:v>3.6346779002715421</c:v>
                </c:pt>
                <c:pt idx="258">
                  <c:v>3.6338570475733016</c:v>
                </c:pt>
                <c:pt idx="259">
                  <c:v>3.6326649111326557</c:v>
                </c:pt>
                <c:pt idx="260">
                  <c:v>3.6336943188647499</c:v>
                </c:pt>
                <c:pt idx="261">
                  <c:v>3.6339606550403039</c:v>
                </c:pt>
                <c:pt idx="262">
                  <c:v>3.6341997050869899</c:v>
                </c:pt>
                <c:pt idx="263">
                  <c:v>3.631314432613066</c:v>
                </c:pt>
                <c:pt idx="264">
                  <c:v>3.6268864326399082</c:v>
                </c:pt>
                <c:pt idx="265">
                  <c:v>3.6265262723073941</c:v>
                </c:pt>
                <c:pt idx="266">
                  <c:v>3.6251100809133097</c:v>
                </c:pt>
                <c:pt idx="267">
                  <c:v>3.6215814902318741</c:v>
                </c:pt>
                <c:pt idx="268">
                  <c:v>3.6187040139514819</c:v>
                </c:pt>
                <c:pt idx="269">
                  <c:v>3.6169523984135021</c:v>
                </c:pt>
                <c:pt idx="270">
                  <c:v>3.614221274457968</c:v>
                </c:pt>
                <c:pt idx="271">
                  <c:v>3.611809996283764</c:v>
                </c:pt>
                <c:pt idx="272">
                  <c:v>3.6085386897372183</c:v>
                </c:pt>
                <c:pt idx="273">
                  <c:v>3.6052047907986799</c:v>
                </c:pt>
                <c:pt idx="274">
                  <c:v>3.6027201680866603</c:v>
                </c:pt>
                <c:pt idx="275">
                  <c:v>3.5990788074583038</c:v>
                </c:pt>
                <c:pt idx="276">
                  <c:v>3.5982027452313381</c:v>
                </c:pt>
                <c:pt idx="277">
                  <c:v>3.594967100620198</c:v>
                </c:pt>
                <c:pt idx="278">
                  <c:v>3.5903817842582719</c:v>
                </c:pt>
                <c:pt idx="279">
                  <c:v>3.584771505278614</c:v>
                </c:pt>
                <c:pt idx="280">
                  <c:v>3.5808046425364823</c:v>
                </c:pt>
                <c:pt idx="281">
                  <c:v>3.57539917630967</c:v>
                </c:pt>
                <c:pt idx="282">
                  <c:v>3.5721357842012837</c:v>
                </c:pt>
                <c:pt idx="283">
                  <c:v>3.5677446176095517</c:v>
                </c:pt>
                <c:pt idx="284">
                  <c:v>3.5612280233717941</c:v>
                </c:pt>
                <c:pt idx="285">
                  <c:v>3.5562493210369541</c:v>
                </c:pt>
                <c:pt idx="286">
                  <c:v>3.553054890745452</c:v>
                </c:pt>
                <c:pt idx="287">
                  <c:v>3.5493133626386779</c:v>
                </c:pt>
                <c:pt idx="288">
                  <c:v>3.5459705686149299</c:v>
                </c:pt>
                <c:pt idx="289">
                  <c:v>3.5439044306808483</c:v>
                </c:pt>
                <c:pt idx="290">
                  <c:v>3.5430788145210244</c:v>
                </c:pt>
                <c:pt idx="291">
                  <c:v>3.54228137104479</c:v>
                </c:pt>
                <c:pt idx="292">
                  <c:v>3.5439602289096741</c:v>
                </c:pt>
                <c:pt idx="293">
                  <c:v>3.542814563398446</c:v>
                </c:pt>
                <c:pt idx="294">
                  <c:v>3.535169176684954</c:v>
                </c:pt>
                <c:pt idx="295">
                  <c:v>3.5319514570611741</c:v>
                </c:pt>
                <c:pt idx="296">
                  <c:v>3.5284352900714797</c:v>
                </c:pt>
                <c:pt idx="297">
                  <c:v>3.5227770103379439</c:v>
                </c:pt>
                <c:pt idx="298">
                  <c:v>3.5174665060389261</c:v>
                </c:pt>
                <c:pt idx="299">
                  <c:v>3.5114212134963081</c:v>
                </c:pt>
                <c:pt idx="300">
                  <c:v>3.5038541580225759</c:v>
                </c:pt>
                <c:pt idx="301">
                  <c:v>3.4935552709680802</c:v>
                </c:pt>
                <c:pt idx="302">
                  <c:v>3.4853396582123639</c:v>
                </c:pt>
                <c:pt idx="303">
                  <c:v>3.4867202898085221</c:v>
                </c:pt>
                <c:pt idx="304">
                  <c:v>3.4828250578703761</c:v>
                </c:pt>
                <c:pt idx="305">
                  <c:v>3.481109704384286</c:v>
                </c:pt>
                <c:pt idx="306">
                  <c:v>3.4773671810962776</c:v>
                </c:pt>
                <c:pt idx="307">
                  <c:v>3.4725170534416963</c:v>
                </c:pt>
                <c:pt idx="308">
                  <c:v>3.4655708574574202</c:v>
                </c:pt>
                <c:pt idx="309">
                  <c:v>3.4578468969117657</c:v>
                </c:pt>
                <c:pt idx="310">
                  <c:v>3.4500945631374238</c:v>
                </c:pt>
                <c:pt idx="311">
                  <c:v>3.4467319841261523</c:v>
                </c:pt>
                <c:pt idx="312">
                  <c:v>3.4451305198091697</c:v>
                </c:pt>
                <c:pt idx="313">
                  <c:v>3.4473169518949085</c:v>
                </c:pt>
                <c:pt idx="314">
                  <c:v>3.447700755065453</c:v>
                </c:pt>
                <c:pt idx="315">
                  <c:v>3.4468232344151031</c:v>
                </c:pt>
                <c:pt idx="316">
                  <c:v>3.4457896137926816</c:v>
                </c:pt>
                <c:pt idx="317">
                  <c:v>3.4648817956664208</c:v>
                </c:pt>
                <c:pt idx="318">
                  <c:v>3.4804298493644028</c:v>
                </c:pt>
                <c:pt idx="319">
                  <c:v>3.4958730362597059</c:v>
                </c:pt>
                <c:pt idx="320">
                  <c:v>3.5076260209646177</c:v>
                </c:pt>
                <c:pt idx="321">
                  <c:v>3.5194611612009279</c:v>
                </c:pt>
                <c:pt idx="322">
                  <c:v>3.5277287831308182</c:v>
                </c:pt>
                <c:pt idx="323">
                  <c:v>3.5330669027754582</c:v>
                </c:pt>
                <c:pt idx="324">
                  <c:v>3.5378191070479361</c:v>
                </c:pt>
                <c:pt idx="325">
                  <c:v>3.5481015967939959</c:v>
                </c:pt>
                <c:pt idx="326">
                  <c:v>3.5588799963395599</c:v>
                </c:pt>
                <c:pt idx="327">
                  <c:v>3.5601837341170799</c:v>
                </c:pt>
                <c:pt idx="328">
                  <c:v>3.5628390241101418</c:v>
                </c:pt>
                <c:pt idx="329">
                  <c:v>3.565173328482202</c:v>
                </c:pt>
                <c:pt idx="330">
                  <c:v>3.5676064229839963</c:v>
                </c:pt>
                <c:pt idx="331">
                  <c:v>3.569841759331172</c:v>
                </c:pt>
                <c:pt idx="332">
                  <c:v>3.5755107652765701</c:v>
                </c:pt>
                <c:pt idx="333">
                  <c:v>3.5836967906092001</c:v>
                </c:pt>
                <c:pt idx="334">
                  <c:v>3.5876905348162502</c:v>
                </c:pt>
                <c:pt idx="335">
                  <c:v>3.59002599868121</c:v>
                </c:pt>
                <c:pt idx="336">
                  <c:v>3.5947803470841198</c:v>
                </c:pt>
                <c:pt idx="337">
                  <c:v>3.5968935078177857</c:v>
                </c:pt>
                <c:pt idx="338">
                  <c:v>3.599204428749696</c:v>
                </c:pt>
                <c:pt idx="339">
                  <c:v>3.6024550619300442</c:v>
                </c:pt>
                <c:pt idx="340">
                  <c:v>3.6098027511024582</c:v>
                </c:pt>
                <c:pt idx="341">
                  <c:v>3.6142393566498061</c:v>
                </c:pt>
                <c:pt idx="342">
                  <c:v>3.6184493003360019</c:v>
                </c:pt>
                <c:pt idx="343">
                  <c:v>3.6210125251932377</c:v>
                </c:pt>
                <c:pt idx="344">
                  <c:v>3.6255972168895401</c:v>
                </c:pt>
                <c:pt idx="345">
                  <c:v>3.6292540284652062</c:v>
                </c:pt>
                <c:pt idx="346">
                  <c:v>3.6310277955669323</c:v>
                </c:pt>
                <c:pt idx="347">
                  <c:v>3.632187536244142</c:v>
                </c:pt>
                <c:pt idx="348">
                  <c:v>3.632900167654368</c:v>
                </c:pt>
                <c:pt idx="349">
                  <c:v>3.6331965714375563</c:v>
                </c:pt>
                <c:pt idx="350">
                  <c:v>3.6331591297905499</c:v>
                </c:pt>
                <c:pt idx="351">
                  <c:v>3.6325745650490262</c:v>
                </c:pt>
                <c:pt idx="352">
                  <c:v>3.6322822435014661</c:v>
                </c:pt>
                <c:pt idx="353">
                  <c:v>3.631815554234016</c:v>
                </c:pt>
                <c:pt idx="354">
                  <c:v>3.6306605890365358</c:v>
                </c:pt>
                <c:pt idx="355">
                  <c:v>3.6301633681052903</c:v>
                </c:pt>
                <c:pt idx="356">
                  <c:v>3.6288942272795199</c:v>
                </c:pt>
                <c:pt idx="357">
                  <c:v>3.6278058010776482</c:v>
                </c:pt>
                <c:pt idx="358">
                  <c:v>3.6277060378047956</c:v>
                </c:pt>
                <c:pt idx="359">
                  <c:v>3.6273191889817702</c:v>
                </c:pt>
                <c:pt idx="360">
                  <c:v>3.6266965523447219</c:v>
                </c:pt>
                <c:pt idx="361">
                  <c:v>3.627304729245918</c:v>
                </c:pt>
                <c:pt idx="362">
                  <c:v>3.6274810629921719</c:v>
                </c:pt>
                <c:pt idx="363">
                  <c:v>3.6283812535815061</c:v>
                </c:pt>
                <c:pt idx="364">
                  <c:v>3.6344816051217204</c:v>
                </c:pt>
                <c:pt idx="365">
                  <c:v>3.6431257752699704</c:v>
                </c:pt>
                <c:pt idx="366">
                  <c:v>3.6484760656386501</c:v>
                </c:pt>
                <c:pt idx="367">
                  <c:v>3.6473470066225664</c:v>
                </c:pt>
                <c:pt idx="368">
                  <c:v>3.6482517475424157</c:v>
                </c:pt>
                <c:pt idx="369">
                  <c:v>3.6496192952890398</c:v>
                </c:pt>
                <c:pt idx="370">
                  <c:v>3.6484011105207022</c:v>
                </c:pt>
                <c:pt idx="371">
                  <c:v>3.6444475080643697</c:v>
                </c:pt>
                <c:pt idx="372">
                  <c:v>3.6451435710565758</c:v>
                </c:pt>
                <c:pt idx="373">
                  <c:v>3.6475706071738521</c:v>
                </c:pt>
                <c:pt idx="374">
                  <c:v>3.6476797105127039</c:v>
                </c:pt>
                <c:pt idx="375">
                  <c:v>3.6481158171380739</c:v>
                </c:pt>
                <c:pt idx="376">
                  <c:v>3.6497592962636869</c:v>
                </c:pt>
                <c:pt idx="377">
                  <c:v>3.6513298445086799</c:v>
                </c:pt>
                <c:pt idx="378">
                  <c:v>3.6518812156328564</c:v>
                </c:pt>
                <c:pt idx="379">
                  <c:v>3.6530025574710341</c:v>
                </c:pt>
                <c:pt idx="380">
                  <c:v>3.6536991288358118</c:v>
                </c:pt>
                <c:pt idx="381">
                  <c:v>3.6546765137028721</c:v>
                </c:pt>
                <c:pt idx="382">
                  <c:v>3.6555637155928249</c:v>
                </c:pt>
                <c:pt idx="383">
                  <c:v>3.6562104759666507</c:v>
                </c:pt>
                <c:pt idx="384">
                  <c:v>3.656163673542034</c:v>
                </c:pt>
                <c:pt idx="385">
                  <c:v>3.6554706947494791</c:v>
                </c:pt>
                <c:pt idx="386">
                  <c:v>3.6554208992621229</c:v>
                </c:pt>
                <c:pt idx="387">
                  <c:v>3.6547777718353971</c:v>
                </c:pt>
                <c:pt idx="388">
                  <c:v>3.654862681911434</c:v>
                </c:pt>
                <c:pt idx="389">
                  <c:v>3.6535790820411087</c:v>
                </c:pt>
                <c:pt idx="390">
                  <c:v>3.6515947321579194</c:v>
                </c:pt>
                <c:pt idx="391">
                  <c:v>3.65149438508957</c:v>
                </c:pt>
                <c:pt idx="392">
                  <c:v>3.6489269238384034</c:v>
                </c:pt>
                <c:pt idx="393">
                  <c:v>3.6477957384926119</c:v>
                </c:pt>
                <c:pt idx="394">
                  <c:v>3.6463471363467042</c:v>
                </c:pt>
                <c:pt idx="395">
                  <c:v>3.6485775173856556</c:v>
                </c:pt>
                <c:pt idx="396">
                  <c:v>3.6524858552864057</c:v>
                </c:pt>
                <c:pt idx="397">
                  <c:v>3.6579467866227895</c:v>
                </c:pt>
                <c:pt idx="398">
                  <c:v>3.6672460478318158</c:v>
                </c:pt>
                <c:pt idx="399">
                  <c:v>3.6741298266885027</c:v>
                </c:pt>
                <c:pt idx="400">
                  <c:v>3.6783734161135047</c:v>
                </c:pt>
                <c:pt idx="401">
                  <c:v>3.6807373722081236</c:v>
                </c:pt>
                <c:pt idx="402">
                  <c:v>3.6884794539293142</c:v>
                </c:pt>
                <c:pt idx="403">
                  <c:v>3.6926537123060701</c:v>
                </c:pt>
                <c:pt idx="404">
                  <c:v>3.6975939628700121</c:v>
                </c:pt>
                <c:pt idx="405">
                  <c:v>3.7014898951801682</c:v>
                </c:pt>
                <c:pt idx="406">
                  <c:v>3.7044435855387383</c:v>
                </c:pt>
                <c:pt idx="407">
                  <c:v>3.7098634743355361</c:v>
                </c:pt>
                <c:pt idx="408">
                  <c:v>3.7148416354642242</c:v>
                </c:pt>
                <c:pt idx="409">
                  <c:v>3.7189504364414216</c:v>
                </c:pt>
                <c:pt idx="410">
                  <c:v>3.7263542098996241</c:v>
                </c:pt>
                <c:pt idx="411">
                  <c:v>3.7316806962117037</c:v>
                </c:pt>
                <c:pt idx="412">
                  <c:v>3.7368248857783439</c:v>
                </c:pt>
                <c:pt idx="413">
                  <c:v>3.740479944784374</c:v>
                </c:pt>
                <c:pt idx="414">
                  <c:v>3.7456726329837902</c:v>
                </c:pt>
                <c:pt idx="415">
                  <c:v>3.749197510537694</c:v>
                </c:pt>
                <c:pt idx="416">
                  <c:v>3.754096763932862</c:v>
                </c:pt>
                <c:pt idx="417">
                  <c:v>3.761063457570522</c:v>
                </c:pt>
                <c:pt idx="418">
                  <c:v>3.7688765207678521</c:v>
                </c:pt>
                <c:pt idx="419">
                  <c:v>3.7801146462668842</c:v>
                </c:pt>
                <c:pt idx="420">
                  <c:v>3.7873376377563797</c:v>
                </c:pt>
                <c:pt idx="421">
                  <c:v>3.7946169769695781</c:v>
                </c:pt>
                <c:pt idx="422">
                  <c:v>3.7961638278556804</c:v>
                </c:pt>
                <c:pt idx="423">
                  <c:v>3.7950545343750757</c:v>
                </c:pt>
                <c:pt idx="424">
                  <c:v>3.7936695798962039</c:v>
                </c:pt>
                <c:pt idx="425">
                  <c:v>3.7916585511200056</c:v>
                </c:pt>
                <c:pt idx="426">
                  <c:v>3.7908709671915917</c:v>
                </c:pt>
                <c:pt idx="427">
                  <c:v>3.7917976731646301</c:v>
                </c:pt>
                <c:pt idx="428">
                  <c:v>3.7950925799204702</c:v>
                </c:pt>
                <c:pt idx="429">
                  <c:v>3.7938247330152461</c:v>
                </c:pt>
                <c:pt idx="430">
                  <c:v>3.7935790146840001</c:v>
                </c:pt>
                <c:pt idx="431">
                  <c:v>3.7954469810585523</c:v>
                </c:pt>
                <c:pt idx="432">
                  <c:v>3.7991648106823761</c:v>
                </c:pt>
                <c:pt idx="433">
                  <c:v>3.8039446814262701</c:v>
                </c:pt>
                <c:pt idx="434">
                  <c:v>3.8009419591893181</c:v>
                </c:pt>
                <c:pt idx="435">
                  <c:v>3.7994016524599008</c:v>
                </c:pt>
                <c:pt idx="436">
                  <c:v>3.8030490870254381</c:v>
                </c:pt>
                <c:pt idx="437">
                  <c:v>3.8091419301054321</c:v>
                </c:pt>
                <c:pt idx="438">
                  <c:v>3.8096407551690068</c:v>
                </c:pt>
                <c:pt idx="439">
                  <c:v>3.8138687884616216</c:v>
                </c:pt>
                <c:pt idx="440">
                  <c:v>3.815821887631639</c:v>
                </c:pt>
                <c:pt idx="441">
                  <c:v>3.8218821657784492</c:v>
                </c:pt>
                <c:pt idx="442">
                  <c:v>3.8285334127997257</c:v>
                </c:pt>
                <c:pt idx="443">
                  <c:v>3.8356372544408437</c:v>
                </c:pt>
                <c:pt idx="444">
                  <c:v>3.841746611877606</c:v>
                </c:pt>
                <c:pt idx="445">
                  <c:v>3.8436904590412602</c:v>
                </c:pt>
                <c:pt idx="446">
                  <c:v>3.8442296965015803</c:v>
                </c:pt>
                <c:pt idx="447">
                  <c:v>3.8442862625731857</c:v>
                </c:pt>
                <c:pt idx="448">
                  <c:v>3.8442906656985318</c:v>
                </c:pt>
                <c:pt idx="449">
                  <c:v>3.8441870683900277</c:v>
                </c:pt>
                <c:pt idx="450">
                  <c:v>3.8456450403752123</c:v>
                </c:pt>
                <c:pt idx="451">
                  <c:v>3.8466380781321616</c:v>
                </c:pt>
                <c:pt idx="452">
                  <c:v>3.8469422405537643</c:v>
                </c:pt>
                <c:pt idx="453">
                  <c:v>3.84731207819399</c:v>
                </c:pt>
                <c:pt idx="454">
                  <c:v>3.848254248307613</c:v>
                </c:pt>
                <c:pt idx="455">
                  <c:v>3.8491480446134889</c:v>
                </c:pt>
                <c:pt idx="456">
                  <c:v>3.8495575721356761</c:v>
                </c:pt>
                <c:pt idx="457">
                  <c:v>3.8491345758077284</c:v>
                </c:pt>
                <c:pt idx="458">
                  <c:v>3.847008907026094</c:v>
                </c:pt>
                <c:pt idx="459">
                  <c:v>3.8450052394906229</c:v>
                </c:pt>
                <c:pt idx="460">
                  <c:v>3.8426332823095075</c:v>
                </c:pt>
                <c:pt idx="461">
                  <c:v>3.8401088091798536</c:v>
                </c:pt>
                <c:pt idx="462">
                  <c:v>3.8351735790504624</c:v>
                </c:pt>
                <c:pt idx="463">
                  <c:v>3.8324803262941258</c:v>
                </c:pt>
                <c:pt idx="464">
                  <c:v>3.8303234165419977</c:v>
                </c:pt>
                <c:pt idx="465">
                  <c:v>3.8308954988231401</c:v>
                </c:pt>
                <c:pt idx="466">
                  <c:v>3.830678605206765</c:v>
                </c:pt>
                <c:pt idx="467">
                  <c:v>3.832968533016766</c:v>
                </c:pt>
                <c:pt idx="468">
                  <c:v>3.8383327905167279</c:v>
                </c:pt>
                <c:pt idx="469">
                  <c:v>3.8454288858061294</c:v>
                </c:pt>
                <c:pt idx="470">
                  <c:v>3.8500315424186584</c:v>
                </c:pt>
                <c:pt idx="471">
                  <c:v>3.8564448378543172</c:v>
                </c:pt>
                <c:pt idx="472">
                  <c:v>3.8593239232731338</c:v>
                </c:pt>
                <c:pt idx="473">
                  <c:v>3.8659687185777614</c:v>
                </c:pt>
                <c:pt idx="474">
                  <c:v>3.872614771522624</c:v>
                </c:pt>
                <c:pt idx="475">
                  <c:v>3.8756886263390489</c:v>
                </c:pt>
                <c:pt idx="476">
                  <c:v>3.8822562344257845</c:v>
                </c:pt>
                <c:pt idx="477">
                  <c:v>3.888042410490145</c:v>
                </c:pt>
                <c:pt idx="478">
                  <c:v>3.893006749108479</c:v>
                </c:pt>
                <c:pt idx="479">
                  <c:v>3.8997684317796213</c:v>
                </c:pt>
                <c:pt idx="480">
                  <c:v>3.9028452971947414</c:v>
                </c:pt>
                <c:pt idx="481">
                  <c:v>3.9172722932334425</c:v>
                </c:pt>
                <c:pt idx="482">
                  <c:v>3.9344804647988076</c:v>
                </c:pt>
                <c:pt idx="483">
                  <c:v>3.949759726866434</c:v>
                </c:pt>
                <c:pt idx="484">
                  <c:v>3.9714985746743641</c:v>
                </c:pt>
                <c:pt idx="485">
                  <c:v>3.9911769120897</c:v>
                </c:pt>
                <c:pt idx="486">
                  <c:v>4.0041895112972998</c:v>
                </c:pt>
                <c:pt idx="487">
                  <c:v>4.0183344070651383</c:v>
                </c:pt>
                <c:pt idx="488">
                  <c:v>4.0309440361311637</c:v>
                </c:pt>
                <c:pt idx="489">
                  <c:v>4.0480203621447455</c:v>
                </c:pt>
                <c:pt idx="490">
                  <c:v>4.0661757049704583</c:v>
                </c:pt>
                <c:pt idx="491">
                  <c:v>4.0816644504596562</c:v>
                </c:pt>
                <c:pt idx="492">
                  <c:v>4.1009515724130683</c:v>
                </c:pt>
                <c:pt idx="493">
                  <c:v>4.1199852659689515</c:v>
                </c:pt>
                <c:pt idx="494">
                  <c:v>4.1382286560551744</c:v>
                </c:pt>
                <c:pt idx="495">
                  <c:v>4.1527028704278424</c:v>
                </c:pt>
                <c:pt idx="496">
                  <c:v>4.1706250244118461</c:v>
                </c:pt>
                <c:pt idx="497">
                  <c:v>4.1897870937243082</c:v>
                </c:pt>
                <c:pt idx="498">
                  <c:v>4.2005003160205456</c:v>
                </c:pt>
                <c:pt idx="499">
                  <c:v>4.2136806858719922</c:v>
                </c:pt>
                <c:pt idx="500">
                  <c:v>4.2286323492209696</c:v>
                </c:pt>
                <c:pt idx="501">
                  <c:v>4.2435383273246696</c:v>
                </c:pt>
                <c:pt idx="502">
                  <c:v>4.25794859986331</c:v>
                </c:pt>
                <c:pt idx="503">
                  <c:v>4.2746900383681776</c:v>
                </c:pt>
                <c:pt idx="504">
                  <c:v>4.2889547924862379</c:v>
                </c:pt>
                <c:pt idx="505">
                  <c:v>4.3025136346048756</c:v>
                </c:pt>
                <c:pt idx="506">
                  <c:v>4.3248773463753416</c:v>
                </c:pt>
                <c:pt idx="507">
                  <c:v>4.3419469327103322</c:v>
                </c:pt>
                <c:pt idx="508">
                  <c:v>4.3539757068149738</c:v>
                </c:pt>
                <c:pt idx="509">
                  <c:v>4.366600988200986</c:v>
                </c:pt>
                <c:pt idx="510">
                  <c:v>4.3813534986651366</c:v>
                </c:pt>
                <c:pt idx="511">
                  <c:v>4.3965136455050038</c:v>
                </c:pt>
                <c:pt idx="512">
                  <c:v>4.4073426241439178</c:v>
                </c:pt>
                <c:pt idx="513">
                  <c:v>4.4165301625788498</c:v>
                </c:pt>
                <c:pt idx="514">
                  <c:v>4.4276053216318561</c:v>
                </c:pt>
                <c:pt idx="515">
                  <c:v>4.4392526170673081</c:v>
                </c:pt>
                <c:pt idx="516">
                  <c:v>4.4487439256533738</c:v>
                </c:pt>
                <c:pt idx="517">
                  <c:v>4.459439637327792</c:v>
                </c:pt>
                <c:pt idx="518">
                  <c:v>4.4713659470421439</c:v>
                </c:pt>
                <c:pt idx="519">
                  <c:v>4.4818010336463479</c:v>
                </c:pt>
                <c:pt idx="520">
                  <c:v>4.4902501827766903</c:v>
                </c:pt>
                <c:pt idx="521">
                  <c:v>4.4983600920199915</c:v>
                </c:pt>
                <c:pt idx="522">
                  <c:v>4.5024136318619732</c:v>
                </c:pt>
                <c:pt idx="523">
                  <c:v>4.5073763995494946</c:v>
                </c:pt>
                <c:pt idx="524">
                  <c:v>4.5097085488321742</c:v>
                </c:pt>
                <c:pt idx="525">
                  <c:v>4.5128627931124203</c:v>
                </c:pt>
                <c:pt idx="526">
                  <c:v>4.5147759057295644</c:v>
                </c:pt>
                <c:pt idx="527">
                  <c:v>4.5150409097254123</c:v>
                </c:pt>
                <c:pt idx="528">
                  <c:v>4.517310506713704</c:v>
                </c:pt>
                <c:pt idx="529">
                  <c:v>4.5191781085482763</c:v>
                </c:pt>
                <c:pt idx="530">
                  <c:v>4.5209792033096328</c:v>
                </c:pt>
                <c:pt idx="531">
                  <c:v>4.5223541480092022</c:v>
                </c:pt>
                <c:pt idx="532">
                  <c:v>4.523161531579996</c:v>
                </c:pt>
                <c:pt idx="533">
                  <c:v>4.5237828388774624</c:v>
                </c:pt>
                <c:pt idx="534">
                  <c:v>4.52518325829924</c:v>
                </c:pt>
                <c:pt idx="535">
                  <c:v>4.5251910925192922</c:v>
                </c:pt>
                <c:pt idx="536">
                  <c:v>4.5229676508944641</c:v>
                </c:pt>
                <c:pt idx="537">
                  <c:v>4.5182896522468816</c:v>
                </c:pt>
                <c:pt idx="538">
                  <c:v>4.5116480182871959</c:v>
                </c:pt>
                <c:pt idx="539">
                  <c:v>4.5045964960773954</c:v>
                </c:pt>
                <c:pt idx="540">
                  <c:v>4.5000098925466228</c:v>
                </c:pt>
                <c:pt idx="541">
                  <c:v>4.4946940325584519</c:v>
                </c:pt>
                <c:pt idx="542">
                  <c:v>4.4900607683008413</c:v>
                </c:pt>
                <c:pt idx="543">
                  <c:v>4.486746889138332</c:v>
                </c:pt>
                <c:pt idx="544">
                  <c:v>4.484773617356864</c:v>
                </c:pt>
                <c:pt idx="545">
                  <c:v>4.4795872589368297</c:v>
                </c:pt>
                <c:pt idx="546">
                  <c:v>4.4744967133350642</c:v>
                </c:pt>
                <c:pt idx="547">
                  <c:v>4.4699896621276034</c:v>
                </c:pt>
                <c:pt idx="548">
                  <c:v>4.4641963412752039</c:v>
                </c:pt>
                <c:pt idx="549">
                  <c:v>4.4580471436084057</c:v>
                </c:pt>
                <c:pt idx="550">
                  <c:v>4.4469496950241822</c:v>
                </c:pt>
                <c:pt idx="551">
                  <c:v>4.4398374420885247</c:v>
                </c:pt>
                <c:pt idx="552">
                  <c:v>4.4307853264394943</c:v>
                </c:pt>
                <c:pt idx="553">
                  <c:v>4.4213328856637899</c:v>
                </c:pt>
                <c:pt idx="554">
                  <c:v>4.4124502886205859</c:v>
                </c:pt>
                <c:pt idx="555">
                  <c:v>4.3982485618821183</c:v>
                </c:pt>
                <c:pt idx="556">
                  <c:v>4.3951152222980507</c:v>
                </c:pt>
                <c:pt idx="557">
                  <c:v>4.3924591061284195</c:v>
                </c:pt>
                <c:pt idx="558">
                  <c:v>4.3892451782968447</c:v>
                </c:pt>
                <c:pt idx="559">
                  <c:v>4.3886143655987242</c:v>
                </c:pt>
                <c:pt idx="560">
                  <c:v>4.3878030413084668</c:v>
                </c:pt>
                <c:pt idx="561">
                  <c:v>4.3850088666307521</c:v>
                </c:pt>
                <c:pt idx="562">
                  <c:v>4.3829118456561309</c:v>
                </c:pt>
                <c:pt idx="563">
                  <c:v>4.3808804644453234</c:v>
                </c:pt>
                <c:pt idx="564">
                  <c:v>4.3810064237595672</c:v>
                </c:pt>
                <c:pt idx="565">
                  <c:v>4.3811006820965765</c:v>
                </c:pt>
                <c:pt idx="566">
                  <c:v>4.3822864744734602</c:v>
                </c:pt>
                <c:pt idx="567">
                  <c:v>4.3835641244014241</c:v>
                </c:pt>
                <c:pt idx="568">
                  <c:v>4.3835516302548445</c:v>
                </c:pt>
                <c:pt idx="569">
                  <c:v>4.3838517008068374</c:v>
                </c:pt>
                <c:pt idx="570">
                  <c:v>4.3837892964283203</c:v>
                </c:pt>
                <c:pt idx="571">
                  <c:v>4.3836499607028943</c:v>
                </c:pt>
                <c:pt idx="572">
                  <c:v>4.3829217975421209</c:v>
                </c:pt>
                <c:pt idx="573">
                  <c:v>4.3828752812216027</c:v>
                </c:pt>
                <c:pt idx="574">
                  <c:v>4.3838776761185843</c:v>
                </c:pt>
                <c:pt idx="575">
                  <c:v>4.3852138268962673</c:v>
                </c:pt>
                <c:pt idx="576">
                  <c:v>4.3884034436905432</c:v>
                </c:pt>
                <c:pt idx="577">
                  <c:v>4.38890341245712</c:v>
                </c:pt>
                <c:pt idx="578">
                  <c:v>4.3872197024180934</c:v>
                </c:pt>
                <c:pt idx="579">
                  <c:v>4.3862843562090719</c:v>
                </c:pt>
                <c:pt idx="580">
                  <c:v>4.3851221094437065</c:v>
                </c:pt>
                <c:pt idx="581">
                  <c:v>4.3773264910693461</c:v>
                </c:pt>
                <c:pt idx="582">
                  <c:v>4.3732273464288447</c:v>
                </c:pt>
                <c:pt idx="583">
                  <c:v>4.372631088852315</c:v>
                </c:pt>
                <c:pt idx="584">
                  <c:v>4.370549435256291</c:v>
                </c:pt>
                <c:pt idx="585">
                  <c:v>4.366552760482092</c:v>
                </c:pt>
                <c:pt idx="586">
                  <c:v>4.3620179018795113</c:v>
                </c:pt>
                <c:pt idx="587">
                  <c:v>4.3602653901004187</c:v>
                </c:pt>
                <c:pt idx="588">
                  <c:v>4.3590043814261517</c:v>
                </c:pt>
                <c:pt idx="589">
                  <c:v>4.3563997892077664</c:v>
                </c:pt>
                <c:pt idx="590">
                  <c:v>4.35206605539907</c:v>
                </c:pt>
                <c:pt idx="591">
                  <c:v>4.3501252383623168</c:v>
                </c:pt>
                <c:pt idx="592">
                  <c:v>4.3480226028019295</c:v>
                </c:pt>
                <c:pt idx="593">
                  <c:v>4.3439152139161701</c:v>
                </c:pt>
                <c:pt idx="594">
                  <c:v>4.3419507103977297</c:v>
                </c:pt>
                <c:pt idx="595">
                  <c:v>4.3390015148542309</c:v>
                </c:pt>
                <c:pt idx="596">
                  <c:v>4.3362749836213954</c:v>
                </c:pt>
                <c:pt idx="597">
                  <c:v>4.3361640233354528</c:v>
                </c:pt>
                <c:pt idx="598">
                  <c:v>4.3300789765509613</c:v>
                </c:pt>
                <c:pt idx="599">
                  <c:v>4.32785837139006</c:v>
                </c:pt>
                <c:pt idx="600">
                  <c:v>4.3280935277512533</c:v>
                </c:pt>
                <c:pt idx="601">
                  <c:v>4.3341613044237448</c:v>
                </c:pt>
                <c:pt idx="602">
                  <c:v>4.3426337563141821</c:v>
                </c:pt>
                <c:pt idx="603">
                  <c:v>4.3495117428748635</c:v>
                </c:pt>
                <c:pt idx="604">
                  <c:v>4.3520207517463296</c:v>
                </c:pt>
                <c:pt idx="605">
                  <c:v>4.3643547505149707</c:v>
                </c:pt>
                <c:pt idx="606">
                  <c:v>4.371236284479104</c:v>
                </c:pt>
                <c:pt idx="607">
                  <c:v>4.3761468139792985</c:v>
                </c:pt>
                <c:pt idx="608">
                  <c:v>4.3872356165672493</c:v>
                </c:pt>
                <c:pt idx="609">
                  <c:v>4.3921561023720885</c:v>
                </c:pt>
                <c:pt idx="610">
                  <c:v>4.400359472456528</c:v>
                </c:pt>
                <c:pt idx="611">
                  <c:v>4.4086352312133217</c:v>
                </c:pt>
                <c:pt idx="612">
                  <c:v>4.4229606914441879</c:v>
                </c:pt>
                <c:pt idx="613">
                  <c:v>4.4422890508685819</c:v>
                </c:pt>
                <c:pt idx="614">
                  <c:v>4.4621177138188894</c:v>
                </c:pt>
                <c:pt idx="615">
                  <c:v>4.480961148825636</c:v>
                </c:pt>
                <c:pt idx="616">
                  <c:v>4.4968202306594147</c:v>
                </c:pt>
                <c:pt idx="617">
                  <c:v>4.510151893867314</c:v>
                </c:pt>
                <c:pt idx="618">
                  <c:v>4.5244728836685804</c:v>
                </c:pt>
                <c:pt idx="619">
                  <c:v>4.5406430258441199</c:v>
                </c:pt>
                <c:pt idx="620">
                  <c:v>4.5602993138639665</c:v>
                </c:pt>
                <c:pt idx="621">
                  <c:v>4.5749981384911775</c:v>
                </c:pt>
                <c:pt idx="622">
                  <c:v>4.5903332751398827</c:v>
                </c:pt>
                <c:pt idx="623">
                  <c:v>4.5978678593664002</c:v>
                </c:pt>
                <c:pt idx="624">
                  <c:v>4.6069060725671278</c:v>
                </c:pt>
                <c:pt idx="625">
                  <c:v>4.6141341152367801</c:v>
                </c:pt>
                <c:pt idx="626">
                  <c:v>4.6205630865592138</c:v>
                </c:pt>
                <c:pt idx="627">
                  <c:v>4.6283429110047836</c:v>
                </c:pt>
                <c:pt idx="628">
                  <c:v>4.6373029270178199</c:v>
                </c:pt>
                <c:pt idx="629">
                  <c:v>4.6498714894334565</c:v>
                </c:pt>
                <c:pt idx="630">
                  <c:v>4.6571238371472061</c:v>
                </c:pt>
                <c:pt idx="631">
                  <c:v>4.6700777936466702</c:v>
                </c:pt>
                <c:pt idx="632">
                  <c:v>4.6837427332518837</c:v>
                </c:pt>
                <c:pt idx="633">
                  <c:v>4.697358968848472</c:v>
                </c:pt>
                <c:pt idx="634">
                  <c:v>4.7076623291343704</c:v>
                </c:pt>
                <c:pt idx="635">
                  <c:v>4.7162156315197477</c:v>
                </c:pt>
                <c:pt idx="636">
                  <c:v>4.7237791282332724</c:v>
                </c:pt>
                <c:pt idx="637">
                  <c:v>4.7302440900285134</c:v>
                </c:pt>
                <c:pt idx="638">
                  <c:v>4.736193897829386</c:v>
                </c:pt>
                <c:pt idx="639">
                  <c:v>4.7422427209568196</c:v>
                </c:pt>
                <c:pt idx="640">
                  <c:v>4.750683284024082</c:v>
                </c:pt>
                <c:pt idx="641">
                  <c:v>4.7578658909354452</c:v>
                </c:pt>
                <c:pt idx="642">
                  <c:v>4.7630140335028779</c:v>
                </c:pt>
                <c:pt idx="643">
                  <c:v>4.7662898600250942</c:v>
                </c:pt>
                <c:pt idx="644">
                  <c:v>4.7672700856152268</c:v>
                </c:pt>
                <c:pt idx="645">
                  <c:v>4.769356777539044</c:v>
                </c:pt>
                <c:pt idx="646">
                  <c:v>4.7707411907774082</c:v>
                </c:pt>
                <c:pt idx="647">
                  <c:v>4.7704166657441238</c:v>
                </c:pt>
                <c:pt idx="648">
                  <c:v>4.7709140648360098</c:v>
                </c:pt>
                <c:pt idx="649">
                  <c:v>4.7723518831174685</c:v>
                </c:pt>
                <c:pt idx="650">
                  <c:v>4.772472812705276</c:v>
                </c:pt>
                <c:pt idx="651">
                  <c:v>4.7709570917963839</c:v>
                </c:pt>
                <c:pt idx="652">
                  <c:v>4.7714089246758125</c:v>
                </c:pt>
                <c:pt idx="653">
                  <c:v>4.7741521817202841</c:v>
                </c:pt>
                <c:pt idx="654">
                  <c:v>4.7732329357818619</c:v>
                </c:pt>
                <c:pt idx="655">
                  <c:v>4.7714261824837321</c:v>
                </c:pt>
                <c:pt idx="656">
                  <c:v>4.76812455774275</c:v>
                </c:pt>
                <c:pt idx="657">
                  <c:v>4.7655320859442165</c:v>
                </c:pt>
                <c:pt idx="658">
                  <c:v>4.759553388746034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</c:numCache>
            </c:numRef>
          </c:val>
        </c:ser>
        <c:ser>
          <c:idx val="2"/>
          <c:order val="2"/>
          <c:tx>
            <c:strRef>
              <c:f>グラフ!$O$41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43795</c:v>
                </c:pt>
                <c:pt idx="1">
                  <c:v>43794</c:v>
                </c:pt>
                <c:pt idx="2">
                  <c:v>43791</c:v>
                </c:pt>
                <c:pt idx="3">
                  <c:v>43790</c:v>
                </c:pt>
                <c:pt idx="4">
                  <c:v>43789</c:v>
                </c:pt>
                <c:pt idx="5">
                  <c:v>43788</c:v>
                </c:pt>
                <c:pt idx="6">
                  <c:v>43787</c:v>
                </c:pt>
                <c:pt idx="7">
                  <c:v>43784</c:v>
                </c:pt>
                <c:pt idx="8">
                  <c:v>43783</c:v>
                </c:pt>
                <c:pt idx="9">
                  <c:v>43782</c:v>
                </c:pt>
                <c:pt idx="10">
                  <c:v>43781</c:v>
                </c:pt>
                <c:pt idx="11">
                  <c:v>43780</c:v>
                </c:pt>
                <c:pt idx="12">
                  <c:v>43777</c:v>
                </c:pt>
                <c:pt idx="13">
                  <c:v>43776</c:v>
                </c:pt>
                <c:pt idx="14">
                  <c:v>43775</c:v>
                </c:pt>
                <c:pt idx="15">
                  <c:v>43774</c:v>
                </c:pt>
                <c:pt idx="16">
                  <c:v>43770</c:v>
                </c:pt>
                <c:pt idx="17">
                  <c:v>43769</c:v>
                </c:pt>
                <c:pt idx="18">
                  <c:v>43768</c:v>
                </c:pt>
                <c:pt idx="19">
                  <c:v>43767</c:v>
                </c:pt>
                <c:pt idx="20">
                  <c:v>43766</c:v>
                </c:pt>
                <c:pt idx="21">
                  <c:v>43763</c:v>
                </c:pt>
                <c:pt idx="22">
                  <c:v>43762</c:v>
                </c:pt>
                <c:pt idx="23">
                  <c:v>43761</c:v>
                </c:pt>
                <c:pt idx="24">
                  <c:v>43759</c:v>
                </c:pt>
                <c:pt idx="25">
                  <c:v>43756</c:v>
                </c:pt>
                <c:pt idx="26">
                  <c:v>43755</c:v>
                </c:pt>
                <c:pt idx="27">
                  <c:v>43754</c:v>
                </c:pt>
                <c:pt idx="28">
                  <c:v>43753</c:v>
                </c:pt>
                <c:pt idx="29">
                  <c:v>43749</c:v>
                </c:pt>
                <c:pt idx="30">
                  <c:v>43748</c:v>
                </c:pt>
                <c:pt idx="31">
                  <c:v>43747</c:v>
                </c:pt>
                <c:pt idx="32">
                  <c:v>43746</c:v>
                </c:pt>
                <c:pt idx="33">
                  <c:v>43745</c:v>
                </c:pt>
                <c:pt idx="34">
                  <c:v>43742</c:v>
                </c:pt>
                <c:pt idx="35">
                  <c:v>43741</c:v>
                </c:pt>
                <c:pt idx="36">
                  <c:v>43740</c:v>
                </c:pt>
                <c:pt idx="37">
                  <c:v>43739</c:v>
                </c:pt>
                <c:pt idx="38">
                  <c:v>43738</c:v>
                </c:pt>
                <c:pt idx="39">
                  <c:v>43735</c:v>
                </c:pt>
                <c:pt idx="40">
                  <c:v>43734</c:v>
                </c:pt>
                <c:pt idx="41">
                  <c:v>43733</c:v>
                </c:pt>
                <c:pt idx="42">
                  <c:v>43732</c:v>
                </c:pt>
                <c:pt idx="43">
                  <c:v>43728</c:v>
                </c:pt>
                <c:pt idx="44">
                  <c:v>43727</c:v>
                </c:pt>
                <c:pt idx="45">
                  <c:v>43726</c:v>
                </c:pt>
                <c:pt idx="46">
                  <c:v>43725</c:v>
                </c:pt>
                <c:pt idx="47">
                  <c:v>43721</c:v>
                </c:pt>
                <c:pt idx="48">
                  <c:v>43720</c:v>
                </c:pt>
                <c:pt idx="49">
                  <c:v>43719</c:v>
                </c:pt>
                <c:pt idx="50">
                  <c:v>43718</c:v>
                </c:pt>
                <c:pt idx="51">
                  <c:v>43717</c:v>
                </c:pt>
                <c:pt idx="52">
                  <c:v>43714</c:v>
                </c:pt>
                <c:pt idx="53">
                  <c:v>43713</c:v>
                </c:pt>
                <c:pt idx="54">
                  <c:v>43712</c:v>
                </c:pt>
                <c:pt idx="55">
                  <c:v>43711</c:v>
                </c:pt>
                <c:pt idx="56">
                  <c:v>43710</c:v>
                </c:pt>
                <c:pt idx="57">
                  <c:v>43707</c:v>
                </c:pt>
                <c:pt idx="58">
                  <c:v>43706</c:v>
                </c:pt>
                <c:pt idx="59">
                  <c:v>43705</c:v>
                </c:pt>
                <c:pt idx="60">
                  <c:v>43704</c:v>
                </c:pt>
                <c:pt idx="61">
                  <c:v>43703</c:v>
                </c:pt>
                <c:pt idx="62">
                  <c:v>43700</c:v>
                </c:pt>
                <c:pt idx="63">
                  <c:v>43699</c:v>
                </c:pt>
                <c:pt idx="64">
                  <c:v>43698</c:v>
                </c:pt>
                <c:pt idx="65">
                  <c:v>43697</c:v>
                </c:pt>
                <c:pt idx="66">
                  <c:v>43696</c:v>
                </c:pt>
                <c:pt idx="67">
                  <c:v>43693</c:v>
                </c:pt>
                <c:pt idx="68">
                  <c:v>43692</c:v>
                </c:pt>
                <c:pt idx="69">
                  <c:v>43691</c:v>
                </c:pt>
                <c:pt idx="70">
                  <c:v>43690</c:v>
                </c:pt>
                <c:pt idx="71">
                  <c:v>43686</c:v>
                </c:pt>
                <c:pt idx="72">
                  <c:v>43685</c:v>
                </c:pt>
                <c:pt idx="73">
                  <c:v>43684</c:v>
                </c:pt>
                <c:pt idx="74">
                  <c:v>43683</c:v>
                </c:pt>
                <c:pt idx="75">
                  <c:v>43682</c:v>
                </c:pt>
                <c:pt idx="76">
                  <c:v>43679</c:v>
                </c:pt>
                <c:pt idx="77">
                  <c:v>43678</c:v>
                </c:pt>
                <c:pt idx="78">
                  <c:v>43677</c:v>
                </c:pt>
                <c:pt idx="79">
                  <c:v>43676</c:v>
                </c:pt>
                <c:pt idx="80">
                  <c:v>43675</c:v>
                </c:pt>
                <c:pt idx="81">
                  <c:v>43672</c:v>
                </c:pt>
                <c:pt idx="82">
                  <c:v>43671</c:v>
                </c:pt>
                <c:pt idx="83">
                  <c:v>43670</c:v>
                </c:pt>
                <c:pt idx="84">
                  <c:v>43669</c:v>
                </c:pt>
                <c:pt idx="85">
                  <c:v>43668</c:v>
                </c:pt>
                <c:pt idx="86">
                  <c:v>43665</c:v>
                </c:pt>
                <c:pt idx="87">
                  <c:v>43664</c:v>
                </c:pt>
                <c:pt idx="88">
                  <c:v>43663</c:v>
                </c:pt>
                <c:pt idx="89">
                  <c:v>43662</c:v>
                </c:pt>
                <c:pt idx="90">
                  <c:v>43658</c:v>
                </c:pt>
                <c:pt idx="91">
                  <c:v>43657</c:v>
                </c:pt>
                <c:pt idx="92">
                  <c:v>43656</c:v>
                </c:pt>
                <c:pt idx="93">
                  <c:v>43655</c:v>
                </c:pt>
                <c:pt idx="94">
                  <c:v>43654</c:v>
                </c:pt>
                <c:pt idx="95">
                  <c:v>43651</c:v>
                </c:pt>
                <c:pt idx="96">
                  <c:v>43650</c:v>
                </c:pt>
                <c:pt idx="97">
                  <c:v>43649</c:v>
                </c:pt>
                <c:pt idx="98">
                  <c:v>43648</c:v>
                </c:pt>
                <c:pt idx="99">
                  <c:v>43647</c:v>
                </c:pt>
                <c:pt idx="100">
                  <c:v>43644</c:v>
                </c:pt>
                <c:pt idx="101">
                  <c:v>43643</c:v>
                </c:pt>
                <c:pt idx="102">
                  <c:v>43642</c:v>
                </c:pt>
                <c:pt idx="103">
                  <c:v>43641</c:v>
                </c:pt>
                <c:pt idx="104">
                  <c:v>43640</c:v>
                </c:pt>
                <c:pt idx="105">
                  <c:v>43637</c:v>
                </c:pt>
                <c:pt idx="106">
                  <c:v>43636</c:v>
                </c:pt>
                <c:pt idx="107">
                  <c:v>43635</c:v>
                </c:pt>
                <c:pt idx="108">
                  <c:v>43634</c:v>
                </c:pt>
                <c:pt idx="109">
                  <c:v>43633</c:v>
                </c:pt>
                <c:pt idx="110">
                  <c:v>43630</c:v>
                </c:pt>
                <c:pt idx="111">
                  <c:v>43629</c:v>
                </c:pt>
                <c:pt idx="112">
                  <c:v>43628</c:v>
                </c:pt>
                <c:pt idx="113">
                  <c:v>43627</c:v>
                </c:pt>
                <c:pt idx="114">
                  <c:v>43626</c:v>
                </c:pt>
                <c:pt idx="115">
                  <c:v>43623</c:v>
                </c:pt>
                <c:pt idx="116">
                  <c:v>43622</c:v>
                </c:pt>
                <c:pt idx="117">
                  <c:v>43621</c:v>
                </c:pt>
                <c:pt idx="118">
                  <c:v>43620</c:v>
                </c:pt>
                <c:pt idx="119">
                  <c:v>43619</c:v>
                </c:pt>
                <c:pt idx="120">
                  <c:v>43616</c:v>
                </c:pt>
                <c:pt idx="121">
                  <c:v>43615</c:v>
                </c:pt>
                <c:pt idx="122">
                  <c:v>43614</c:v>
                </c:pt>
                <c:pt idx="123">
                  <c:v>43613</c:v>
                </c:pt>
                <c:pt idx="124">
                  <c:v>43612</c:v>
                </c:pt>
                <c:pt idx="125">
                  <c:v>43609</c:v>
                </c:pt>
                <c:pt idx="126">
                  <c:v>43608</c:v>
                </c:pt>
                <c:pt idx="127">
                  <c:v>43607</c:v>
                </c:pt>
                <c:pt idx="128">
                  <c:v>43606</c:v>
                </c:pt>
                <c:pt idx="129">
                  <c:v>43605</c:v>
                </c:pt>
                <c:pt idx="130">
                  <c:v>43602</c:v>
                </c:pt>
                <c:pt idx="131">
                  <c:v>43601</c:v>
                </c:pt>
                <c:pt idx="132">
                  <c:v>43600</c:v>
                </c:pt>
                <c:pt idx="133">
                  <c:v>43599</c:v>
                </c:pt>
                <c:pt idx="134">
                  <c:v>43598</c:v>
                </c:pt>
                <c:pt idx="135">
                  <c:v>43595</c:v>
                </c:pt>
                <c:pt idx="136">
                  <c:v>43594</c:v>
                </c:pt>
                <c:pt idx="137">
                  <c:v>43593</c:v>
                </c:pt>
                <c:pt idx="138">
                  <c:v>43592</c:v>
                </c:pt>
                <c:pt idx="139">
                  <c:v>43581</c:v>
                </c:pt>
                <c:pt idx="140">
                  <c:v>43580</c:v>
                </c:pt>
                <c:pt idx="141">
                  <c:v>43579</c:v>
                </c:pt>
                <c:pt idx="142">
                  <c:v>43578</c:v>
                </c:pt>
                <c:pt idx="143">
                  <c:v>43577</c:v>
                </c:pt>
                <c:pt idx="144">
                  <c:v>43574</c:v>
                </c:pt>
                <c:pt idx="145">
                  <c:v>43573</c:v>
                </c:pt>
                <c:pt idx="146">
                  <c:v>43572</c:v>
                </c:pt>
                <c:pt idx="147">
                  <c:v>43571</c:v>
                </c:pt>
                <c:pt idx="148">
                  <c:v>43570</c:v>
                </c:pt>
                <c:pt idx="149">
                  <c:v>43567</c:v>
                </c:pt>
                <c:pt idx="150">
                  <c:v>43566</c:v>
                </c:pt>
                <c:pt idx="151">
                  <c:v>43565</c:v>
                </c:pt>
                <c:pt idx="152">
                  <c:v>43564</c:v>
                </c:pt>
                <c:pt idx="153">
                  <c:v>43563</c:v>
                </c:pt>
                <c:pt idx="154">
                  <c:v>43560</c:v>
                </c:pt>
                <c:pt idx="155">
                  <c:v>43559</c:v>
                </c:pt>
                <c:pt idx="156">
                  <c:v>43558</c:v>
                </c:pt>
                <c:pt idx="157">
                  <c:v>43557</c:v>
                </c:pt>
                <c:pt idx="158">
                  <c:v>43556</c:v>
                </c:pt>
                <c:pt idx="159">
                  <c:v>43553</c:v>
                </c:pt>
                <c:pt idx="160">
                  <c:v>43552</c:v>
                </c:pt>
                <c:pt idx="161">
                  <c:v>43551</c:v>
                </c:pt>
                <c:pt idx="162">
                  <c:v>43550</c:v>
                </c:pt>
                <c:pt idx="163">
                  <c:v>43549</c:v>
                </c:pt>
                <c:pt idx="164">
                  <c:v>43546</c:v>
                </c:pt>
                <c:pt idx="165">
                  <c:v>43544</c:v>
                </c:pt>
                <c:pt idx="166">
                  <c:v>43543</c:v>
                </c:pt>
                <c:pt idx="167">
                  <c:v>43542</c:v>
                </c:pt>
                <c:pt idx="168">
                  <c:v>43539</c:v>
                </c:pt>
                <c:pt idx="169">
                  <c:v>43538</c:v>
                </c:pt>
                <c:pt idx="170">
                  <c:v>43537</c:v>
                </c:pt>
                <c:pt idx="171">
                  <c:v>43536</c:v>
                </c:pt>
                <c:pt idx="172">
                  <c:v>43535</c:v>
                </c:pt>
                <c:pt idx="173">
                  <c:v>43532</c:v>
                </c:pt>
                <c:pt idx="174">
                  <c:v>43531</c:v>
                </c:pt>
                <c:pt idx="175">
                  <c:v>43530</c:v>
                </c:pt>
                <c:pt idx="176">
                  <c:v>43529</c:v>
                </c:pt>
                <c:pt idx="177">
                  <c:v>43528</c:v>
                </c:pt>
                <c:pt idx="178">
                  <c:v>43525</c:v>
                </c:pt>
                <c:pt idx="179">
                  <c:v>43524</c:v>
                </c:pt>
                <c:pt idx="180">
                  <c:v>43523</c:v>
                </c:pt>
                <c:pt idx="181">
                  <c:v>43522</c:v>
                </c:pt>
                <c:pt idx="182">
                  <c:v>43521</c:v>
                </c:pt>
                <c:pt idx="183">
                  <c:v>43518</c:v>
                </c:pt>
                <c:pt idx="184">
                  <c:v>43517</c:v>
                </c:pt>
                <c:pt idx="185">
                  <c:v>43516</c:v>
                </c:pt>
                <c:pt idx="186">
                  <c:v>43515</c:v>
                </c:pt>
                <c:pt idx="187">
                  <c:v>43514</c:v>
                </c:pt>
                <c:pt idx="188">
                  <c:v>43511</c:v>
                </c:pt>
                <c:pt idx="189">
                  <c:v>43510</c:v>
                </c:pt>
                <c:pt idx="190">
                  <c:v>43509</c:v>
                </c:pt>
                <c:pt idx="191">
                  <c:v>43508</c:v>
                </c:pt>
                <c:pt idx="192">
                  <c:v>43504</c:v>
                </c:pt>
                <c:pt idx="193">
                  <c:v>43503</c:v>
                </c:pt>
                <c:pt idx="194">
                  <c:v>43502</c:v>
                </c:pt>
                <c:pt idx="195">
                  <c:v>43501</c:v>
                </c:pt>
                <c:pt idx="196">
                  <c:v>43500</c:v>
                </c:pt>
                <c:pt idx="197">
                  <c:v>43497</c:v>
                </c:pt>
                <c:pt idx="198">
                  <c:v>43496</c:v>
                </c:pt>
                <c:pt idx="199">
                  <c:v>43495</c:v>
                </c:pt>
                <c:pt idx="200">
                  <c:v>43494</c:v>
                </c:pt>
                <c:pt idx="201">
                  <c:v>43493</c:v>
                </c:pt>
                <c:pt idx="202">
                  <c:v>43490</c:v>
                </c:pt>
                <c:pt idx="203">
                  <c:v>43489</c:v>
                </c:pt>
                <c:pt idx="204">
                  <c:v>43488</c:v>
                </c:pt>
                <c:pt idx="205">
                  <c:v>43487</c:v>
                </c:pt>
                <c:pt idx="206">
                  <c:v>43486</c:v>
                </c:pt>
                <c:pt idx="207">
                  <c:v>43483</c:v>
                </c:pt>
                <c:pt idx="208">
                  <c:v>43482</c:v>
                </c:pt>
                <c:pt idx="209">
                  <c:v>43481</c:v>
                </c:pt>
                <c:pt idx="210">
                  <c:v>43480</c:v>
                </c:pt>
                <c:pt idx="211">
                  <c:v>43476</c:v>
                </c:pt>
                <c:pt idx="212">
                  <c:v>43475</c:v>
                </c:pt>
                <c:pt idx="213">
                  <c:v>43474</c:v>
                </c:pt>
                <c:pt idx="214">
                  <c:v>43473</c:v>
                </c:pt>
                <c:pt idx="215">
                  <c:v>43472</c:v>
                </c:pt>
                <c:pt idx="216">
                  <c:v>43469</c:v>
                </c:pt>
                <c:pt idx="217">
                  <c:v>43462</c:v>
                </c:pt>
                <c:pt idx="218">
                  <c:v>43461</c:v>
                </c:pt>
                <c:pt idx="219">
                  <c:v>43460</c:v>
                </c:pt>
                <c:pt idx="220">
                  <c:v>43459</c:v>
                </c:pt>
                <c:pt idx="221">
                  <c:v>43455</c:v>
                </c:pt>
                <c:pt idx="222">
                  <c:v>43454</c:v>
                </c:pt>
                <c:pt idx="223">
                  <c:v>43453</c:v>
                </c:pt>
                <c:pt idx="224">
                  <c:v>43452</c:v>
                </c:pt>
                <c:pt idx="225">
                  <c:v>43451</c:v>
                </c:pt>
                <c:pt idx="226">
                  <c:v>43448</c:v>
                </c:pt>
                <c:pt idx="227">
                  <c:v>43447</c:v>
                </c:pt>
                <c:pt idx="228">
                  <c:v>43446</c:v>
                </c:pt>
                <c:pt idx="229">
                  <c:v>43445</c:v>
                </c:pt>
                <c:pt idx="230">
                  <c:v>43444</c:v>
                </c:pt>
                <c:pt idx="231">
                  <c:v>43441</c:v>
                </c:pt>
                <c:pt idx="232">
                  <c:v>43440</c:v>
                </c:pt>
                <c:pt idx="233">
                  <c:v>43439</c:v>
                </c:pt>
                <c:pt idx="234">
                  <c:v>43438</c:v>
                </c:pt>
                <c:pt idx="235">
                  <c:v>43437</c:v>
                </c:pt>
                <c:pt idx="236">
                  <c:v>43434</c:v>
                </c:pt>
                <c:pt idx="237">
                  <c:v>43433</c:v>
                </c:pt>
                <c:pt idx="238">
                  <c:v>43432</c:v>
                </c:pt>
                <c:pt idx="239">
                  <c:v>43431</c:v>
                </c:pt>
                <c:pt idx="240">
                  <c:v>43430</c:v>
                </c:pt>
                <c:pt idx="241">
                  <c:v>43426</c:v>
                </c:pt>
                <c:pt idx="242">
                  <c:v>43425</c:v>
                </c:pt>
                <c:pt idx="243">
                  <c:v>43424</c:v>
                </c:pt>
                <c:pt idx="244">
                  <c:v>43423</c:v>
                </c:pt>
                <c:pt idx="245">
                  <c:v>43420</c:v>
                </c:pt>
                <c:pt idx="246">
                  <c:v>43419</c:v>
                </c:pt>
                <c:pt idx="247">
                  <c:v>43418</c:v>
                </c:pt>
                <c:pt idx="248">
                  <c:v>43417</c:v>
                </c:pt>
                <c:pt idx="249">
                  <c:v>43416</c:v>
                </c:pt>
                <c:pt idx="250">
                  <c:v>43413</c:v>
                </c:pt>
                <c:pt idx="251">
                  <c:v>43412</c:v>
                </c:pt>
                <c:pt idx="252">
                  <c:v>43411</c:v>
                </c:pt>
                <c:pt idx="253">
                  <c:v>43410</c:v>
                </c:pt>
                <c:pt idx="254">
                  <c:v>43409</c:v>
                </c:pt>
                <c:pt idx="255">
                  <c:v>43406</c:v>
                </c:pt>
                <c:pt idx="256">
                  <c:v>43405</c:v>
                </c:pt>
                <c:pt idx="257">
                  <c:v>43404</c:v>
                </c:pt>
                <c:pt idx="258">
                  <c:v>43403</c:v>
                </c:pt>
                <c:pt idx="259">
                  <c:v>43402</c:v>
                </c:pt>
                <c:pt idx="260">
                  <c:v>43399</c:v>
                </c:pt>
                <c:pt idx="261">
                  <c:v>43398</c:v>
                </c:pt>
                <c:pt idx="262">
                  <c:v>43397</c:v>
                </c:pt>
                <c:pt idx="263">
                  <c:v>43396</c:v>
                </c:pt>
                <c:pt idx="264">
                  <c:v>43395</c:v>
                </c:pt>
                <c:pt idx="265">
                  <c:v>43392</c:v>
                </c:pt>
                <c:pt idx="266">
                  <c:v>43391</c:v>
                </c:pt>
                <c:pt idx="267">
                  <c:v>43390</c:v>
                </c:pt>
                <c:pt idx="268">
                  <c:v>43389</c:v>
                </c:pt>
                <c:pt idx="269">
                  <c:v>43388</c:v>
                </c:pt>
                <c:pt idx="270">
                  <c:v>43385</c:v>
                </c:pt>
                <c:pt idx="271">
                  <c:v>43384</c:v>
                </c:pt>
                <c:pt idx="272">
                  <c:v>43383</c:v>
                </c:pt>
                <c:pt idx="273">
                  <c:v>43382</c:v>
                </c:pt>
                <c:pt idx="274">
                  <c:v>43378</c:v>
                </c:pt>
                <c:pt idx="275">
                  <c:v>43377</c:v>
                </c:pt>
                <c:pt idx="276">
                  <c:v>43376</c:v>
                </c:pt>
                <c:pt idx="277">
                  <c:v>43375</c:v>
                </c:pt>
                <c:pt idx="278">
                  <c:v>43374</c:v>
                </c:pt>
                <c:pt idx="279">
                  <c:v>43371</c:v>
                </c:pt>
                <c:pt idx="280">
                  <c:v>43370</c:v>
                </c:pt>
                <c:pt idx="281">
                  <c:v>43369</c:v>
                </c:pt>
                <c:pt idx="282">
                  <c:v>43368</c:v>
                </c:pt>
                <c:pt idx="283">
                  <c:v>43364</c:v>
                </c:pt>
                <c:pt idx="284">
                  <c:v>43363</c:v>
                </c:pt>
                <c:pt idx="285">
                  <c:v>43362</c:v>
                </c:pt>
                <c:pt idx="286">
                  <c:v>43361</c:v>
                </c:pt>
                <c:pt idx="287">
                  <c:v>43357</c:v>
                </c:pt>
                <c:pt idx="288">
                  <c:v>43356</c:v>
                </c:pt>
                <c:pt idx="289">
                  <c:v>43355</c:v>
                </c:pt>
                <c:pt idx="290">
                  <c:v>43354</c:v>
                </c:pt>
                <c:pt idx="291">
                  <c:v>43353</c:v>
                </c:pt>
                <c:pt idx="292">
                  <c:v>43350</c:v>
                </c:pt>
                <c:pt idx="293">
                  <c:v>43349</c:v>
                </c:pt>
                <c:pt idx="294">
                  <c:v>43348</c:v>
                </c:pt>
                <c:pt idx="295">
                  <c:v>43347</c:v>
                </c:pt>
                <c:pt idx="296">
                  <c:v>43346</c:v>
                </c:pt>
                <c:pt idx="297">
                  <c:v>43343</c:v>
                </c:pt>
                <c:pt idx="298">
                  <c:v>43342</c:v>
                </c:pt>
                <c:pt idx="299">
                  <c:v>43341</c:v>
                </c:pt>
                <c:pt idx="300">
                  <c:v>43340</c:v>
                </c:pt>
                <c:pt idx="301">
                  <c:v>43339</c:v>
                </c:pt>
                <c:pt idx="302">
                  <c:v>43336</c:v>
                </c:pt>
                <c:pt idx="303">
                  <c:v>43335</c:v>
                </c:pt>
                <c:pt idx="304">
                  <c:v>43334</c:v>
                </c:pt>
                <c:pt idx="305">
                  <c:v>43333</c:v>
                </c:pt>
                <c:pt idx="306">
                  <c:v>43332</c:v>
                </c:pt>
                <c:pt idx="307">
                  <c:v>43329</c:v>
                </c:pt>
                <c:pt idx="308">
                  <c:v>43328</c:v>
                </c:pt>
                <c:pt idx="309">
                  <c:v>43327</c:v>
                </c:pt>
                <c:pt idx="310">
                  <c:v>43326</c:v>
                </c:pt>
                <c:pt idx="311">
                  <c:v>43325</c:v>
                </c:pt>
                <c:pt idx="312">
                  <c:v>43322</c:v>
                </c:pt>
                <c:pt idx="313">
                  <c:v>43321</c:v>
                </c:pt>
                <c:pt idx="314">
                  <c:v>43320</c:v>
                </c:pt>
                <c:pt idx="315">
                  <c:v>43319</c:v>
                </c:pt>
                <c:pt idx="316">
                  <c:v>43318</c:v>
                </c:pt>
                <c:pt idx="317">
                  <c:v>43315</c:v>
                </c:pt>
                <c:pt idx="318">
                  <c:v>43314</c:v>
                </c:pt>
                <c:pt idx="319">
                  <c:v>43313</c:v>
                </c:pt>
                <c:pt idx="320">
                  <c:v>43312</c:v>
                </c:pt>
                <c:pt idx="321">
                  <c:v>43311</c:v>
                </c:pt>
                <c:pt idx="322">
                  <c:v>43308</c:v>
                </c:pt>
                <c:pt idx="323">
                  <c:v>43307</c:v>
                </c:pt>
                <c:pt idx="324">
                  <c:v>43306</c:v>
                </c:pt>
                <c:pt idx="325">
                  <c:v>43305</c:v>
                </c:pt>
                <c:pt idx="326">
                  <c:v>43304</c:v>
                </c:pt>
                <c:pt idx="327">
                  <c:v>43301</c:v>
                </c:pt>
                <c:pt idx="328">
                  <c:v>43300</c:v>
                </c:pt>
                <c:pt idx="329">
                  <c:v>43299</c:v>
                </c:pt>
                <c:pt idx="330">
                  <c:v>43298</c:v>
                </c:pt>
                <c:pt idx="331">
                  <c:v>43294</c:v>
                </c:pt>
                <c:pt idx="332">
                  <c:v>43293</c:v>
                </c:pt>
                <c:pt idx="333">
                  <c:v>43292</c:v>
                </c:pt>
                <c:pt idx="334">
                  <c:v>43291</c:v>
                </c:pt>
                <c:pt idx="335">
                  <c:v>43290</c:v>
                </c:pt>
                <c:pt idx="336">
                  <c:v>43287</c:v>
                </c:pt>
                <c:pt idx="337">
                  <c:v>43286</c:v>
                </c:pt>
                <c:pt idx="338">
                  <c:v>43285</c:v>
                </c:pt>
                <c:pt idx="339">
                  <c:v>43284</c:v>
                </c:pt>
                <c:pt idx="340">
                  <c:v>43283</c:v>
                </c:pt>
                <c:pt idx="341">
                  <c:v>43280</c:v>
                </c:pt>
                <c:pt idx="342">
                  <c:v>43279</c:v>
                </c:pt>
                <c:pt idx="343">
                  <c:v>43278</c:v>
                </c:pt>
                <c:pt idx="344">
                  <c:v>43277</c:v>
                </c:pt>
                <c:pt idx="345">
                  <c:v>43276</c:v>
                </c:pt>
                <c:pt idx="346">
                  <c:v>43273</c:v>
                </c:pt>
                <c:pt idx="347">
                  <c:v>43272</c:v>
                </c:pt>
                <c:pt idx="348">
                  <c:v>43271</c:v>
                </c:pt>
                <c:pt idx="349">
                  <c:v>43270</c:v>
                </c:pt>
                <c:pt idx="350">
                  <c:v>43269</c:v>
                </c:pt>
                <c:pt idx="351">
                  <c:v>43266</c:v>
                </c:pt>
                <c:pt idx="352">
                  <c:v>43265</c:v>
                </c:pt>
                <c:pt idx="353">
                  <c:v>43264</c:v>
                </c:pt>
                <c:pt idx="354">
                  <c:v>43263</c:v>
                </c:pt>
                <c:pt idx="355">
                  <c:v>43262</c:v>
                </c:pt>
                <c:pt idx="356">
                  <c:v>43259</c:v>
                </c:pt>
                <c:pt idx="357">
                  <c:v>43258</c:v>
                </c:pt>
                <c:pt idx="358">
                  <c:v>43257</c:v>
                </c:pt>
                <c:pt idx="359">
                  <c:v>43256</c:v>
                </c:pt>
                <c:pt idx="360">
                  <c:v>43255</c:v>
                </c:pt>
                <c:pt idx="361">
                  <c:v>43252</c:v>
                </c:pt>
                <c:pt idx="362">
                  <c:v>43251</c:v>
                </c:pt>
                <c:pt idx="363">
                  <c:v>43250</c:v>
                </c:pt>
                <c:pt idx="364">
                  <c:v>43249</c:v>
                </c:pt>
                <c:pt idx="365">
                  <c:v>43248</c:v>
                </c:pt>
                <c:pt idx="366">
                  <c:v>43245</c:v>
                </c:pt>
                <c:pt idx="367">
                  <c:v>43244</c:v>
                </c:pt>
                <c:pt idx="368">
                  <c:v>43243</c:v>
                </c:pt>
                <c:pt idx="369">
                  <c:v>43242</c:v>
                </c:pt>
                <c:pt idx="370">
                  <c:v>43241</c:v>
                </c:pt>
                <c:pt idx="371">
                  <c:v>43238</c:v>
                </c:pt>
                <c:pt idx="372">
                  <c:v>43237</c:v>
                </c:pt>
                <c:pt idx="373">
                  <c:v>43236</c:v>
                </c:pt>
                <c:pt idx="374">
                  <c:v>43235</c:v>
                </c:pt>
                <c:pt idx="375">
                  <c:v>43234</c:v>
                </c:pt>
                <c:pt idx="376">
                  <c:v>43231</c:v>
                </c:pt>
                <c:pt idx="377">
                  <c:v>43230</c:v>
                </c:pt>
                <c:pt idx="378">
                  <c:v>43229</c:v>
                </c:pt>
                <c:pt idx="379">
                  <c:v>43228</c:v>
                </c:pt>
                <c:pt idx="380">
                  <c:v>43227</c:v>
                </c:pt>
                <c:pt idx="381">
                  <c:v>43222</c:v>
                </c:pt>
                <c:pt idx="382">
                  <c:v>43221</c:v>
                </c:pt>
                <c:pt idx="383">
                  <c:v>43217</c:v>
                </c:pt>
                <c:pt idx="384">
                  <c:v>43216</c:v>
                </c:pt>
                <c:pt idx="385">
                  <c:v>43215</c:v>
                </c:pt>
                <c:pt idx="386">
                  <c:v>43214</c:v>
                </c:pt>
                <c:pt idx="387">
                  <c:v>43213</c:v>
                </c:pt>
                <c:pt idx="388">
                  <c:v>43210</c:v>
                </c:pt>
                <c:pt idx="389">
                  <c:v>43209</c:v>
                </c:pt>
                <c:pt idx="390">
                  <c:v>43208</c:v>
                </c:pt>
                <c:pt idx="391">
                  <c:v>43207</c:v>
                </c:pt>
                <c:pt idx="392">
                  <c:v>43206</c:v>
                </c:pt>
                <c:pt idx="393">
                  <c:v>43203</c:v>
                </c:pt>
                <c:pt idx="394">
                  <c:v>43202</c:v>
                </c:pt>
                <c:pt idx="395">
                  <c:v>43201</c:v>
                </c:pt>
                <c:pt idx="396">
                  <c:v>43200</c:v>
                </c:pt>
                <c:pt idx="397">
                  <c:v>43199</c:v>
                </c:pt>
                <c:pt idx="398">
                  <c:v>43196</c:v>
                </c:pt>
                <c:pt idx="399">
                  <c:v>43195</c:v>
                </c:pt>
                <c:pt idx="400">
                  <c:v>43194</c:v>
                </c:pt>
                <c:pt idx="401">
                  <c:v>43193</c:v>
                </c:pt>
                <c:pt idx="402">
                  <c:v>43192</c:v>
                </c:pt>
                <c:pt idx="403">
                  <c:v>43189</c:v>
                </c:pt>
                <c:pt idx="404">
                  <c:v>43188</c:v>
                </c:pt>
                <c:pt idx="405">
                  <c:v>43187</c:v>
                </c:pt>
                <c:pt idx="406">
                  <c:v>43186</c:v>
                </c:pt>
                <c:pt idx="407">
                  <c:v>43185</c:v>
                </c:pt>
                <c:pt idx="408">
                  <c:v>43182</c:v>
                </c:pt>
                <c:pt idx="409">
                  <c:v>43181</c:v>
                </c:pt>
                <c:pt idx="410">
                  <c:v>43179</c:v>
                </c:pt>
                <c:pt idx="411">
                  <c:v>43178</c:v>
                </c:pt>
                <c:pt idx="412">
                  <c:v>43175</c:v>
                </c:pt>
                <c:pt idx="413">
                  <c:v>43174</c:v>
                </c:pt>
                <c:pt idx="414">
                  <c:v>43173</c:v>
                </c:pt>
                <c:pt idx="415">
                  <c:v>43172</c:v>
                </c:pt>
                <c:pt idx="416">
                  <c:v>43171</c:v>
                </c:pt>
                <c:pt idx="417">
                  <c:v>43168</c:v>
                </c:pt>
                <c:pt idx="418">
                  <c:v>43167</c:v>
                </c:pt>
                <c:pt idx="419">
                  <c:v>43166</c:v>
                </c:pt>
                <c:pt idx="420">
                  <c:v>43165</c:v>
                </c:pt>
                <c:pt idx="421">
                  <c:v>43164</c:v>
                </c:pt>
                <c:pt idx="422">
                  <c:v>43161</c:v>
                </c:pt>
                <c:pt idx="423">
                  <c:v>43160</c:v>
                </c:pt>
                <c:pt idx="424">
                  <c:v>43159</c:v>
                </c:pt>
                <c:pt idx="425">
                  <c:v>43158</c:v>
                </c:pt>
                <c:pt idx="426">
                  <c:v>43157</c:v>
                </c:pt>
                <c:pt idx="427">
                  <c:v>43154</c:v>
                </c:pt>
                <c:pt idx="428">
                  <c:v>43153</c:v>
                </c:pt>
                <c:pt idx="429">
                  <c:v>43152</c:v>
                </c:pt>
                <c:pt idx="430">
                  <c:v>43151</c:v>
                </c:pt>
                <c:pt idx="431">
                  <c:v>43150</c:v>
                </c:pt>
                <c:pt idx="432">
                  <c:v>43147</c:v>
                </c:pt>
                <c:pt idx="433">
                  <c:v>43146</c:v>
                </c:pt>
                <c:pt idx="434">
                  <c:v>43145</c:v>
                </c:pt>
                <c:pt idx="435">
                  <c:v>43144</c:v>
                </c:pt>
                <c:pt idx="436">
                  <c:v>43140</c:v>
                </c:pt>
                <c:pt idx="437">
                  <c:v>43139</c:v>
                </c:pt>
                <c:pt idx="438">
                  <c:v>43138</c:v>
                </c:pt>
                <c:pt idx="439">
                  <c:v>43137</c:v>
                </c:pt>
                <c:pt idx="440">
                  <c:v>43136</c:v>
                </c:pt>
                <c:pt idx="441">
                  <c:v>43133</c:v>
                </c:pt>
                <c:pt idx="442">
                  <c:v>43132</c:v>
                </c:pt>
                <c:pt idx="443">
                  <c:v>43131</c:v>
                </c:pt>
                <c:pt idx="444">
                  <c:v>43130</c:v>
                </c:pt>
                <c:pt idx="445">
                  <c:v>43129</c:v>
                </c:pt>
                <c:pt idx="446">
                  <c:v>43126</c:v>
                </c:pt>
                <c:pt idx="447">
                  <c:v>43125</c:v>
                </c:pt>
                <c:pt idx="448">
                  <c:v>43124</c:v>
                </c:pt>
                <c:pt idx="449">
                  <c:v>43123</c:v>
                </c:pt>
                <c:pt idx="450">
                  <c:v>43122</c:v>
                </c:pt>
                <c:pt idx="451">
                  <c:v>43119</c:v>
                </c:pt>
                <c:pt idx="452">
                  <c:v>43118</c:v>
                </c:pt>
                <c:pt idx="453">
                  <c:v>43117</c:v>
                </c:pt>
                <c:pt idx="454">
                  <c:v>43116</c:v>
                </c:pt>
                <c:pt idx="455">
                  <c:v>43115</c:v>
                </c:pt>
                <c:pt idx="456">
                  <c:v>43112</c:v>
                </c:pt>
                <c:pt idx="457">
                  <c:v>43111</c:v>
                </c:pt>
                <c:pt idx="458">
                  <c:v>43110</c:v>
                </c:pt>
                <c:pt idx="459">
                  <c:v>43109</c:v>
                </c:pt>
                <c:pt idx="460">
                  <c:v>43105</c:v>
                </c:pt>
                <c:pt idx="461">
                  <c:v>43104</c:v>
                </c:pt>
                <c:pt idx="462">
                  <c:v>43098</c:v>
                </c:pt>
                <c:pt idx="463">
                  <c:v>43097</c:v>
                </c:pt>
                <c:pt idx="464">
                  <c:v>43096</c:v>
                </c:pt>
                <c:pt idx="465">
                  <c:v>43095</c:v>
                </c:pt>
                <c:pt idx="466">
                  <c:v>43094</c:v>
                </c:pt>
                <c:pt idx="467">
                  <c:v>43091</c:v>
                </c:pt>
                <c:pt idx="468">
                  <c:v>43090</c:v>
                </c:pt>
                <c:pt idx="469">
                  <c:v>43089</c:v>
                </c:pt>
                <c:pt idx="470">
                  <c:v>43088</c:v>
                </c:pt>
                <c:pt idx="471">
                  <c:v>43087</c:v>
                </c:pt>
                <c:pt idx="472">
                  <c:v>43084</c:v>
                </c:pt>
                <c:pt idx="473">
                  <c:v>43083</c:v>
                </c:pt>
                <c:pt idx="474">
                  <c:v>43082</c:v>
                </c:pt>
                <c:pt idx="475">
                  <c:v>43081</c:v>
                </c:pt>
                <c:pt idx="476">
                  <c:v>43080</c:v>
                </c:pt>
                <c:pt idx="477">
                  <c:v>43077</c:v>
                </c:pt>
                <c:pt idx="478">
                  <c:v>43076</c:v>
                </c:pt>
                <c:pt idx="479">
                  <c:v>43075</c:v>
                </c:pt>
                <c:pt idx="480">
                  <c:v>43074</c:v>
                </c:pt>
                <c:pt idx="481">
                  <c:v>43073</c:v>
                </c:pt>
                <c:pt idx="482">
                  <c:v>43070</c:v>
                </c:pt>
                <c:pt idx="483">
                  <c:v>43069</c:v>
                </c:pt>
                <c:pt idx="484">
                  <c:v>43068</c:v>
                </c:pt>
                <c:pt idx="485">
                  <c:v>43067</c:v>
                </c:pt>
                <c:pt idx="486">
                  <c:v>43066</c:v>
                </c:pt>
                <c:pt idx="487">
                  <c:v>43063</c:v>
                </c:pt>
                <c:pt idx="488">
                  <c:v>43061</c:v>
                </c:pt>
                <c:pt idx="489">
                  <c:v>43060</c:v>
                </c:pt>
                <c:pt idx="490">
                  <c:v>43059</c:v>
                </c:pt>
                <c:pt idx="491">
                  <c:v>43056</c:v>
                </c:pt>
                <c:pt idx="492">
                  <c:v>43055</c:v>
                </c:pt>
                <c:pt idx="493">
                  <c:v>43054</c:v>
                </c:pt>
                <c:pt idx="494">
                  <c:v>43053</c:v>
                </c:pt>
                <c:pt idx="495">
                  <c:v>43052</c:v>
                </c:pt>
                <c:pt idx="496">
                  <c:v>43049</c:v>
                </c:pt>
                <c:pt idx="497">
                  <c:v>43048</c:v>
                </c:pt>
                <c:pt idx="498">
                  <c:v>43047</c:v>
                </c:pt>
                <c:pt idx="499">
                  <c:v>43046</c:v>
                </c:pt>
                <c:pt idx="500">
                  <c:v>43045</c:v>
                </c:pt>
                <c:pt idx="501">
                  <c:v>43041</c:v>
                </c:pt>
                <c:pt idx="502">
                  <c:v>43040</c:v>
                </c:pt>
                <c:pt idx="503">
                  <c:v>43039</c:v>
                </c:pt>
                <c:pt idx="504">
                  <c:v>43038</c:v>
                </c:pt>
                <c:pt idx="505">
                  <c:v>43035</c:v>
                </c:pt>
                <c:pt idx="506">
                  <c:v>43034</c:v>
                </c:pt>
                <c:pt idx="507">
                  <c:v>43033</c:v>
                </c:pt>
                <c:pt idx="508">
                  <c:v>43032</c:v>
                </c:pt>
                <c:pt idx="509">
                  <c:v>43031</c:v>
                </c:pt>
                <c:pt idx="510">
                  <c:v>43028</c:v>
                </c:pt>
                <c:pt idx="511">
                  <c:v>43027</c:v>
                </c:pt>
                <c:pt idx="512">
                  <c:v>43026</c:v>
                </c:pt>
                <c:pt idx="513">
                  <c:v>43025</c:v>
                </c:pt>
                <c:pt idx="514">
                  <c:v>43024</c:v>
                </c:pt>
                <c:pt idx="515">
                  <c:v>43021</c:v>
                </c:pt>
                <c:pt idx="516">
                  <c:v>43020</c:v>
                </c:pt>
                <c:pt idx="517">
                  <c:v>43019</c:v>
                </c:pt>
                <c:pt idx="518">
                  <c:v>43018</c:v>
                </c:pt>
                <c:pt idx="519">
                  <c:v>43014</c:v>
                </c:pt>
                <c:pt idx="520">
                  <c:v>43013</c:v>
                </c:pt>
                <c:pt idx="521">
                  <c:v>43012</c:v>
                </c:pt>
                <c:pt idx="522">
                  <c:v>43011</c:v>
                </c:pt>
                <c:pt idx="523">
                  <c:v>43010</c:v>
                </c:pt>
                <c:pt idx="524">
                  <c:v>43007</c:v>
                </c:pt>
                <c:pt idx="525">
                  <c:v>43006</c:v>
                </c:pt>
                <c:pt idx="526">
                  <c:v>43005</c:v>
                </c:pt>
                <c:pt idx="527">
                  <c:v>43004</c:v>
                </c:pt>
                <c:pt idx="528">
                  <c:v>43003</c:v>
                </c:pt>
                <c:pt idx="529">
                  <c:v>43000</c:v>
                </c:pt>
                <c:pt idx="530">
                  <c:v>42999</c:v>
                </c:pt>
                <c:pt idx="531">
                  <c:v>42998</c:v>
                </c:pt>
                <c:pt idx="532">
                  <c:v>42997</c:v>
                </c:pt>
                <c:pt idx="533">
                  <c:v>42993</c:v>
                </c:pt>
                <c:pt idx="534">
                  <c:v>42992</c:v>
                </c:pt>
                <c:pt idx="535">
                  <c:v>42991</c:v>
                </c:pt>
                <c:pt idx="536">
                  <c:v>42990</c:v>
                </c:pt>
                <c:pt idx="537">
                  <c:v>42989</c:v>
                </c:pt>
                <c:pt idx="538">
                  <c:v>42986</c:v>
                </c:pt>
                <c:pt idx="539">
                  <c:v>42985</c:v>
                </c:pt>
                <c:pt idx="540">
                  <c:v>42984</c:v>
                </c:pt>
                <c:pt idx="541">
                  <c:v>42983</c:v>
                </c:pt>
                <c:pt idx="542">
                  <c:v>42982</c:v>
                </c:pt>
                <c:pt idx="543">
                  <c:v>42979</c:v>
                </c:pt>
                <c:pt idx="544">
                  <c:v>42978</c:v>
                </c:pt>
                <c:pt idx="545">
                  <c:v>42977</c:v>
                </c:pt>
                <c:pt idx="546">
                  <c:v>42976</c:v>
                </c:pt>
                <c:pt idx="547">
                  <c:v>42975</c:v>
                </c:pt>
                <c:pt idx="548">
                  <c:v>42972</c:v>
                </c:pt>
                <c:pt idx="549">
                  <c:v>42971</c:v>
                </c:pt>
                <c:pt idx="550">
                  <c:v>42970</c:v>
                </c:pt>
                <c:pt idx="551">
                  <c:v>42969</c:v>
                </c:pt>
                <c:pt idx="552">
                  <c:v>42968</c:v>
                </c:pt>
                <c:pt idx="553">
                  <c:v>42965</c:v>
                </c:pt>
                <c:pt idx="554">
                  <c:v>42964</c:v>
                </c:pt>
                <c:pt idx="555">
                  <c:v>42963</c:v>
                </c:pt>
                <c:pt idx="556">
                  <c:v>42962</c:v>
                </c:pt>
                <c:pt idx="557">
                  <c:v>42961</c:v>
                </c:pt>
                <c:pt idx="558">
                  <c:v>42957</c:v>
                </c:pt>
                <c:pt idx="559">
                  <c:v>42956</c:v>
                </c:pt>
                <c:pt idx="560">
                  <c:v>42955</c:v>
                </c:pt>
                <c:pt idx="561">
                  <c:v>42954</c:v>
                </c:pt>
                <c:pt idx="562">
                  <c:v>42951</c:v>
                </c:pt>
                <c:pt idx="563">
                  <c:v>42950</c:v>
                </c:pt>
                <c:pt idx="564">
                  <c:v>42949</c:v>
                </c:pt>
                <c:pt idx="565">
                  <c:v>42948</c:v>
                </c:pt>
                <c:pt idx="566">
                  <c:v>42947</c:v>
                </c:pt>
                <c:pt idx="567">
                  <c:v>42944</c:v>
                </c:pt>
                <c:pt idx="568">
                  <c:v>42943</c:v>
                </c:pt>
                <c:pt idx="569">
                  <c:v>42942</c:v>
                </c:pt>
                <c:pt idx="570">
                  <c:v>42941</c:v>
                </c:pt>
                <c:pt idx="571">
                  <c:v>42940</c:v>
                </c:pt>
                <c:pt idx="572">
                  <c:v>42937</c:v>
                </c:pt>
                <c:pt idx="573">
                  <c:v>42936</c:v>
                </c:pt>
                <c:pt idx="574">
                  <c:v>42935</c:v>
                </c:pt>
                <c:pt idx="575">
                  <c:v>42934</c:v>
                </c:pt>
                <c:pt idx="576">
                  <c:v>42930</c:v>
                </c:pt>
                <c:pt idx="577">
                  <c:v>42929</c:v>
                </c:pt>
                <c:pt idx="578">
                  <c:v>42928</c:v>
                </c:pt>
                <c:pt idx="579">
                  <c:v>42927</c:v>
                </c:pt>
                <c:pt idx="580">
                  <c:v>42926</c:v>
                </c:pt>
                <c:pt idx="581">
                  <c:v>42923</c:v>
                </c:pt>
                <c:pt idx="582">
                  <c:v>42922</c:v>
                </c:pt>
                <c:pt idx="583">
                  <c:v>42921</c:v>
                </c:pt>
                <c:pt idx="584">
                  <c:v>42920</c:v>
                </c:pt>
                <c:pt idx="585">
                  <c:v>42919</c:v>
                </c:pt>
                <c:pt idx="586">
                  <c:v>42916</c:v>
                </c:pt>
                <c:pt idx="587">
                  <c:v>42915</c:v>
                </c:pt>
                <c:pt idx="588">
                  <c:v>42914</c:v>
                </c:pt>
                <c:pt idx="589">
                  <c:v>42913</c:v>
                </c:pt>
                <c:pt idx="590">
                  <c:v>42912</c:v>
                </c:pt>
                <c:pt idx="591">
                  <c:v>42909</c:v>
                </c:pt>
                <c:pt idx="592">
                  <c:v>42908</c:v>
                </c:pt>
                <c:pt idx="593">
                  <c:v>42907</c:v>
                </c:pt>
                <c:pt idx="594">
                  <c:v>42906</c:v>
                </c:pt>
                <c:pt idx="595">
                  <c:v>42905</c:v>
                </c:pt>
                <c:pt idx="596">
                  <c:v>42902</c:v>
                </c:pt>
                <c:pt idx="597">
                  <c:v>42901</c:v>
                </c:pt>
                <c:pt idx="598">
                  <c:v>42900</c:v>
                </c:pt>
                <c:pt idx="599">
                  <c:v>42899</c:v>
                </c:pt>
                <c:pt idx="600">
                  <c:v>42898</c:v>
                </c:pt>
                <c:pt idx="601">
                  <c:v>42895</c:v>
                </c:pt>
                <c:pt idx="602">
                  <c:v>42894</c:v>
                </c:pt>
                <c:pt idx="603">
                  <c:v>42893</c:v>
                </c:pt>
                <c:pt idx="604">
                  <c:v>42892</c:v>
                </c:pt>
                <c:pt idx="605">
                  <c:v>42891</c:v>
                </c:pt>
                <c:pt idx="606">
                  <c:v>42888</c:v>
                </c:pt>
                <c:pt idx="607">
                  <c:v>42887</c:v>
                </c:pt>
                <c:pt idx="608">
                  <c:v>42886</c:v>
                </c:pt>
                <c:pt idx="609">
                  <c:v>42885</c:v>
                </c:pt>
                <c:pt idx="610">
                  <c:v>42884</c:v>
                </c:pt>
                <c:pt idx="611">
                  <c:v>42881</c:v>
                </c:pt>
                <c:pt idx="612">
                  <c:v>42880</c:v>
                </c:pt>
                <c:pt idx="613">
                  <c:v>42879</c:v>
                </c:pt>
                <c:pt idx="614">
                  <c:v>42878</c:v>
                </c:pt>
                <c:pt idx="615">
                  <c:v>42877</c:v>
                </c:pt>
                <c:pt idx="616">
                  <c:v>42874</c:v>
                </c:pt>
                <c:pt idx="617">
                  <c:v>42873</c:v>
                </c:pt>
                <c:pt idx="618">
                  <c:v>42872</c:v>
                </c:pt>
                <c:pt idx="619">
                  <c:v>42871</c:v>
                </c:pt>
                <c:pt idx="620">
                  <c:v>42870</c:v>
                </c:pt>
                <c:pt idx="621">
                  <c:v>42867</c:v>
                </c:pt>
                <c:pt idx="622">
                  <c:v>42866</c:v>
                </c:pt>
                <c:pt idx="623">
                  <c:v>42865</c:v>
                </c:pt>
                <c:pt idx="624">
                  <c:v>42864</c:v>
                </c:pt>
                <c:pt idx="625">
                  <c:v>42863</c:v>
                </c:pt>
                <c:pt idx="626">
                  <c:v>42857</c:v>
                </c:pt>
                <c:pt idx="627">
                  <c:v>42856</c:v>
                </c:pt>
                <c:pt idx="628">
                  <c:v>42853</c:v>
                </c:pt>
                <c:pt idx="629">
                  <c:v>42852</c:v>
                </c:pt>
                <c:pt idx="630">
                  <c:v>42851</c:v>
                </c:pt>
                <c:pt idx="631">
                  <c:v>42850</c:v>
                </c:pt>
                <c:pt idx="632">
                  <c:v>42849</c:v>
                </c:pt>
                <c:pt idx="633">
                  <c:v>42846</c:v>
                </c:pt>
                <c:pt idx="634">
                  <c:v>42845</c:v>
                </c:pt>
                <c:pt idx="635">
                  <c:v>42844</c:v>
                </c:pt>
                <c:pt idx="636">
                  <c:v>42843</c:v>
                </c:pt>
                <c:pt idx="637">
                  <c:v>42842</c:v>
                </c:pt>
                <c:pt idx="638">
                  <c:v>42839</c:v>
                </c:pt>
                <c:pt idx="639">
                  <c:v>42838</c:v>
                </c:pt>
                <c:pt idx="640">
                  <c:v>42837</c:v>
                </c:pt>
                <c:pt idx="641">
                  <c:v>42836</c:v>
                </c:pt>
                <c:pt idx="642">
                  <c:v>42835</c:v>
                </c:pt>
                <c:pt idx="643">
                  <c:v>42832</c:v>
                </c:pt>
                <c:pt idx="644">
                  <c:v>42831</c:v>
                </c:pt>
                <c:pt idx="645">
                  <c:v>42830</c:v>
                </c:pt>
                <c:pt idx="646">
                  <c:v>42829</c:v>
                </c:pt>
                <c:pt idx="647">
                  <c:v>42828</c:v>
                </c:pt>
                <c:pt idx="648">
                  <c:v>42825</c:v>
                </c:pt>
                <c:pt idx="649">
                  <c:v>42824</c:v>
                </c:pt>
                <c:pt idx="650">
                  <c:v>42823</c:v>
                </c:pt>
                <c:pt idx="651">
                  <c:v>42822</c:v>
                </c:pt>
                <c:pt idx="652">
                  <c:v>42821</c:v>
                </c:pt>
                <c:pt idx="653">
                  <c:v>42818</c:v>
                </c:pt>
                <c:pt idx="654">
                  <c:v>42817</c:v>
                </c:pt>
                <c:pt idx="655">
                  <c:v>42816</c:v>
                </c:pt>
                <c:pt idx="656">
                  <c:v>42815</c:v>
                </c:pt>
                <c:pt idx="657">
                  <c:v>42811</c:v>
                </c:pt>
                <c:pt idx="658">
                  <c:v>42810</c:v>
                </c:pt>
                <c:pt idx="659">
                  <c:v>42809</c:v>
                </c:pt>
                <c:pt idx="660">
                  <c:v>42808</c:v>
                </c:pt>
                <c:pt idx="661">
                  <c:v>42807</c:v>
                </c:pt>
              </c:numCache>
            </c:numRef>
          </c:cat>
          <c:val>
            <c:numRef>
              <c:f>グラフ!$O$42:$O$703</c:f>
              <c:numCache>
                <c:formatCode>General</c:formatCode>
                <c:ptCount val="662"/>
                <c:pt idx="0">
                  <c:v>3.0884064289344098</c:v>
                </c:pt>
                <c:pt idx="1">
                  <c:v>3.09268405152195</c:v>
                </c:pt>
                <c:pt idx="2">
                  <c:v>3.0969814665237547</c:v>
                </c:pt>
                <c:pt idx="3">
                  <c:v>3.0990097021379084</c:v>
                </c:pt>
                <c:pt idx="4">
                  <c:v>3.1013960455372387</c:v>
                </c:pt>
                <c:pt idx="5">
                  <c:v>3.1063599646046391</c:v>
                </c:pt>
                <c:pt idx="6">
                  <c:v>3.111241334752576</c:v>
                </c:pt>
                <c:pt idx="7">
                  <c:v>3.1111616141761242</c:v>
                </c:pt>
                <c:pt idx="8">
                  <c:v>3.1080230367616108</c:v>
                </c:pt>
                <c:pt idx="9">
                  <c:v>3.1056008431267847</c:v>
                </c:pt>
                <c:pt idx="10">
                  <c:v>3.1015666931005348</c:v>
                </c:pt>
                <c:pt idx="11">
                  <c:v>3.0988753961432773</c:v>
                </c:pt>
                <c:pt idx="12">
                  <c:v>3.0954428981014908</c:v>
                </c:pt>
                <c:pt idx="13">
                  <c:v>3.0900416396700936</c:v>
                </c:pt>
                <c:pt idx="14">
                  <c:v>3.084986392288962</c:v>
                </c:pt>
                <c:pt idx="15">
                  <c:v>3.0838918615249438</c:v>
                </c:pt>
                <c:pt idx="16">
                  <c:v>3.0809969077498858</c:v>
                </c:pt>
                <c:pt idx="17">
                  <c:v>3.0787096500360218</c:v>
                </c:pt>
                <c:pt idx="18">
                  <c:v>3.0764407439841119</c:v>
                </c:pt>
                <c:pt idx="19">
                  <c:v>3.0768771002556381</c:v>
                </c:pt>
                <c:pt idx="20">
                  <c:v>3.0773667948817263</c:v>
                </c:pt>
                <c:pt idx="21">
                  <c:v>3.0776177552002277</c:v>
                </c:pt>
                <c:pt idx="22">
                  <c:v>3.078432838711096</c:v>
                </c:pt>
                <c:pt idx="23">
                  <c:v>3.079230244718262</c:v>
                </c:pt>
                <c:pt idx="24">
                  <c:v>3.0807696700149321</c:v>
                </c:pt>
                <c:pt idx="25">
                  <c:v>3.0825688269743639</c:v>
                </c:pt>
                <c:pt idx="26">
                  <c:v>3.0819491499210079</c:v>
                </c:pt>
                <c:pt idx="27">
                  <c:v>3.0808679210621284</c:v>
                </c:pt>
                <c:pt idx="28">
                  <c:v>3.081622458917292</c:v>
                </c:pt>
                <c:pt idx="29">
                  <c:v>3.0825475094374961</c:v>
                </c:pt>
                <c:pt idx="30">
                  <c:v>3.0832130789291381</c:v>
                </c:pt>
                <c:pt idx="31">
                  <c:v>3.0843933464200637</c:v>
                </c:pt>
                <c:pt idx="32">
                  <c:v>3.0868710411715123</c:v>
                </c:pt>
                <c:pt idx="33">
                  <c:v>3.0905284317571042</c:v>
                </c:pt>
                <c:pt idx="34">
                  <c:v>3.0933210275796719</c:v>
                </c:pt>
                <c:pt idx="35">
                  <c:v>3.09490466981307</c:v>
                </c:pt>
                <c:pt idx="36">
                  <c:v>3.0951871692135979</c:v>
                </c:pt>
                <c:pt idx="37">
                  <c:v>3.0973204369881602</c:v>
                </c:pt>
                <c:pt idx="38">
                  <c:v>3.0983402804815681</c:v>
                </c:pt>
                <c:pt idx="39">
                  <c:v>3.1016420759078218</c:v>
                </c:pt>
                <c:pt idx="40">
                  <c:v>3.107945653276972</c:v>
                </c:pt>
                <c:pt idx="41">
                  <c:v>3.114061042854642</c:v>
                </c:pt>
                <c:pt idx="42">
                  <c:v>3.1214662375286562</c:v>
                </c:pt>
                <c:pt idx="43">
                  <c:v>3.1292987609124423</c:v>
                </c:pt>
                <c:pt idx="44">
                  <c:v>3.1354388322772042</c:v>
                </c:pt>
                <c:pt idx="45">
                  <c:v>3.1449506601404362</c:v>
                </c:pt>
                <c:pt idx="46">
                  <c:v>3.151179012658138</c:v>
                </c:pt>
                <c:pt idx="47">
                  <c:v>3.1566661952336061</c:v>
                </c:pt>
                <c:pt idx="48">
                  <c:v>3.1644901098101501</c:v>
                </c:pt>
                <c:pt idx="49">
                  <c:v>3.1725327973953701</c:v>
                </c:pt>
                <c:pt idx="50">
                  <c:v>3.180427493245598</c:v>
                </c:pt>
                <c:pt idx="51">
                  <c:v>3.1882187639869759</c:v>
                </c:pt>
                <c:pt idx="52">
                  <c:v>3.194207414225358</c:v>
                </c:pt>
                <c:pt idx="53">
                  <c:v>3.1990095253983859</c:v>
                </c:pt>
                <c:pt idx="54">
                  <c:v>3.2047138135762516</c:v>
                </c:pt>
                <c:pt idx="55">
                  <c:v>3.2093180175656539</c:v>
                </c:pt>
                <c:pt idx="56">
                  <c:v>3.2151846309724257</c:v>
                </c:pt>
                <c:pt idx="57">
                  <c:v>3.220628960463916</c:v>
                </c:pt>
                <c:pt idx="58">
                  <c:v>3.2288793929856365</c:v>
                </c:pt>
                <c:pt idx="59">
                  <c:v>3.2304615672031689</c:v>
                </c:pt>
                <c:pt idx="60">
                  <c:v>3.2340592449737184</c:v>
                </c:pt>
                <c:pt idx="61">
                  <c:v>3.2331722959911824</c:v>
                </c:pt>
                <c:pt idx="62">
                  <c:v>3.2351966361059339</c:v>
                </c:pt>
                <c:pt idx="63">
                  <c:v>3.2398525468062362</c:v>
                </c:pt>
                <c:pt idx="64">
                  <c:v>3.2502813966048341</c:v>
                </c:pt>
                <c:pt idx="65">
                  <c:v>3.2569562308977265</c:v>
                </c:pt>
                <c:pt idx="66">
                  <c:v>3.2667908858556269</c:v>
                </c:pt>
                <c:pt idx="67">
                  <c:v>3.2788162558199714</c:v>
                </c:pt>
                <c:pt idx="68">
                  <c:v>3.2916904178617958</c:v>
                </c:pt>
                <c:pt idx="69">
                  <c:v>3.3090747191210488</c:v>
                </c:pt>
                <c:pt idx="70">
                  <c:v>3.3284870195311762</c:v>
                </c:pt>
                <c:pt idx="71">
                  <c:v>3.3421099623316297</c:v>
                </c:pt>
                <c:pt idx="72">
                  <c:v>3.3543376419768669</c:v>
                </c:pt>
                <c:pt idx="73">
                  <c:v>3.3553141407724705</c:v>
                </c:pt>
                <c:pt idx="74">
                  <c:v>3.3569021909885874</c:v>
                </c:pt>
                <c:pt idx="75">
                  <c:v>3.3623301557069745</c:v>
                </c:pt>
                <c:pt idx="76">
                  <c:v>3.3656654035788982</c:v>
                </c:pt>
                <c:pt idx="77">
                  <c:v>3.3663403985938474</c:v>
                </c:pt>
                <c:pt idx="78">
                  <c:v>3.3652926268935976</c:v>
                </c:pt>
                <c:pt idx="79">
                  <c:v>3.3659698812991445</c:v>
                </c:pt>
                <c:pt idx="80">
                  <c:v>3.3691267527827322</c:v>
                </c:pt>
                <c:pt idx="81">
                  <c:v>3.369720686716839</c:v>
                </c:pt>
                <c:pt idx="82">
                  <c:v>3.370723518690764</c:v>
                </c:pt>
                <c:pt idx="83">
                  <c:v>3.3699127130841697</c:v>
                </c:pt>
                <c:pt idx="84">
                  <c:v>3.3687756461631264</c:v>
                </c:pt>
                <c:pt idx="85">
                  <c:v>3.3668073727930383</c:v>
                </c:pt>
                <c:pt idx="86">
                  <c:v>3.3632692547170122</c:v>
                </c:pt>
                <c:pt idx="87">
                  <c:v>3.3623984699682796</c:v>
                </c:pt>
                <c:pt idx="88">
                  <c:v>3.362210858537193</c:v>
                </c:pt>
                <c:pt idx="89">
                  <c:v>3.3594606687998438</c:v>
                </c:pt>
                <c:pt idx="90">
                  <c:v>3.3597876931210293</c:v>
                </c:pt>
                <c:pt idx="91">
                  <c:v>3.35935426845989</c:v>
                </c:pt>
                <c:pt idx="92">
                  <c:v>3.3589104521041118</c:v>
                </c:pt>
                <c:pt idx="93">
                  <c:v>3.3584187844087907</c:v>
                </c:pt>
                <c:pt idx="94">
                  <c:v>3.3598444227850504</c:v>
                </c:pt>
                <c:pt idx="95">
                  <c:v>3.3605780184829612</c:v>
                </c:pt>
                <c:pt idx="96">
                  <c:v>3.3625501708670789</c:v>
                </c:pt>
                <c:pt idx="97">
                  <c:v>3.3646252375329606</c:v>
                </c:pt>
                <c:pt idx="98">
                  <c:v>3.365516121647941</c:v>
                </c:pt>
                <c:pt idx="99">
                  <c:v>3.3682514558938963</c:v>
                </c:pt>
                <c:pt idx="100">
                  <c:v>3.3699825723689791</c:v>
                </c:pt>
                <c:pt idx="101">
                  <c:v>3.3708030278831096</c:v>
                </c:pt>
                <c:pt idx="102">
                  <c:v>3.3705172995118975</c:v>
                </c:pt>
                <c:pt idx="103">
                  <c:v>3.3712752756996247</c:v>
                </c:pt>
                <c:pt idx="104">
                  <c:v>3.3703078327266054</c:v>
                </c:pt>
                <c:pt idx="105">
                  <c:v>3.3703483656290363</c:v>
                </c:pt>
                <c:pt idx="106">
                  <c:v>3.3678583647959233</c:v>
                </c:pt>
                <c:pt idx="107">
                  <c:v>3.3667755154082339</c:v>
                </c:pt>
                <c:pt idx="108">
                  <c:v>3.3669524532193797</c:v>
                </c:pt>
                <c:pt idx="109">
                  <c:v>3.3655685400339665</c:v>
                </c:pt>
                <c:pt idx="110">
                  <c:v>3.3655203292972726</c:v>
                </c:pt>
                <c:pt idx="111">
                  <c:v>3.3656403211844221</c:v>
                </c:pt>
                <c:pt idx="112">
                  <c:v>3.3653188817954285</c:v>
                </c:pt>
                <c:pt idx="113">
                  <c:v>3.3638491662249232</c:v>
                </c:pt>
                <c:pt idx="114">
                  <c:v>3.3643434082363179</c:v>
                </c:pt>
                <c:pt idx="115">
                  <c:v>3.3667453166521457</c:v>
                </c:pt>
                <c:pt idx="116">
                  <c:v>3.3694603787098316</c:v>
                </c:pt>
                <c:pt idx="117">
                  <c:v>3.3718359661471409</c:v>
                </c:pt>
                <c:pt idx="118">
                  <c:v>3.3704995764014494</c:v>
                </c:pt>
                <c:pt idx="119">
                  <c:v>3.3723710179770263</c:v>
                </c:pt>
                <c:pt idx="120">
                  <c:v>3.377736834175606</c:v>
                </c:pt>
                <c:pt idx="121">
                  <c:v>3.3798624551397842</c:v>
                </c:pt>
                <c:pt idx="122">
                  <c:v>3.3808038503669051</c:v>
                </c:pt>
                <c:pt idx="123">
                  <c:v>3.3819392991407988</c:v>
                </c:pt>
                <c:pt idx="124">
                  <c:v>3.3842851633686557</c:v>
                </c:pt>
                <c:pt idx="125">
                  <c:v>3.3858786586625049</c:v>
                </c:pt>
                <c:pt idx="126">
                  <c:v>3.388869014691374</c:v>
                </c:pt>
                <c:pt idx="127">
                  <c:v>3.3887357596645198</c:v>
                </c:pt>
                <c:pt idx="128">
                  <c:v>3.389828752835899</c:v>
                </c:pt>
                <c:pt idx="129">
                  <c:v>3.3917014948922977</c:v>
                </c:pt>
                <c:pt idx="130">
                  <c:v>3.39521644509164</c:v>
                </c:pt>
                <c:pt idx="131">
                  <c:v>3.3986756325725125</c:v>
                </c:pt>
                <c:pt idx="132">
                  <c:v>3.4012877674998023</c:v>
                </c:pt>
                <c:pt idx="133">
                  <c:v>3.4081621544720644</c:v>
                </c:pt>
                <c:pt idx="134">
                  <c:v>3.4210004476022493</c:v>
                </c:pt>
                <c:pt idx="135">
                  <c:v>3.4241659967770062</c:v>
                </c:pt>
                <c:pt idx="136">
                  <c:v>3.42411775364392</c:v>
                </c:pt>
                <c:pt idx="137">
                  <c:v>3.4233686499109668</c:v>
                </c:pt>
                <c:pt idx="138">
                  <c:v>3.4233605691377242</c:v>
                </c:pt>
                <c:pt idx="139">
                  <c:v>3.4237989471247889</c:v>
                </c:pt>
                <c:pt idx="140">
                  <c:v>3.4255009770022014</c:v>
                </c:pt>
                <c:pt idx="141">
                  <c:v>3.4290572552984098</c:v>
                </c:pt>
                <c:pt idx="142">
                  <c:v>3.430755389667004</c:v>
                </c:pt>
                <c:pt idx="143">
                  <c:v>3.43377952392047</c:v>
                </c:pt>
                <c:pt idx="144">
                  <c:v>3.4356999893904829</c:v>
                </c:pt>
                <c:pt idx="145">
                  <c:v>3.4395706264663755</c:v>
                </c:pt>
                <c:pt idx="146">
                  <c:v>3.4444749851989256</c:v>
                </c:pt>
                <c:pt idx="147">
                  <c:v>3.451773965011331</c:v>
                </c:pt>
                <c:pt idx="148">
                  <c:v>3.4585700012010694</c:v>
                </c:pt>
                <c:pt idx="149">
                  <c:v>3.467115161976638</c:v>
                </c:pt>
                <c:pt idx="150">
                  <c:v>3.4734830394193041</c:v>
                </c:pt>
                <c:pt idx="151">
                  <c:v>3.480604979312004</c:v>
                </c:pt>
                <c:pt idx="152">
                  <c:v>3.4922665051400532</c:v>
                </c:pt>
                <c:pt idx="153">
                  <c:v>3.5030341345622915</c:v>
                </c:pt>
                <c:pt idx="154">
                  <c:v>3.5077467291760485</c:v>
                </c:pt>
                <c:pt idx="155">
                  <c:v>3.5128209003897388</c:v>
                </c:pt>
                <c:pt idx="156">
                  <c:v>3.5155659817388978</c:v>
                </c:pt>
                <c:pt idx="157">
                  <c:v>3.5168701817401091</c:v>
                </c:pt>
                <c:pt idx="158">
                  <c:v>3.5136499151838665</c:v>
                </c:pt>
                <c:pt idx="159">
                  <c:v>3.5040146097614708</c:v>
                </c:pt>
                <c:pt idx="160">
                  <c:v>3.4943381908998994</c:v>
                </c:pt>
                <c:pt idx="161">
                  <c:v>3.4865199492702206</c:v>
                </c:pt>
                <c:pt idx="162">
                  <c:v>3.4776599085807351</c:v>
                </c:pt>
                <c:pt idx="163">
                  <c:v>3.4658587439745534</c:v>
                </c:pt>
                <c:pt idx="164">
                  <c:v>3.4571822216042323</c:v>
                </c:pt>
                <c:pt idx="165">
                  <c:v>3.4546785127077522</c:v>
                </c:pt>
                <c:pt idx="166">
                  <c:v>3.4510761098923739</c:v>
                </c:pt>
                <c:pt idx="167">
                  <c:v>3.4506247544451609</c:v>
                </c:pt>
                <c:pt idx="168">
                  <c:v>3.4488094407971452</c:v>
                </c:pt>
                <c:pt idx="169">
                  <c:v>3.4417736891766184</c:v>
                </c:pt>
                <c:pt idx="170">
                  <c:v>3.4353293750284517</c:v>
                </c:pt>
                <c:pt idx="171">
                  <c:v>3.4324507305281098</c:v>
                </c:pt>
                <c:pt idx="172">
                  <c:v>3.4324135617535401</c:v>
                </c:pt>
                <c:pt idx="173">
                  <c:v>3.4322166396198996</c:v>
                </c:pt>
                <c:pt idx="174">
                  <c:v>3.432090304628117</c:v>
                </c:pt>
                <c:pt idx="175">
                  <c:v>3.4319653384958606</c:v>
                </c:pt>
                <c:pt idx="176">
                  <c:v>3.4299509261450929</c:v>
                </c:pt>
                <c:pt idx="177">
                  <c:v>3.4278900341766536</c:v>
                </c:pt>
                <c:pt idx="178">
                  <c:v>3.4252357118628365</c:v>
                </c:pt>
                <c:pt idx="179">
                  <c:v>3.4225073801766852</c:v>
                </c:pt>
                <c:pt idx="180">
                  <c:v>3.4194509725333737</c:v>
                </c:pt>
                <c:pt idx="181">
                  <c:v>3.4176361438571803</c:v>
                </c:pt>
                <c:pt idx="182">
                  <c:v>3.4120226745576114</c:v>
                </c:pt>
                <c:pt idx="183">
                  <c:v>3.407872173568415</c:v>
                </c:pt>
                <c:pt idx="184">
                  <c:v>3.4053185899741951</c:v>
                </c:pt>
                <c:pt idx="185">
                  <c:v>3.3970807660581284</c:v>
                </c:pt>
                <c:pt idx="186">
                  <c:v>3.3815404188734965</c:v>
                </c:pt>
                <c:pt idx="187">
                  <c:v>3.3723110450693548</c:v>
                </c:pt>
                <c:pt idx="188">
                  <c:v>3.3738583027414557</c:v>
                </c:pt>
                <c:pt idx="189">
                  <c:v>3.3746569928501531</c:v>
                </c:pt>
                <c:pt idx="190">
                  <c:v>3.3716833445349601</c:v>
                </c:pt>
                <c:pt idx="191">
                  <c:v>3.3696001549427601</c:v>
                </c:pt>
                <c:pt idx="192">
                  <c:v>3.3689784304945487</c:v>
                </c:pt>
                <c:pt idx="193">
                  <c:v>3.3688684953978432</c:v>
                </c:pt>
                <c:pt idx="194">
                  <c:v>3.3668946833718838</c:v>
                </c:pt>
                <c:pt idx="195">
                  <c:v>3.3656643798652652</c:v>
                </c:pt>
                <c:pt idx="196">
                  <c:v>3.3638824514751047</c:v>
                </c:pt>
                <c:pt idx="197">
                  <c:v>3.3630140926720791</c:v>
                </c:pt>
                <c:pt idx="198">
                  <c:v>3.3617912863897836</c:v>
                </c:pt>
                <c:pt idx="199">
                  <c:v>3.3599675478217592</c:v>
                </c:pt>
                <c:pt idx="200">
                  <c:v>3.3607492352425998</c:v>
                </c:pt>
                <c:pt idx="201">
                  <c:v>3.3593971457863541</c:v>
                </c:pt>
                <c:pt idx="202">
                  <c:v>3.3605500937945783</c:v>
                </c:pt>
                <c:pt idx="203">
                  <c:v>3.3616033664342289</c:v>
                </c:pt>
                <c:pt idx="204">
                  <c:v>3.3632767818640921</c:v>
                </c:pt>
                <c:pt idx="205">
                  <c:v>3.363560972741988</c:v>
                </c:pt>
                <c:pt idx="206">
                  <c:v>3.363624512109995</c:v>
                </c:pt>
                <c:pt idx="207">
                  <c:v>3.3628655829484981</c:v>
                </c:pt>
                <c:pt idx="208">
                  <c:v>3.3618874956265752</c:v>
                </c:pt>
                <c:pt idx="209">
                  <c:v>3.361663088803855</c:v>
                </c:pt>
                <c:pt idx="210">
                  <c:v>3.3610568015719635</c:v>
                </c:pt>
                <c:pt idx="211">
                  <c:v>3.3586157906851137</c:v>
                </c:pt>
                <c:pt idx="212">
                  <c:v>3.3567804522148279</c:v>
                </c:pt>
                <c:pt idx="213">
                  <c:v>3.3552419057190592</c:v>
                </c:pt>
                <c:pt idx="214">
                  <c:v>3.3538722392166198</c:v>
                </c:pt>
                <c:pt idx="215">
                  <c:v>3.351097573900975</c:v>
                </c:pt>
                <c:pt idx="216">
                  <c:v>3.349174285845173</c:v>
                </c:pt>
                <c:pt idx="217">
                  <c:v>3.3477193598685746</c:v>
                </c:pt>
                <c:pt idx="218">
                  <c:v>3.3476467157392151</c:v>
                </c:pt>
                <c:pt idx="219">
                  <c:v>3.3484358336388924</c:v>
                </c:pt>
                <c:pt idx="220">
                  <c:v>3.3474056849065068</c:v>
                </c:pt>
                <c:pt idx="221">
                  <c:v>3.347528960016096</c:v>
                </c:pt>
                <c:pt idx="222">
                  <c:v>3.3476164063890259</c:v>
                </c:pt>
                <c:pt idx="223">
                  <c:v>3.3469915482963977</c:v>
                </c:pt>
                <c:pt idx="224">
                  <c:v>3.3484122471205207</c:v>
                </c:pt>
                <c:pt idx="225">
                  <c:v>3.3529444013406713</c:v>
                </c:pt>
                <c:pt idx="226">
                  <c:v>3.3577770670524307</c:v>
                </c:pt>
                <c:pt idx="227">
                  <c:v>3.3591494392566221</c:v>
                </c:pt>
                <c:pt idx="228">
                  <c:v>3.3614313889601686</c:v>
                </c:pt>
                <c:pt idx="229">
                  <c:v>3.3616300481987738</c:v>
                </c:pt>
                <c:pt idx="230">
                  <c:v>3.3663859779425809</c:v>
                </c:pt>
                <c:pt idx="231">
                  <c:v>3.3670806685459751</c:v>
                </c:pt>
                <c:pt idx="232">
                  <c:v>3.3674429573705331</c:v>
                </c:pt>
                <c:pt idx="233">
                  <c:v>3.3673806676955937</c:v>
                </c:pt>
                <c:pt idx="234">
                  <c:v>3.3684038076851812</c:v>
                </c:pt>
                <c:pt idx="235">
                  <c:v>3.3694864439791741</c:v>
                </c:pt>
                <c:pt idx="236">
                  <c:v>3.3684088118720656</c:v>
                </c:pt>
                <c:pt idx="237">
                  <c:v>3.3663234930395105</c:v>
                </c:pt>
                <c:pt idx="238">
                  <c:v>3.355168658239386</c:v>
                </c:pt>
                <c:pt idx="239">
                  <c:v>3.3348774366406118</c:v>
                </c:pt>
                <c:pt idx="240">
                  <c:v>3.3093896723803362</c:v>
                </c:pt>
                <c:pt idx="241">
                  <c:v>3.2822292900845276</c:v>
                </c:pt>
                <c:pt idx="242">
                  <c:v>3.266009859944377</c:v>
                </c:pt>
                <c:pt idx="243">
                  <c:v>3.2553475380719377</c:v>
                </c:pt>
                <c:pt idx="244">
                  <c:v>3.2490739894892102</c:v>
                </c:pt>
                <c:pt idx="245">
                  <c:v>3.2404668727084704</c:v>
                </c:pt>
                <c:pt idx="246">
                  <c:v>3.2330644856197783</c:v>
                </c:pt>
                <c:pt idx="247">
                  <c:v>3.2254028487373421</c:v>
                </c:pt>
                <c:pt idx="248">
                  <c:v>3.222025305153748</c:v>
                </c:pt>
                <c:pt idx="249">
                  <c:v>3.2220672569355497</c:v>
                </c:pt>
                <c:pt idx="250">
                  <c:v>3.2210642311050242</c:v>
                </c:pt>
                <c:pt idx="251">
                  <c:v>3.2201966238633437</c:v>
                </c:pt>
                <c:pt idx="252">
                  <c:v>3.218123635581374</c:v>
                </c:pt>
                <c:pt idx="253">
                  <c:v>3.214909987825882</c:v>
                </c:pt>
                <c:pt idx="254">
                  <c:v>3.2123272419600482</c:v>
                </c:pt>
                <c:pt idx="255">
                  <c:v>3.2101011960319821</c:v>
                </c:pt>
                <c:pt idx="256">
                  <c:v>3.2068598534260619</c:v>
                </c:pt>
                <c:pt idx="257">
                  <c:v>3.2049749183109779</c:v>
                </c:pt>
                <c:pt idx="258">
                  <c:v>3.202677476305718</c:v>
                </c:pt>
                <c:pt idx="259">
                  <c:v>3.2002063930935041</c:v>
                </c:pt>
                <c:pt idx="260">
                  <c:v>3.1963225038759902</c:v>
                </c:pt>
                <c:pt idx="261">
                  <c:v>3.1957057186876359</c:v>
                </c:pt>
                <c:pt idx="262">
                  <c:v>3.1946737132004501</c:v>
                </c:pt>
                <c:pt idx="263">
                  <c:v>3.1910539351693137</c:v>
                </c:pt>
                <c:pt idx="264">
                  <c:v>3.1879686444530519</c:v>
                </c:pt>
                <c:pt idx="265">
                  <c:v>3.1830477237044863</c:v>
                </c:pt>
                <c:pt idx="266">
                  <c:v>3.17923308845717</c:v>
                </c:pt>
                <c:pt idx="267">
                  <c:v>3.176787555847826</c:v>
                </c:pt>
                <c:pt idx="268">
                  <c:v>3.1743876158685778</c:v>
                </c:pt>
                <c:pt idx="269">
                  <c:v>3.1710931252541781</c:v>
                </c:pt>
                <c:pt idx="270">
                  <c:v>3.1682365266097516</c:v>
                </c:pt>
                <c:pt idx="271">
                  <c:v>3.1654854635481957</c:v>
                </c:pt>
                <c:pt idx="272">
                  <c:v>3.1617499863042622</c:v>
                </c:pt>
                <c:pt idx="273">
                  <c:v>3.1593933348793599</c:v>
                </c:pt>
                <c:pt idx="274">
                  <c:v>3.1579615697152801</c:v>
                </c:pt>
                <c:pt idx="275">
                  <c:v>3.1551686263647158</c:v>
                </c:pt>
                <c:pt idx="276">
                  <c:v>3.1492536025406417</c:v>
                </c:pt>
                <c:pt idx="277">
                  <c:v>3.1443883674719624</c:v>
                </c:pt>
                <c:pt idx="278">
                  <c:v>3.1402046812384081</c:v>
                </c:pt>
                <c:pt idx="279">
                  <c:v>3.135981100015226</c:v>
                </c:pt>
                <c:pt idx="280">
                  <c:v>3.131999655024778</c:v>
                </c:pt>
                <c:pt idx="281">
                  <c:v>3.1269637133840904</c:v>
                </c:pt>
                <c:pt idx="282">
                  <c:v>3.121344770832736</c:v>
                </c:pt>
                <c:pt idx="283">
                  <c:v>3.1187594972508079</c:v>
                </c:pt>
                <c:pt idx="284">
                  <c:v>3.1179730308521663</c:v>
                </c:pt>
                <c:pt idx="285">
                  <c:v>3.1160306238879261</c:v>
                </c:pt>
                <c:pt idx="286">
                  <c:v>3.1149204454635884</c:v>
                </c:pt>
                <c:pt idx="287">
                  <c:v>3.1130907705302819</c:v>
                </c:pt>
                <c:pt idx="288">
                  <c:v>3.1120812381384901</c:v>
                </c:pt>
                <c:pt idx="289">
                  <c:v>3.108853557434252</c:v>
                </c:pt>
                <c:pt idx="290">
                  <c:v>3.1039232969536359</c:v>
                </c:pt>
                <c:pt idx="291">
                  <c:v>3.0964544298562102</c:v>
                </c:pt>
                <c:pt idx="292">
                  <c:v>3.0835803129873063</c:v>
                </c:pt>
                <c:pt idx="293">
                  <c:v>3.0753062492915744</c:v>
                </c:pt>
                <c:pt idx="294">
                  <c:v>3.072108742377226</c:v>
                </c:pt>
                <c:pt idx="295">
                  <c:v>3.0670159547742459</c:v>
                </c:pt>
                <c:pt idx="296">
                  <c:v>3.06162561786432</c:v>
                </c:pt>
                <c:pt idx="297">
                  <c:v>3.0604380569611158</c:v>
                </c:pt>
                <c:pt idx="298">
                  <c:v>3.0602615254450143</c:v>
                </c:pt>
                <c:pt idx="299">
                  <c:v>3.0602592102136921</c:v>
                </c:pt>
                <c:pt idx="300">
                  <c:v>3.0620754487898241</c:v>
                </c:pt>
                <c:pt idx="301">
                  <c:v>3.0667275789825399</c:v>
                </c:pt>
                <c:pt idx="302">
                  <c:v>3.0701599189294959</c:v>
                </c:pt>
                <c:pt idx="303">
                  <c:v>3.069315445345298</c:v>
                </c:pt>
                <c:pt idx="304">
                  <c:v>3.0715298267837037</c:v>
                </c:pt>
                <c:pt idx="305">
                  <c:v>3.0725079539713942</c:v>
                </c:pt>
                <c:pt idx="306">
                  <c:v>3.074693698548562</c:v>
                </c:pt>
                <c:pt idx="307">
                  <c:v>3.0775267400112041</c:v>
                </c:pt>
                <c:pt idx="308">
                  <c:v>3.0811850739919997</c:v>
                </c:pt>
                <c:pt idx="309">
                  <c:v>3.084944974655254</c:v>
                </c:pt>
                <c:pt idx="310">
                  <c:v>3.0886789112811561</c:v>
                </c:pt>
                <c:pt idx="311">
                  <c:v>3.0901642296038276</c:v>
                </c:pt>
                <c:pt idx="312">
                  <c:v>3.0907591684817302</c:v>
                </c:pt>
                <c:pt idx="313">
                  <c:v>3.0911014064562519</c:v>
                </c:pt>
                <c:pt idx="314">
                  <c:v>3.0937087737856066</c:v>
                </c:pt>
                <c:pt idx="315">
                  <c:v>3.0987730240506166</c:v>
                </c:pt>
                <c:pt idx="316">
                  <c:v>3.1065871956711182</c:v>
                </c:pt>
                <c:pt idx="317">
                  <c:v>3.0989640108843588</c:v>
                </c:pt>
                <c:pt idx="318">
                  <c:v>3.0925518985940172</c:v>
                </c:pt>
                <c:pt idx="319">
                  <c:v>3.0852497271202743</c:v>
                </c:pt>
                <c:pt idx="320">
                  <c:v>3.0816869864998822</c:v>
                </c:pt>
                <c:pt idx="321">
                  <c:v>3.0776701136713323</c:v>
                </c:pt>
                <c:pt idx="322">
                  <c:v>3.076853442252562</c:v>
                </c:pt>
                <c:pt idx="323">
                  <c:v>3.075765179514002</c:v>
                </c:pt>
                <c:pt idx="324">
                  <c:v>3.0746500132945438</c:v>
                </c:pt>
                <c:pt idx="325">
                  <c:v>3.0700977538082843</c:v>
                </c:pt>
                <c:pt idx="326">
                  <c:v>3.0645582147368802</c:v>
                </c:pt>
                <c:pt idx="327">
                  <c:v>3.0645438183411797</c:v>
                </c:pt>
                <c:pt idx="328">
                  <c:v>3.0646115613161982</c:v>
                </c:pt>
                <c:pt idx="329">
                  <c:v>3.0645823479289378</c:v>
                </c:pt>
                <c:pt idx="330">
                  <c:v>3.0644302325631441</c:v>
                </c:pt>
                <c:pt idx="331">
                  <c:v>3.0647813379072679</c:v>
                </c:pt>
                <c:pt idx="332">
                  <c:v>3.0634361302155901</c:v>
                </c:pt>
                <c:pt idx="333">
                  <c:v>3.0609504081580399</c:v>
                </c:pt>
                <c:pt idx="334">
                  <c:v>3.06065810312547</c:v>
                </c:pt>
                <c:pt idx="335">
                  <c:v>3.0621316945847501</c:v>
                </c:pt>
                <c:pt idx="336">
                  <c:v>3.0629326589069601</c:v>
                </c:pt>
                <c:pt idx="337">
                  <c:v>3.0636037423442941</c:v>
                </c:pt>
                <c:pt idx="338">
                  <c:v>3.0648448843529841</c:v>
                </c:pt>
                <c:pt idx="339">
                  <c:v>3.0661013580416361</c:v>
                </c:pt>
                <c:pt idx="340">
                  <c:v>3.0662763956262018</c:v>
                </c:pt>
                <c:pt idx="341">
                  <c:v>3.067292589464234</c:v>
                </c:pt>
                <c:pt idx="342">
                  <c:v>3.0679974802801779</c:v>
                </c:pt>
                <c:pt idx="343">
                  <c:v>3.0690759733002819</c:v>
                </c:pt>
                <c:pt idx="344">
                  <c:v>3.0701405688860604</c:v>
                </c:pt>
                <c:pt idx="345">
                  <c:v>3.0715084946136542</c:v>
                </c:pt>
                <c:pt idx="346">
                  <c:v>3.073160728411628</c:v>
                </c:pt>
                <c:pt idx="347">
                  <c:v>3.0758976561331584</c:v>
                </c:pt>
                <c:pt idx="348">
                  <c:v>3.0774440770069917</c:v>
                </c:pt>
                <c:pt idx="349">
                  <c:v>3.0779421714433242</c:v>
                </c:pt>
                <c:pt idx="350">
                  <c:v>3.0787297920185104</c:v>
                </c:pt>
                <c:pt idx="351">
                  <c:v>3.0820597334033941</c:v>
                </c:pt>
                <c:pt idx="352">
                  <c:v>3.086115554352074</c:v>
                </c:pt>
                <c:pt idx="353">
                  <c:v>3.0902803018337042</c:v>
                </c:pt>
                <c:pt idx="354">
                  <c:v>3.0943374058722242</c:v>
                </c:pt>
                <c:pt idx="355">
                  <c:v>3.0985425051414501</c:v>
                </c:pt>
                <c:pt idx="356">
                  <c:v>3.1057786816375796</c:v>
                </c:pt>
                <c:pt idx="357">
                  <c:v>3.1128951522682717</c:v>
                </c:pt>
                <c:pt idx="358">
                  <c:v>3.117012303425204</c:v>
                </c:pt>
                <c:pt idx="359">
                  <c:v>3.1189764778731699</c:v>
                </c:pt>
                <c:pt idx="360">
                  <c:v>3.1220506073897383</c:v>
                </c:pt>
                <c:pt idx="361">
                  <c:v>3.1244610862267019</c:v>
                </c:pt>
                <c:pt idx="362">
                  <c:v>3.1281784709152882</c:v>
                </c:pt>
                <c:pt idx="363">
                  <c:v>3.1309683684551137</c:v>
                </c:pt>
                <c:pt idx="364">
                  <c:v>3.13455927136626</c:v>
                </c:pt>
                <c:pt idx="365">
                  <c:v>3.13838642956435</c:v>
                </c:pt>
                <c:pt idx="366">
                  <c:v>3.1468147050523299</c:v>
                </c:pt>
                <c:pt idx="367">
                  <c:v>3.163851874013214</c:v>
                </c:pt>
                <c:pt idx="368">
                  <c:v>3.1771434743864839</c:v>
                </c:pt>
                <c:pt idx="369">
                  <c:v>3.1887399282333</c:v>
                </c:pt>
                <c:pt idx="370">
                  <c:v>3.2017463685337382</c:v>
                </c:pt>
                <c:pt idx="371">
                  <c:v>3.2173412930374301</c:v>
                </c:pt>
                <c:pt idx="372">
                  <c:v>3.2265158989181839</c:v>
                </c:pt>
                <c:pt idx="373">
                  <c:v>3.2332847428551879</c:v>
                </c:pt>
                <c:pt idx="374">
                  <c:v>3.241812086056556</c:v>
                </c:pt>
                <c:pt idx="375">
                  <c:v>3.2485589303891458</c:v>
                </c:pt>
                <c:pt idx="376">
                  <c:v>3.2527175863793527</c:v>
                </c:pt>
                <c:pt idx="377">
                  <c:v>3.2571148489650601</c:v>
                </c:pt>
                <c:pt idx="378">
                  <c:v>3.2570657193887436</c:v>
                </c:pt>
                <c:pt idx="379">
                  <c:v>3.2577250477876061</c:v>
                </c:pt>
                <c:pt idx="380">
                  <c:v>3.2580998323752279</c:v>
                </c:pt>
                <c:pt idx="381">
                  <c:v>3.2586695452176682</c:v>
                </c:pt>
                <c:pt idx="382">
                  <c:v>3.2594780131239354</c:v>
                </c:pt>
                <c:pt idx="383">
                  <c:v>3.2620002269102892</c:v>
                </c:pt>
                <c:pt idx="384">
                  <c:v>3.2660338485935059</c:v>
                </c:pt>
                <c:pt idx="385">
                  <c:v>3.2704134324650007</c:v>
                </c:pt>
                <c:pt idx="386">
                  <c:v>3.2739254814259571</c:v>
                </c:pt>
                <c:pt idx="387">
                  <c:v>3.2770998750981231</c:v>
                </c:pt>
                <c:pt idx="388">
                  <c:v>3.2809401807983263</c:v>
                </c:pt>
                <c:pt idx="389">
                  <c:v>3.2880829573678909</c:v>
                </c:pt>
                <c:pt idx="390">
                  <c:v>3.2958388579611402</c:v>
                </c:pt>
                <c:pt idx="391">
                  <c:v>3.3003692288235498</c:v>
                </c:pt>
                <c:pt idx="392">
                  <c:v>3.3012554582811369</c:v>
                </c:pt>
                <c:pt idx="393">
                  <c:v>3.3015835454559679</c:v>
                </c:pt>
                <c:pt idx="394">
                  <c:v>3.302081195234396</c:v>
                </c:pt>
                <c:pt idx="395">
                  <c:v>3.3012411718557439</c:v>
                </c:pt>
                <c:pt idx="396">
                  <c:v>3.299454395426074</c:v>
                </c:pt>
                <c:pt idx="397">
                  <c:v>3.2974531119095309</c:v>
                </c:pt>
                <c:pt idx="398">
                  <c:v>3.2940163145213242</c:v>
                </c:pt>
                <c:pt idx="399">
                  <c:v>3.2922362768276572</c:v>
                </c:pt>
                <c:pt idx="400">
                  <c:v>3.290321072074295</c:v>
                </c:pt>
                <c:pt idx="401">
                  <c:v>3.2892003068842968</c:v>
                </c:pt>
                <c:pt idx="402">
                  <c:v>3.2889390011772259</c:v>
                </c:pt>
                <c:pt idx="403">
                  <c:v>3.2899571146892299</c:v>
                </c:pt>
                <c:pt idx="404">
                  <c:v>3.2907592915515083</c:v>
                </c:pt>
                <c:pt idx="405">
                  <c:v>3.2918881077358919</c:v>
                </c:pt>
                <c:pt idx="406">
                  <c:v>3.2940140609880619</c:v>
                </c:pt>
                <c:pt idx="407">
                  <c:v>3.2928080992917041</c:v>
                </c:pt>
                <c:pt idx="408">
                  <c:v>3.2910915129908558</c:v>
                </c:pt>
                <c:pt idx="409">
                  <c:v>3.291361049797358</c:v>
                </c:pt>
                <c:pt idx="410">
                  <c:v>3.2916881571273957</c:v>
                </c:pt>
                <c:pt idx="411">
                  <c:v>3.291351771953916</c:v>
                </c:pt>
                <c:pt idx="412">
                  <c:v>3.2929373833942157</c:v>
                </c:pt>
                <c:pt idx="413">
                  <c:v>3.2952214870678462</c:v>
                </c:pt>
                <c:pt idx="414">
                  <c:v>3.2960421527880102</c:v>
                </c:pt>
                <c:pt idx="415">
                  <c:v>3.2955174012267858</c:v>
                </c:pt>
                <c:pt idx="416">
                  <c:v>3.2956224390418778</c:v>
                </c:pt>
                <c:pt idx="417">
                  <c:v>3.2948351387866976</c:v>
                </c:pt>
                <c:pt idx="418">
                  <c:v>3.2948849200838679</c:v>
                </c:pt>
                <c:pt idx="419">
                  <c:v>3.291577257196836</c:v>
                </c:pt>
                <c:pt idx="420">
                  <c:v>3.2912667377977001</c:v>
                </c:pt>
                <c:pt idx="421">
                  <c:v>3.292766513649322</c:v>
                </c:pt>
                <c:pt idx="422">
                  <c:v>3.29740747950428</c:v>
                </c:pt>
                <c:pt idx="423">
                  <c:v>3.3001877797643639</c:v>
                </c:pt>
                <c:pt idx="424">
                  <c:v>3.3071498342133361</c:v>
                </c:pt>
                <c:pt idx="425">
                  <c:v>3.318389821180614</c:v>
                </c:pt>
                <c:pt idx="426">
                  <c:v>3.3287621036152881</c:v>
                </c:pt>
                <c:pt idx="427">
                  <c:v>3.3367428536252501</c:v>
                </c:pt>
                <c:pt idx="428">
                  <c:v>3.3441592941015701</c:v>
                </c:pt>
                <c:pt idx="429">
                  <c:v>3.3565778635889338</c:v>
                </c:pt>
                <c:pt idx="430">
                  <c:v>3.3660105015639799</c:v>
                </c:pt>
                <c:pt idx="431">
                  <c:v>3.373069110325948</c:v>
                </c:pt>
                <c:pt idx="432">
                  <c:v>3.3790050407209837</c:v>
                </c:pt>
                <c:pt idx="433">
                  <c:v>3.3851952811252501</c:v>
                </c:pt>
                <c:pt idx="434">
                  <c:v>3.399474012637242</c:v>
                </c:pt>
                <c:pt idx="435">
                  <c:v>3.4125567192551589</c:v>
                </c:pt>
                <c:pt idx="436">
                  <c:v>3.4195432453677217</c:v>
                </c:pt>
                <c:pt idx="437">
                  <c:v>3.4253236791118882</c:v>
                </c:pt>
                <c:pt idx="438">
                  <c:v>3.4334301510746532</c:v>
                </c:pt>
                <c:pt idx="439">
                  <c:v>3.4336993936047584</c:v>
                </c:pt>
                <c:pt idx="440">
                  <c:v>3.4335530811774406</c:v>
                </c:pt>
                <c:pt idx="441">
                  <c:v>3.4316838549739508</c:v>
                </c:pt>
                <c:pt idx="442">
                  <c:v>3.4297430404257141</c:v>
                </c:pt>
                <c:pt idx="443">
                  <c:v>3.4277730010321559</c:v>
                </c:pt>
                <c:pt idx="444">
                  <c:v>3.4266730133106336</c:v>
                </c:pt>
                <c:pt idx="445">
                  <c:v>3.4282434028414799</c:v>
                </c:pt>
                <c:pt idx="446">
                  <c:v>3.43041697506888</c:v>
                </c:pt>
                <c:pt idx="447">
                  <c:v>3.431358933051774</c:v>
                </c:pt>
                <c:pt idx="448">
                  <c:v>3.4312037003638283</c:v>
                </c:pt>
                <c:pt idx="449">
                  <c:v>3.4325553862818721</c:v>
                </c:pt>
                <c:pt idx="450">
                  <c:v>3.4355992746611279</c:v>
                </c:pt>
                <c:pt idx="451">
                  <c:v>3.438764286470418</c:v>
                </c:pt>
                <c:pt idx="452">
                  <c:v>3.4417132379645161</c:v>
                </c:pt>
                <c:pt idx="453">
                  <c:v>3.4456577898540499</c:v>
                </c:pt>
                <c:pt idx="454">
                  <c:v>3.4507205463885069</c:v>
                </c:pt>
                <c:pt idx="455">
                  <c:v>3.4564662156792711</c:v>
                </c:pt>
                <c:pt idx="456">
                  <c:v>3.4621268230648243</c:v>
                </c:pt>
                <c:pt idx="457">
                  <c:v>3.4684852510895516</c:v>
                </c:pt>
                <c:pt idx="458">
                  <c:v>3.4744667618131864</c:v>
                </c:pt>
                <c:pt idx="459">
                  <c:v>3.481531582475657</c:v>
                </c:pt>
                <c:pt idx="460">
                  <c:v>3.4904898449894128</c:v>
                </c:pt>
                <c:pt idx="461">
                  <c:v>3.4987085690660864</c:v>
                </c:pt>
                <c:pt idx="462">
                  <c:v>3.510479070281018</c:v>
                </c:pt>
                <c:pt idx="463">
                  <c:v>3.5183500616782344</c:v>
                </c:pt>
                <c:pt idx="464">
                  <c:v>3.5253407382234827</c:v>
                </c:pt>
                <c:pt idx="465">
                  <c:v>3.5324091087126597</c:v>
                </c:pt>
                <c:pt idx="466">
                  <c:v>3.5396987260821953</c:v>
                </c:pt>
                <c:pt idx="467">
                  <c:v>3.5448453946961136</c:v>
                </c:pt>
                <c:pt idx="468">
                  <c:v>3.5480861861728918</c:v>
                </c:pt>
                <c:pt idx="469">
                  <c:v>3.5501060544196306</c:v>
                </c:pt>
                <c:pt idx="470">
                  <c:v>3.5518862133038414</c:v>
                </c:pt>
                <c:pt idx="471">
                  <c:v>3.5514767820862225</c:v>
                </c:pt>
                <c:pt idx="472">
                  <c:v>3.5528805165599864</c:v>
                </c:pt>
                <c:pt idx="473">
                  <c:v>3.5509698685002382</c:v>
                </c:pt>
                <c:pt idx="474">
                  <c:v>3.5499775136876561</c:v>
                </c:pt>
                <c:pt idx="475">
                  <c:v>3.5510320665870911</c:v>
                </c:pt>
                <c:pt idx="476">
                  <c:v>3.5506643108713751</c:v>
                </c:pt>
                <c:pt idx="477">
                  <c:v>3.5498514345551349</c:v>
                </c:pt>
                <c:pt idx="478">
                  <c:v>3.5515023859974812</c:v>
                </c:pt>
                <c:pt idx="479">
                  <c:v>3.5516117621287191</c:v>
                </c:pt>
                <c:pt idx="480">
                  <c:v>3.5544603082318784</c:v>
                </c:pt>
                <c:pt idx="481">
                  <c:v>3.5509003396180772</c:v>
                </c:pt>
                <c:pt idx="482">
                  <c:v>3.5438077817531721</c:v>
                </c:pt>
                <c:pt idx="483">
                  <c:v>3.5381241618393258</c:v>
                </c:pt>
                <c:pt idx="484">
                  <c:v>3.5292539037749759</c:v>
                </c:pt>
                <c:pt idx="485">
                  <c:v>3.5203779898427197</c:v>
                </c:pt>
                <c:pt idx="486">
                  <c:v>3.5173887445099803</c:v>
                </c:pt>
                <c:pt idx="487">
                  <c:v>3.5138286308600022</c:v>
                </c:pt>
                <c:pt idx="488">
                  <c:v>3.512367015017456</c:v>
                </c:pt>
                <c:pt idx="489">
                  <c:v>3.5072647154859138</c:v>
                </c:pt>
                <c:pt idx="490">
                  <c:v>3.502316951640962</c:v>
                </c:pt>
                <c:pt idx="491">
                  <c:v>3.4989324350326041</c:v>
                </c:pt>
                <c:pt idx="492">
                  <c:v>3.492134565678672</c:v>
                </c:pt>
                <c:pt idx="493">
                  <c:v>3.4853077706684679</c:v>
                </c:pt>
                <c:pt idx="494">
                  <c:v>3.4779203963613461</c:v>
                </c:pt>
                <c:pt idx="495">
                  <c:v>3.4746245670502183</c:v>
                </c:pt>
                <c:pt idx="496">
                  <c:v>3.4691055466976541</c:v>
                </c:pt>
                <c:pt idx="497">
                  <c:v>3.4665212484952121</c:v>
                </c:pt>
                <c:pt idx="498">
                  <c:v>3.4771369895376139</c:v>
                </c:pt>
                <c:pt idx="499">
                  <c:v>3.4814317977663682</c:v>
                </c:pt>
                <c:pt idx="500">
                  <c:v>3.4822165953725701</c:v>
                </c:pt>
                <c:pt idx="501">
                  <c:v>3.4823721164566099</c:v>
                </c:pt>
                <c:pt idx="502">
                  <c:v>3.4826486303973496</c:v>
                </c:pt>
                <c:pt idx="503">
                  <c:v>3.479959960288642</c:v>
                </c:pt>
                <c:pt idx="504">
                  <c:v>3.4799693083285019</c:v>
                </c:pt>
                <c:pt idx="505">
                  <c:v>3.481295844562724</c:v>
                </c:pt>
                <c:pt idx="506">
                  <c:v>3.476790139425618</c:v>
                </c:pt>
                <c:pt idx="507">
                  <c:v>3.4748514802852082</c:v>
                </c:pt>
                <c:pt idx="508">
                  <c:v>3.4749672462043462</c:v>
                </c:pt>
                <c:pt idx="509">
                  <c:v>3.4767772103422336</c:v>
                </c:pt>
                <c:pt idx="510">
                  <c:v>3.4768908359701043</c:v>
                </c:pt>
                <c:pt idx="511">
                  <c:v>3.4760150957990961</c:v>
                </c:pt>
                <c:pt idx="512">
                  <c:v>3.4763592523101821</c:v>
                </c:pt>
                <c:pt idx="513">
                  <c:v>3.48052365736805</c:v>
                </c:pt>
                <c:pt idx="514">
                  <c:v>3.4837446441189037</c:v>
                </c:pt>
                <c:pt idx="515">
                  <c:v>3.4881038111935316</c:v>
                </c:pt>
                <c:pt idx="516">
                  <c:v>3.4910712490060458</c:v>
                </c:pt>
                <c:pt idx="517">
                  <c:v>3.493398935609668</c:v>
                </c:pt>
                <c:pt idx="518">
                  <c:v>3.4950886103007761</c:v>
                </c:pt>
                <c:pt idx="519">
                  <c:v>3.4981365569397322</c:v>
                </c:pt>
                <c:pt idx="520">
                  <c:v>3.50547713024645</c:v>
                </c:pt>
                <c:pt idx="521">
                  <c:v>3.5152220650778077</c:v>
                </c:pt>
                <c:pt idx="522">
                  <c:v>3.5289880752274256</c:v>
                </c:pt>
                <c:pt idx="523">
                  <c:v>3.5442309455914462</c:v>
                </c:pt>
                <c:pt idx="524">
                  <c:v>3.5600409599740264</c:v>
                </c:pt>
                <c:pt idx="525">
                  <c:v>3.5711166181033001</c:v>
                </c:pt>
                <c:pt idx="526">
                  <c:v>3.5834442516243161</c:v>
                </c:pt>
                <c:pt idx="527">
                  <c:v>3.5980181472217083</c:v>
                </c:pt>
                <c:pt idx="528">
                  <c:v>3.6114763826326759</c:v>
                </c:pt>
                <c:pt idx="529">
                  <c:v>3.6234410721975241</c:v>
                </c:pt>
                <c:pt idx="530">
                  <c:v>3.6351581874529484</c:v>
                </c:pt>
                <c:pt idx="531">
                  <c:v>3.6480183093627381</c:v>
                </c:pt>
                <c:pt idx="532">
                  <c:v>3.6620621023542039</c:v>
                </c:pt>
                <c:pt idx="533">
                  <c:v>3.6808906792754379</c:v>
                </c:pt>
                <c:pt idx="534">
                  <c:v>3.6978366125942195</c:v>
                </c:pt>
                <c:pt idx="535">
                  <c:v>3.7139222297640684</c:v>
                </c:pt>
                <c:pt idx="536">
                  <c:v>3.7323028771375162</c:v>
                </c:pt>
                <c:pt idx="537">
                  <c:v>3.7516016542295976</c:v>
                </c:pt>
                <c:pt idx="538">
                  <c:v>3.7724715695386637</c:v>
                </c:pt>
                <c:pt idx="539">
                  <c:v>3.7941075510674636</c:v>
                </c:pt>
                <c:pt idx="540">
                  <c:v>3.8092008083828985</c:v>
                </c:pt>
                <c:pt idx="541">
                  <c:v>3.8261373178632878</c:v>
                </c:pt>
                <c:pt idx="542">
                  <c:v>3.8411465938863176</c:v>
                </c:pt>
                <c:pt idx="543">
                  <c:v>3.8533437074282477</c:v>
                </c:pt>
                <c:pt idx="544">
                  <c:v>3.864590528782176</c:v>
                </c:pt>
                <c:pt idx="545">
                  <c:v>3.8796706908337502</c:v>
                </c:pt>
                <c:pt idx="546">
                  <c:v>3.8935347796696163</c:v>
                </c:pt>
                <c:pt idx="547">
                  <c:v>3.9126644635222356</c:v>
                </c:pt>
                <c:pt idx="548">
                  <c:v>3.9231435444744163</c:v>
                </c:pt>
                <c:pt idx="549">
                  <c:v>3.9342130141949538</c:v>
                </c:pt>
                <c:pt idx="550">
                  <c:v>3.9540615942006778</c:v>
                </c:pt>
                <c:pt idx="551">
                  <c:v>3.9662575981270565</c:v>
                </c:pt>
                <c:pt idx="552">
                  <c:v>3.9821982982938664</c:v>
                </c:pt>
                <c:pt idx="553">
                  <c:v>3.9973719386201703</c:v>
                </c:pt>
                <c:pt idx="554">
                  <c:v>4.0122839575677736</c:v>
                </c:pt>
                <c:pt idx="555">
                  <c:v>4.0333734202262423</c:v>
                </c:pt>
                <c:pt idx="556">
                  <c:v>4.0389199172458685</c:v>
                </c:pt>
                <c:pt idx="557">
                  <c:v>4.0446254792025806</c:v>
                </c:pt>
                <c:pt idx="558">
                  <c:v>4.0511243100962346</c:v>
                </c:pt>
                <c:pt idx="559">
                  <c:v>4.0533936468719149</c:v>
                </c:pt>
                <c:pt idx="560">
                  <c:v>4.0557079722972125</c:v>
                </c:pt>
                <c:pt idx="561">
                  <c:v>4.0609465880696671</c:v>
                </c:pt>
                <c:pt idx="562">
                  <c:v>4.0652331240014687</c:v>
                </c:pt>
                <c:pt idx="563">
                  <c:v>4.0689477649622168</c:v>
                </c:pt>
                <c:pt idx="564">
                  <c:v>4.0686747175939129</c:v>
                </c:pt>
                <c:pt idx="565">
                  <c:v>4.0683956313232237</c:v>
                </c:pt>
                <c:pt idx="566">
                  <c:v>4.0660563124565989</c:v>
                </c:pt>
                <c:pt idx="567">
                  <c:v>4.0624653248564755</c:v>
                </c:pt>
                <c:pt idx="568">
                  <c:v>4.0623508780899957</c:v>
                </c:pt>
                <c:pt idx="569">
                  <c:v>4.0603464242556422</c:v>
                </c:pt>
                <c:pt idx="570">
                  <c:v>4.0617337845424402</c:v>
                </c:pt>
                <c:pt idx="571">
                  <c:v>4.0608605571357854</c:v>
                </c:pt>
                <c:pt idx="572">
                  <c:v>4.0590863000799597</c:v>
                </c:pt>
                <c:pt idx="573">
                  <c:v>4.0563154620964568</c:v>
                </c:pt>
                <c:pt idx="574">
                  <c:v>4.0519116532167549</c:v>
                </c:pt>
                <c:pt idx="575">
                  <c:v>4.0462634934074728</c:v>
                </c:pt>
                <c:pt idx="576">
                  <c:v>4.0372210105189774</c:v>
                </c:pt>
                <c:pt idx="577">
                  <c:v>4.0325851155961594</c:v>
                </c:pt>
                <c:pt idx="578">
                  <c:v>4.0318556275402671</c:v>
                </c:pt>
                <c:pt idx="579">
                  <c:v>4.0297541175697882</c:v>
                </c:pt>
                <c:pt idx="580">
                  <c:v>4.0285717772153138</c:v>
                </c:pt>
                <c:pt idx="581">
                  <c:v>4.0301445660282331</c:v>
                </c:pt>
                <c:pt idx="582">
                  <c:v>4.0294829080317154</c:v>
                </c:pt>
                <c:pt idx="583">
                  <c:v>4.0260057924208246</c:v>
                </c:pt>
                <c:pt idx="584">
                  <c:v>4.0250718529327889</c:v>
                </c:pt>
                <c:pt idx="585">
                  <c:v>4.0250313437534881</c:v>
                </c:pt>
                <c:pt idx="586">
                  <c:v>4.0261153468049287</c:v>
                </c:pt>
                <c:pt idx="587">
                  <c:v>4.0253621801620207</c:v>
                </c:pt>
                <c:pt idx="588">
                  <c:v>4.0243436214644284</c:v>
                </c:pt>
                <c:pt idx="589">
                  <c:v>4.024541330879333</c:v>
                </c:pt>
                <c:pt idx="590">
                  <c:v>4.0251080316810297</c:v>
                </c:pt>
                <c:pt idx="591">
                  <c:v>4.0228830649589238</c:v>
                </c:pt>
                <c:pt idx="592">
                  <c:v>4.0235941920738512</c:v>
                </c:pt>
                <c:pt idx="593">
                  <c:v>4.0252701235281707</c:v>
                </c:pt>
                <c:pt idx="594">
                  <c:v>4.026130919286671</c:v>
                </c:pt>
                <c:pt idx="595">
                  <c:v>4.0271074900314696</c:v>
                </c:pt>
                <c:pt idx="596">
                  <c:v>4.0284850486221249</c:v>
                </c:pt>
                <c:pt idx="597">
                  <c:v>4.028532123704867</c:v>
                </c:pt>
                <c:pt idx="598">
                  <c:v>4.0309441042339795</c:v>
                </c:pt>
                <c:pt idx="599">
                  <c:v>4.0316732327977194</c:v>
                </c:pt>
                <c:pt idx="600">
                  <c:v>4.0316123971288675</c:v>
                </c:pt>
                <c:pt idx="601">
                  <c:v>4.0287249042145756</c:v>
                </c:pt>
                <c:pt idx="602">
                  <c:v>4.024494834611577</c:v>
                </c:pt>
                <c:pt idx="603">
                  <c:v>4.020601300046776</c:v>
                </c:pt>
                <c:pt idx="604">
                  <c:v>4.0196796126259704</c:v>
                </c:pt>
                <c:pt idx="605">
                  <c:v>4.0126024178391093</c:v>
                </c:pt>
                <c:pt idx="606">
                  <c:v>4.0091459768441959</c:v>
                </c:pt>
                <c:pt idx="607">
                  <c:v>4.0068163178104417</c:v>
                </c:pt>
                <c:pt idx="608">
                  <c:v>3.9993951369989911</c:v>
                </c:pt>
                <c:pt idx="609">
                  <c:v>3.9963772543635314</c:v>
                </c:pt>
                <c:pt idx="610">
                  <c:v>3.9916733717519923</c:v>
                </c:pt>
                <c:pt idx="611">
                  <c:v>3.9872098008311179</c:v>
                </c:pt>
                <c:pt idx="612">
                  <c:v>3.979683869591212</c:v>
                </c:pt>
                <c:pt idx="613">
                  <c:v>3.9693601672036776</c:v>
                </c:pt>
                <c:pt idx="614">
                  <c:v>3.9586618044700099</c:v>
                </c:pt>
                <c:pt idx="615">
                  <c:v>3.9502829285363439</c:v>
                </c:pt>
                <c:pt idx="616">
                  <c:v>3.9435903648514263</c:v>
                </c:pt>
                <c:pt idx="617">
                  <c:v>3.9390206777715657</c:v>
                </c:pt>
                <c:pt idx="618">
                  <c:v>3.93421535748596</c:v>
                </c:pt>
                <c:pt idx="619">
                  <c:v>3.9275422725602995</c:v>
                </c:pt>
                <c:pt idx="620">
                  <c:v>3.9194922015249141</c:v>
                </c:pt>
                <c:pt idx="621">
                  <c:v>3.9154197758863818</c:v>
                </c:pt>
                <c:pt idx="622">
                  <c:v>3.9078845703162783</c:v>
                </c:pt>
                <c:pt idx="623">
                  <c:v>3.9126073107586801</c:v>
                </c:pt>
                <c:pt idx="624">
                  <c:v>3.9163562990271714</c:v>
                </c:pt>
                <c:pt idx="625">
                  <c:v>3.9184259924230798</c:v>
                </c:pt>
                <c:pt idx="626">
                  <c:v>3.9233540764025658</c:v>
                </c:pt>
                <c:pt idx="627">
                  <c:v>3.9259144641271559</c:v>
                </c:pt>
                <c:pt idx="628">
                  <c:v>3.9295819371864797</c:v>
                </c:pt>
                <c:pt idx="629">
                  <c:v>3.9301904504863043</c:v>
                </c:pt>
                <c:pt idx="630">
                  <c:v>3.9345296892394144</c:v>
                </c:pt>
                <c:pt idx="631">
                  <c:v>3.9360636362468897</c:v>
                </c:pt>
                <c:pt idx="632">
                  <c:v>3.9357117802806956</c:v>
                </c:pt>
                <c:pt idx="633">
                  <c:v>3.9356499116174279</c:v>
                </c:pt>
                <c:pt idx="634">
                  <c:v>3.9369297044881102</c:v>
                </c:pt>
                <c:pt idx="635">
                  <c:v>3.9396799611869118</c:v>
                </c:pt>
                <c:pt idx="636">
                  <c:v>3.9440420532325482</c:v>
                </c:pt>
                <c:pt idx="637">
                  <c:v>3.9485733369979257</c:v>
                </c:pt>
                <c:pt idx="638">
                  <c:v>3.9544312731207136</c:v>
                </c:pt>
                <c:pt idx="639">
                  <c:v>3.9606777407218599</c:v>
                </c:pt>
                <c:pt idx="640">
                  <c:v>3.9651588983251775</c:v>
                </c:pt>
                <c:pt idx="641">
                  <c:v>3.9727174231655336</c:v>
                </c:pt>
                <c:pt idx="642">
                  <c:v>3.9808996205916221</c:v>
                </c:pt>
                <c:pt idx="643">
                  <c:v>3.9862695862686062</c:v>
                </c:pt>
                <c:pt idx="644">
                  <c:v>3.9941825115115344</c:v>
                </c:pt>
                <c:pt idx="645">
                  <c:v>3.9994437658752355</c:v>
                </c:pt>
                <c:pt idx="646">
                  <c:v>4.0060315796674315</c:v>
                </c:pt>
                <c:pt idx="647">
                  <c:v>4.0131893748069363</c:v>
                </c:pt>
                <c:pt idx="648">
                  <c:v>4.0223779993470501</c:v>
                </c:pt>
                <c:pt idx="649">
                  <c:v>4.0336520162116321</c:v>
                </c:pt>
                <c:pt idx="650">
                  <c:v>4.0467797821023037</c:v>
                </c:pt>
                <c:pt idx="651">
                  <c:v>4.0638775670549956</c:v>
                </c:pt>
                <c:pt idx="652">
                  <c:v>4.0772762882432083</c:v>
                </c:pt>
                <c:pt idx="653">
                  <c:v>4.0853124481246752</c:v>
                </c:pt>
                <c:pt idx="654">
                  <c:v>4.0967584623054387</c:v>
                </c:pt>
                <c:pt idx="655">
                  <c:v>4.1067253900887275</c:v>
                </c:pt>
                <c:pt idx="656">
                  <c:v>4.1161322363112891</c:v>
                </c:pt>
                <c:pt idx="657">
                  <c:v>4.1280314820894839</c:v>
                </c:pt>
                <c:pt idx="658">
                  <c:v>4.1435880318140859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</c:numCache>
            </c:numRef>
          </c:val>
        </c:ser>
        <c:ser>
          <c:idx val="3"/>
          <c:order val="3"/>
          <c:tx>
            <c:strRef>
              <c:f>グラフ!$G$41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19050">
              <a:solidFill>
                <a:schemeClr val="accent4">
                  <a:lumMod val="40000"/>
                  <a:lumOff val="60000"/>
                  <a:alpha val="86000"/>
                </a:schemeClr>
              </a:solidFill>
            </a:ln>
          </c:spPr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43795</c:v>
                </c:pt>
                <c:pt idx="1">
                  <c:v>43794</c:v>
                </c:pt>
                <c:pt idx="2">
                  <c:v>43791</c:v>
                </c:pt>
                <c:pt idx="3">
                  <c:v>43790</c:v>
                </c:pt>
                <c:pt idx="4">
                  <c:v>43789</c:v>
                </c:pt>
                <c:pt idx="5">
                  <c:v>43788</c:v>
                </c:pt>
                <c:pt idx="6">
                  <c:v>43787</c:v>
                </c:pt>
                <c:pt idx="7">
                  <c:v>43784</c:v>
                </c:pt>
                <c:pt idx="8">
                  <c:v>43783</c:v>
                </c:pt>
                <c:pt idx="9">
                  <c:v>43782</c:v>
                </c:pt>
                <c:pt idx="10">
                  <c:v>43781</c:v>
                </c:pt>
                <c:pt idx="11">
                  <c:v>43780</c:v>
                </c:pt>
                <c:pt idx="12">
                  <c:v>43777</c:v>
                </c:pt>
                <c:pt idx="13">
                  <c:v>43776</c:v>
                </c:pt>
                <c:pt idx="14">
                  <c:v>43775</c:v>
                </c:pt>
                <c:pt idx="15">
                  <c:v>43774</c:v>
                </c:pt>
                <c:pt idx="16">
                  <c:v>43770</c:v>
                </c:pt>
                <c:pt idx="17">
                  <c:v>43769</c:v>
                </c:pt>
                <c:pt idx="18">
                  <c:v>43768</c:v>
                </c:pt>
                <c:pt idx="19">
                  <c:v>43767</c:v>
                </c:pt>
                <c:pt idx="20">
                  <c:v>43766</c:v>
                </c:pt>
                <c:pt idx="21">
                  <c:v>43763</c:v>
                </c:pt>
                <c:pt idx="22">
                  <c:v>43762</c:v>
                </c:pt>
                <c:pt idx="23">
                  <c:v>43761</c:v>
                </c:pt>
                <c:pt idx="24">
                  <c:v>43759</c:v>
                </c:pt>
                <c:pt idx="25">
                  <c:v>43756</c:v>
                </c:pt>
                <c:pt idx="26">
                  <c:v>43755</c:v>
                </c:pt>
                <c:pt idx="27">
                  <c:v>43754</c:v>
                </c:pt>
                <c:pt idx="28">
                  <c:v>43753</c:v>
                </c:pt>
                <c:pt idx="29">
                  <c:v>43749</c:v>
                </c:pt>
                <c:pt idx="30">
                  <c:v>43748</c:v>
                </c:pt>
                <c:pt idx="31">
                  <c:v>43747</c:v>
                </c:pt>
                <c:pt idx="32">
                  <c:v>43746</c:v>
                </c:pt>
                <c:pt idx="33">
                  <c:v>43745</c:v>
                </c:pt>
                <c:pt idx="34">
                  <c:v>43742</c:v>
                </c:pt>
                <c:pt idx="35">
                  <c:v>43741</c:v>
                </c:pt>
                <c:pt idx="36">
                  <c:v>43740</c:v>
                </c:pt>
                <c:pt idx="37">
                  <c:v>43739</c:v>
                </c:pt>
                <c:pt idx="38">
                  <c:v>43738</c:v>
                </c:pt>
                <c:pt idx="39">
                  <c:v>43735</c:v>
                </c:pt>
                <c:pt idx="40">
                  <c:v>43734</c:v>
                </c:pt>
                <c:pt idx="41">
                  <c:v>43733</c:v>
                </c:pt>
                <c:pt idx="42">
                  <c:v>43732</c:v>
                </c:pt>
                <c:pt idx="43">
                  <c:v>43728</c:v>
                </c:pt>
                <c:pt idx="44">
                  <c:v>43727</c:v>
                </c:pt>
                <c:pt idx="45">
                  <c:v>43726</c:v>
                </c:pt>
                <c:pt idx="46">
                  <c:v>43725</c:v>
                </c:pt>
                <c:pt idx="47">
                  <c:v>43721</c:v>
                </c:pt>
                <c:pt idx="48">
                  <c:v>43720</c:v>
                </c:pt>
                <c:pt idx="49">
                  <c:v>43719</c:v>
                </c:pt>
                <c:pt idx="50">
                  <c:v>43718</c:v>
                </c:pt>
                <c:pt idx="51">
                  <c:v>43717</c:v>
                </c:pt>
                <c:pt idx="52">
                  <c:v>43714</c:v>
                </c:pt>
                <c:pt idx="53">
                  <c:v>43713</c:v>
                </c:pt>
                <c:pt idx="54">
                  <c:v>43712</c:v>
                </c:pt>
                <c:pt idx="55">
                  <c:v>43711</c:v>
                </c:pt>
                <c:pt idx="56">
                  <c:v>43710</c:v>
                </c:pt>
                <c:pt idx="57">
                  <c:v>43707</c:v>
                </c:pt>
                <c:pt idx="58">
                  <c:v>43706</c:v>
                </c:pt>
                <c:pt idx="59">
                  <c:v>43705</c:v>
                </c:pt>
                <c:pt idx="60">
                  <c:v>43704</c:v>
                </c:pt>
                <c:pt idx="61">
                  <c:v>43703</c:v>
                </c:pt>
                <c:pt idx="62">
                  <c:v>43700</c:v>
                </c:pt>
                <c:pt idx="63">
                  <c:v>43699</c:v>
                </c:pt>
                <c:pt idx="64">
                  <c:v>43698</c:v>
                </c:pt>
                <c:pt idx="65">
                  <c:v>43697</c:v>
                </c:pt>
                <c:pt idx="66">
                  <c:v>43696</c:v>
                </c:pt>
                <c:pt idx="67">
                  <c:v>43693</c:v>
                </c:pt>
                <c:pt idx="68">
                  <c:v>43692</c:v>
                </c:pt>
                <c:pt idx="69">
                  <c:v>43691</c:v>
                </c:pt>
                <c:pt idx="70">
                  <c:v>43690</c:v>
                </c:pt>
                <c:pt idx="71">
                  <c:v>43686</c:v>
                </c:pt>
                <c:pt idx="72">
                  <c:v>43685</c:v>
                </c:pt>
                <c:pt idx="73">
                  <c:v>43684</c:v>
                </c:pt>
                <c:pt idx="74">
                  <c:v>43683</c:v>
                </c:pt>
                <c:pt idx="75">
                  <c:v>43682</c:v>
                </c:pt>
                <c:pt idx="76">
                  <c:v>43679</c:v>
                </c:pt>
                <c:pt idx="77">
                  <c:v>43678</c:v>
                </c:pt>
                <c:pt idx="78">
                  <c:v>43677</c:v>
                </c:pt>
                <c:pt idx="79">
                  <c:v>43676</c:v>
                </c:pt>
                <c:pt idx="80">
                  <c:v>43675</c:v>
                </c:pt>
                <c:pt idx="81">
                  <c:v>43672</c:v>
                </c:pt>
                <c:pt idx="82">
                  <c:v>43671</c:v>
                </c:pt>
                <c:pt idx="83">
                  <c:v>43670</c:v>
                </c:pt>
                <c:pt idx="84">
                  <c:v>43669</c:v>
                </c:pt>
                <c:pt idx="85">
                  <c:v>43668</c:v>
                </c:pt>
                <c:pt idx="86">
                  <c:v>43665</c:v>
                </c:pt>
                <c:pt idx="87">
                  <c:v>43664</c:v>
                </c:pt>
                <c:pt idx="88">
                  <c:v>43663</c:v>
                </c:pt>
                <c:pt idx="89">
                  <c:v>43662</c:v>
                </c:pt>
                <c:pt idx="90">
                  <c:v>43658</c:v>
                </c:pt>
                <c:pt idx="91">
                  <c:v>43657</c:v>
                </c:pt>
                <c:pt idx="92">
                  <c:v>43656</c:v>
                </c:pt>
                <c:pt idx="93">
                  <c:v>43655</c:v>
                </c:pt>
                <c:pt idx="94">
                  <c:v>43654</c:v>
                </c:pt>
                <c:pt idx="95">
                  <c:v>43651</c:v>
                </c:pt>
                <c:pt idx="96">
                  <c:v>43650</c:v>
                </c:pt>
                <c:pt idx="97">
                  <c:v>43649</c:v>
                </c:pt>
                <c:pt idx="98">
                  <c:v>43648</c:v>
                </c:pt>
                <c:pt idx="99">
                  <c:v>43647</c:v>
                </c:pt>
                <c:pt idx="100">
                  <c:v>43644</c:v>
                </c:pt>
                <c:pt idx="101">
                  <c:v>43643</c:v>
                </c:pt>
                <c:pt idx="102">
                  <c:v>43642</c:v>
                </c:pt>
                <c:pt idx="103">
                  <c:v>43641</c:v>
                </c:pt>
                <c:pt idx="104">
                  <c:v>43640</c:v>
                </c:pt>
                <c:pt idx="105">
                  <c:v>43637</c:v>
                </c:pt>
                <c:pt idx="106">
                  <c:v>43636</c:v>
                </c:pt>
                <c:pt idx="107">
                  <c:v>43635</c:v>
                </c:pt>
                <c:pt idx="108">
                  <c:v>43634</c:v>
                </c:pt>
                <c:pt idx="109">
                  <c:v>43633</c:v>
                </c:pt>
                <c:pt idx="110">
                  <c:v>43630</c:v>
                </c:pt>
                <c:pt idx="111">
                  <c:v>43629</c:v>
                </c:pt>
                <c:pt idx="112">
                  <c:v>43628</c:v>
                </c:pt>
                <c:pt idx="113">
                  <c:v>43627</c:v>
                </c:pt>
                <c:pt idx="114">
                  <c:v>43626</c:v>
                </c:pt>
                <c:pt idx="115">
                  <c:v>43623</c:v>
                </c:pt>
                <c:pt idx="116">
                  <c:v>43622</c:v>
                </c:pt>
                <c:pt idx="117">
                  <c:v>43621</c:v>
                </c:pt>
                <c:pt idx="118">
                  <c:v>43620</c:v>
                </c:pt>
                <c:pt idx="119">
                  <c:v>43619</c:v>
                </c:pt>
                <c:pt idx="120">
                  <c:v>43616</c:v>
                </c:pt>
                <c:pt idx="121">
                  <c:v>43615</c:v>
                </c:pt>
                <c:pt idx="122">
                  <c:v>43614</c:v>
                </c:pt>
                <c:pt idx="123">
                  <c:v>43613</c:v>
                </c:pt>
                <c:pt idx="124">
                  <c:v>43612</c:v>
                </c:pt>
                <c:pt idx="125">
                  <c:v>43609</c:v>
                </c:pt>
                <c:pt idx="126">
                  <c:v>43608</c:v>
                </c:pt>
                <c:pt idx="127">
                  <c:v>43607</c:v>
                </c:pt>
                <c:pt idx="128">
                  <c:v>43606</c:v>
                </c:pt>
                <c:pt idx="129">
                  <c:v>43605</c:v>
                </c:pt>
                <c:pt idx="130">
                  <c:v>43602</c:v>
                </c:pt>
                <c:pt idx="131">
                  <c:v>43601</c:v>
                </c:pt>
                <c:pt idx="132">
                  <c:v>43600</c:v>
                </c:pt>
                <c:pt idx="133">
                  <c:v>43599</c:v>
                </c:pt>
                <c:pt idx="134">
                  <c:v>43598</c:v>
                </c:pt>
                <c:pt idx="135">
                  <c:v>43595</c:v>
                </c:pt>
                <c:pt idx="136">
                  <c:v>43594</c:v>
                </c:pt>
                <c:pt idx="137">
                  <c:v>43593</c:v>
                </c:pt>
                <c:pt idx="138">
                  <c:v>43592</c:v>
                </c:pt>
                <c:pt idx="139">
                  <c:v>43581</c:v>
                </c:pt>
                <c:pt idx="140">
                  <c:v>43580</c:v>
                </c:pt>
                <c:pt idx="141">
                  <c:v>43579</c:v>
                </c:pt>
                <c:pt idx="142">
                  <c:v>43578</c:v>
                </c:pt>
                <c:pt idx="143">
                  <c:v>43577</c:v>
                </c:pt>
                <c:pt idx="144">
                  <c:v>43574</c:v>
                </c:pt>
                <c:pt idx="145">
                  <c:v>43573</c:v>
                </c:pt>
                <c:pt idx="146">
                  <c:v>43572</c:v>
                </c:pt>
                <c:pt idx="147">
                  <c:v>43571</c:v>
                </c:pt>
                <c:pt idx="148">
                  <c:v>43570</c:v>
                </c:pt>
                <c:pt idx="149">
                  <c:v>43567</c:v>
                </c:pt>
                <c:pt idx="150">
                  <c:v>43566</c:v>
                </c:pt>
                <c:pt idx="151">
                  <c:v>43565</c:v>
                </c:pt>
                <c:pt idx="152">
                  <c:v>43564</c:v>
                </c:pt>
                <c:pt idx="153">
                  <c:v>43563</c:v>
                </c:pt>
                <c:pt idx="154">
                  <c:v>43560</c:v>
                </c:pt>
                <c:pt idx="155">
                  <c:v>43559</c:v>
                </c:pt>
                <c:pt idx="156">
                  <c:v>43558</c:v>
                </c:pt>
                <c:pt idx="157">
                  <c:v>43557</c:v>
                </c:pt>
                <c:pt idx="158">
                  <c:v>43556</c:v>
                </c:pt>
                <c:pt idx="159">
                  <c:v>43553</c:v>
                </c:pt>
                <c:pt idx="160">
                  <c:v>43552</c:v>
                </c:pt>
                <c:pt idx="161">
                  <c:v>43551</c:v>
                </c:pt>
                <c:pt idx="162">
                  <c:v>43550</c:v>
                </c:pt>
                <c:pt idx="163">
                  <c:v>43549</c:v>
                </c:pt>
                <c:pt idx="164">
                  <c:v>43546</c:v>
                </c:pt>
                <c:pt idx="165">
                  <c:v>43544</c:v>
                </c:pt>
                <c:pt idx="166">
                  <c:v>43543</c:v>
                </c:pt>
                <c:pt idx="167">
                  <c:v>43542</c:v>
                </c:pt>
                <c:pt idx="168">
                  <c:v>43539</c:v>
                </c:pt>
                <c:pt idx="169">
                  <c:v>43538</c:v>
                </c:pt>
                <c:pt idx="170">
                  <c:v>43537</c:v>
                </c:pt>
                <c:pt idx="171">
                  <c:v>43536</c:v>
                </c:pt>
                <c:pt idx="172">
                  <c:v>43535</c:v>
                </c:pt>
                <c:pt idx="173">
                  <c:v>43532</c:v>
                </c:pt>
                <c:pt idx="174">
                  <c:v>43531</c:v>
                </c:pt>
                <c:pt idx="175">
                  <c:v>43530</c:v>
                </c:pt>
                <c:pt idx="176">
                  <c:v>43529</c:v>
                </c:pt>
                <c:pt idx="177">
                  <c:v>43528</c:v>
                </c:pt>
                <c:pt idx="178">
                  <c:v>43525</c:v>
                </c:pt>
                <c:pt idx="179">
                  <c:v>43524</c:v>
                </c:pt>
                <c:pt idx="180">
                  <c:v>43523</c:v>
                </c:pt>
                <c:pt idx="181">
                  <c:v>43522</c:v>
                </c:pt>
                <c:pt idx="182">
                  <c:v>43521</c:v>
                </c:pt>
                <c:pt idx="183">
                  <c:v>43518</c:v>
                </c:pt>
                <c:pt idx="184">
                  <c:v>43517</c:v>
                </c:pt>
                <c:pt idx="185">
                  <c:v>43516</c:v>
                </c:pt>
                <c:pt idx="186">
                  <c:v>43515</c:v>
                </c:pt>
                <c:pt idx="187">
                  <c:v>43514</c:v>
                </c:pt>
                <c:pt idx="188">
                  <c:v>43511</c:v>
                </c:pt>
                <c:pt idx="189">
                  <c:v>43510</c:v>
                </c:pt>
                <c:pt idx="190">
                  <c:v>43509</c:v>
                </c:pt>
                <c:pt idx="191">
                  <c:v>43508</c:v>
                </c:pt>
                <c:pt idx="192">
                  <c:v>43504</c:v>
                </c:pt>
                <c:pt idx="193">
                  <c:v>43503</c:v>
                </c:pt>
                <c:pt idx="194">
                  <c:v>43502</c:v>
                </c:pt>
                <c:pt idx="195">
                  <c:v>43501</c:v>
                </c:pt>
                <c:pt idx="196">
                  <c:v>43500</c:v>
                </c:pt>
                <c:pt idx="197">
                  <c:v>43497</c:v>
                </c:pt>
                <c:pt idx="198">
                  <c:v>43496</c:v>
                </c:pt>
                <c:pt idx="199">
                  <c:v>43495</c:v>
                </c:pt>
                <c:pt idx="200">
                  <c:v>43494</c:v>
                </c:pt>
                <c:pt idx="201">
                  <c:v>43493</c:v>
                </c:pt>
                <c:pt idx="202">
                  <c:v>43490</c:v>
                </c:pt>
                <c:pt idx="203">
                  <c:v>43489</c:v>
                </c:pt>
                <c:pt idx="204">
                  <c:v>43488</c:v>
                </c:pt>
                <c:pt idx="205">
                  <c:v>43487</c:v>
                </c:pt>
                <c:pt idx="206">
                  <c:v>43486</c:v>
                </c:pt>
                <c:pt idx="207">
                  <c:v>43483</c:v>
                </c:pt>
                <c:pt idx="208">
                  <c:v>43482</c:v>
                </c:pt>
                <c:pt idx="209">
                  <c:v>43481</c:v>
                </c:pt>
                <c:pt idx="210">
                  <c:v>43480</c:v>
                </c:pt>
                <c:pt idx="211">
                  <c:v>43476</c:v>
                </c:pt>
                <c:pt idx="212">
                  <c:v>43475</c:v>
                </c:pt>
                <c:pt idx="213">
                  <c:v>43474</c:v>
                </c:pt>
                <c:pt idx="214">
                  <c:v>43473</c:v>
                </c:pt>
                <c:pt idx="215">
                  <c:v>43472</c:v>
                </c:pt>
                <c:pt idx="216">
                  <c:v>43469</c:v>
                </c:pt>
                <c:pt idx="217">
                  <c:v>43462</c:v>
                </c:pt>
                <c:pt idx="218">
                  <c:v>43461</c:v>
                </c:pt>
                <c:pt idx="219">
                  <c:v>43460</c:v>
                </c:pt>
                <c:pt idx="220">
                  <c:v>43459</c:v>
                </c:pt>
                <c:pt idx="221">
                  <c:v>43455</c:v>
                </c:pt>
                <c:pt idx="222">
                  <c:v>43454</c:v>
                </c:pt>
                <c:pt idx="223">
                  <c:v>43453</c:v>
                </c:pt>
                <c:pt idx="224">
                  <c:v>43452</c:v>
                </c:pt>
                <c:pt idx="225">
                  <c:v>43451</c:v>
                </c:pt>
                <c:pt idx="226">
                  <c:v>43448</c:v>
                </c:pt>
                <c:pt idx="227">
                  <c:v>43447</c:v>
                </c:pt>
                <c:pt idx="228">
                  <c:v>43446</c:v>
                </c:pt>
                <c:pt idx="229">
                  <c:v>43445</c:v>
                </c:pt>
                <c:pt idx="230">
                  <c:v>43444</c:v>
                </c:pt>
                <c:pt idx="231">
                  <c:v>43441</c:v>
                </c:pt>
                <c:pt idx="232">
                  <c:v>43440</c:v>
                </c:pt>
                <c:pt idx="233">
                  <c:v>43439</c:v>
                </c:pt>
                <c:pt idx="234">
                  <c:v>43438</c:v>
                </c:pt>
                <c:pt idx="235">
                  <c:v>43437</c:v>
                </c:pt>
                <c:pt idx="236">
                  <c:v>43434</c:v>
                </c:pt>
                <c:pt idx="237">
                  <c:v>43433</c:v>
                </c:pt>
                <c:pt idx="238">
                  <c:v>43432</c:v>
                </c:pt>
                <c:pt idx="239">
                  <c:v>43431</c:v>
                </c:pt>
                <c:pt idx="240">
                  <c:v>43430</c:v>
                </c:pt>
                <c:pt idx="241">
                  <c:v>43426</c:v>
                </c:pt>
                <c:pt idx="242">
                  <c:v>43425</c:v>
                </c:pt>
                <c:pt idx="243">
                  <c:v>43424</c:v>
                </c:pt>
                <c:pt idx="244">
                  <c:v>43423</c:v>
                </c:pt>
                <c:pt idx="245">
                  <c:v>43420</c:v>
                </c:pt>
                <c:pt idx="246">
                  <c:v>43419</c:v>
                </c:pt>
                <c:pt idx="247">
                  <c:v>43418</c:v>
                </c:pt>
                <c:pt idx="248">
                  <c:v>43417</c:v>
                </c:pt>
                <c:pt idx="249">
                  <c:v>43416</c:v>
                </c:pt>
                <c:pt idx="250">
                  <c:v>43413</c:v>
                </c:pt>
                <c:pt idx="251">
                  <c:v>43412</c:v>
                </c:pt>
                <c:pt idx="252">
                  <c:v>43411</c:v>
                </c:pt>
                <c:pt idx="253">
                  <c:v>43410</c:v>
                </c:pt>
                <c:pt idx="254">
                  <c:v>43409</c:v>
                </c:pt>
                <c:pt idx="255">
                  <c:v>43406</c:v>
                </c:pt>
                <c:pt idx="256">
                  <c:v>43405</c:v>
                </c:pt>
                <c:pt idx="257">
                  <c:v>43404</c:v>
                </c:pt>
                <c:pt idx="258">
                  <c:v>43403</c:v>
                </c:pt>
                <c:pt idx="259">
                  <c:v>43402</c:v>
                </c:pt>
                <c:pt idx="260">
                  <c:v>43399</c:v>
                </c:pt>
                <c:pt idx="261">
                  <c:v>43398</c:v>
                </c:pt>
                <c:pt idx="262">
                  <c:v>43397</c:v>
                </c:pt>
                <c:pt idx="263">
                  <c:v>43396</c:v>
                </c:pt>
                <c:pt idx="264">
                  <c:v>43395</c:v>
                </c:pt>
                <c:pt idx="265">
                  <c:v>43392</c:v>
                </c:pt>
                <c:pt idx="266">
                  <c:v>43391</c:v>
                </c:pt>
                <c:pt idx="267">
                  <c:v>43390</c:v>
                </c:pt>
                <c:pt idx="268">
                  <c:v>43389</c:v>
                </c:pt>
                <c:pt idx="269">
                  <c:v>43388</c:v>
                </c:pt>
                <c:pt idx="270">
                  <c:v>43385</c:v>
                </c:pt>
                <c:pt idx="271">
                  <c:v>43384</c:v>
                </c:pt>
                <c:pt idx="272">
                  <c:v>43383</c:v>
                </c:pt>
                <c:pt idx="273">
                  <c:v>43382</c:v>
                </c:pt>
                <c:pt idx="274">
                  <c:v>43378</c:v>
                </c:pt>
                <c:pt idx="275">
                  <c:v>43377</c:v>
                </c:pt>
                <c:pt idx="276">
                  <c:v>43376</c:v>
                </c:pt>
                <c:pt idx="277">
                  <c:v>43375</c:v>
                </c:pt>
                <c:pt idx="278">
                  <c:v>43374</c:v>
                </c:pt>
                <c:pt idx="279">
                  <c:v>43371</c:v>
                </c:pt>
                <c:pt idx="280">
                  <c:v>43370</c:v>
                </c:pt>
                <c:pt idx="281">
                  <c:v>43369</c:v>
                </c:pt>
                <c:pt idx="282">
                  <c:v>43368</c:v>
                </c:pt>
                <c:pt idx="283">
                  <c:v>43364</c:v>
                </c:pt>
                <c:pt idx="284">
                  <c:v>43363</c:v>
                </c:pt>
                <c:pt idx="285">
                  <c:v>43362</c:v>
                </c:pt>
                <c:pt idx="286">
                  <c:v>43361</c:v>
                </c:pt>
                <c:pt idx="287">
                  <c:v>43357</c:v>
                </c:pt>
                <c:pt idx="288">
                  <c:v>43356</c:v>
                </c:pt>
                <c:pt idx="289">
                  <c:v>43355</c:v>
                </c:pt>
                <c:pt idx="290">
                  <c:v>43354</c:v>
                </c:pt>
                <c:pt idx="291">
                  <c:v>43353</c:v>
                </c:pt>
                <c:pt idx="292">
                  <c:v>43350</c:v>
                </c:pt>
                <c:pt idx="293">
                  <c:v>43349</c:v>
                </c:pt>
                <c:pt idx="294">
                  <c:v>43348</c:v>
                </c:pt>
                <c:pt idx="295">
                  <c:v>43347</c:v>
                </c:pt>
                <c:pt idx="296">
                  <c:v>43346</c:v>
                </c:pt>
                <c:pt idx="297">
                  <c:v>43343</c:v>
                </c:pt>
                <c:pt idx="298">
                  <c:v>43342</c:v>
                </c:pt>
                <c:pt idx="299">
                  <c:v>43341</c:v>
                </c:pt>
                <c:pt idx="300">
                  <c:v>43340</c:v>
                </c:pt>
                <c:pt idx="301">
                  <c:v>43339</c:v>
                </c:pt>
                <c:pt idx="302">
                  <c:v>43336</c:v>
                </c:pt>
                <c:pt idx="303">
                  <c:v>43335</c:v>
                </c:pt>
                <c:pt idx="304">
                  <c:v>43334</c:v>
                </c:pt>
                <c:pt idx="305">
                  <c:v>43333</c:v>
                </c:pt>
                <c:pt idx="306">
                  <c:v>43332</c:v>
                </c:pt>
                <c:pt idx="307">
                  <c:v>43329</c:v>
                </c:pt>
                <c:pt idx="308">
                  <c:v>43328</c:v>
                </c:pt>
                <c:pt idx="309">
                  <c:v>43327</c:v>
                </c:pt>
                <c:pt idx="310">
                  <c:v>43326</c:v>
                </c:pt>
                <c:pt idx="311">
                  <c:v>43325</c:v>
                </c:pt>
                <c:pt idx="312">
                  <c:v>43322</c:v>
                </c:pt>
                <c:pt idx="313">
                  <c:v>43321</c:v>
                </c:pt>
                <c:pt idx="314">
                  <c:v>43320</c:v>
                </c:pt>
                <c:pt idx="315">
                  <c:v>43319</c:v>
                </c:pt>
                <c:pt idx="316">
                  <c:v>43318</c:v>
                </c:pt>
                <c:pt idx="317">
                  <c:v>43315</c:v>
                </c:pt>
                <c:pt idx="318">
                  <c:v>43314</c:v>
                </c:pt>
                <c:pt idx="319">
                  <c:v>43313</c:v>
                </c:pt>
                <c:pt idx="320">
                  <c:v>43312</c:v>
                </c:pt>
                <c:pt idx="321">
                  <c:v>43311</c:v>
                </c:pt>
                <c:pt idx="322">
                  <c:v>43308</c:v>
                </c:pt>
                <c:pt idx="323">
                  <c:v>43307</c:v>
                </c:pt>
                <c:pt idx="324">
                  <c:v>43306</c:v>
                </c:pt>
                <c:pt idx="325">
                  <c:v>43305</c:v>
                </c:pt>
                <c:pt idx="326">
                  <c:v>43304</c:v>
                </c:pt>
                <c:pt idx="327">
                  <c:v>43301</c:v>
                </c:pt>
                <c:pt idx="328">
                  <c:v>43300</c:v>
                </c:pt>
                <c:pt idx="329">
                  <c:v>43299</c:v>
                </c:pt>
                <c:pt idx="330">
                  <c:v>43298</c:v>
                </c:pt>
                <c:pt idx="331">
                  <c:v>43294</c:v>
                </c:pt>
                <c:pt idx="332">
                  <c:v>43293</c:v>
                </c:pt>
                <c:pt idx="333">
                  <c:v>43292</c:v>
                </c:pt>
                <c:pt idx="334">
                  <c:v>43291</c:v>
                </c:pt>
                <c:pt idx="335">
                  <c:v>43290</c:v>
                </c:pt>
                <c:pt idx="336">
                  <c:v>43287</c:v>
                </c:pt>
                <c:pt idx="337">
                  <c:v>43286</c:v>
                </c:pt>
                <c:pt idx="338">
                  <c:v>43285</c:v>
                </c:pt>
                <c:pt idx="339">
                  <c:v>43284</c:v>
                </c:pt>
                <c:pt idx="340">
                  <c:v>43283</c:v>
                </c:pt>
                <c:pt idx="341">
                  <c:v>43280</c:v>
                </c:pt>
                <c:pt idx="342">
                  <c:v>43279</c:v>
                </c:pt>
                <c:pt idx="343">
                  <c:v>43278</c:v>
                </c:pt>
                <c:pt idx="344">
                  <c:v>43277</c:v>
                </c:pt>
                <c:pt idx="345">
                  <c:v>43276</c:v>
                </c:pt>
                <c:pt idx="346">
                  <c:v>43273</c:v>
                </c:pt>
                <c:pt idx="347">
                  <c:v>43272</c:v>
                </c:pt>
                <c:pt idx="348">
                  <c:v>43271</c:v>
                </c:pt>
                <c:pt idx="349">
                  <c:v>43270</c:v>
                </c:pt>
                <c:pt idx="350">
                  <c:v>43269</c:v>
                </c:pt>
                <c:pt idx="351">
                  <c:v>43266</c:v>
                </c:pt>
                <c:pt idx="352">
                  <c:v>43265</c:v>
                </c:pt>
                <c:pt idx="353">
                  <c:v>43264</c:v>
                </c:pt>
                <c:pt idx="354">
                  <c:v>43263</c:v>
                </c:pt>
                <c:pt idx="355">
                  <c:v>43262</c:v>
                </c:pt>
                <c:pt idx="356">
                  <c:v>43259</c:v>
                </c:pt>
                <c:pt idx="357">
                  <c:v>43258</c:v>
                </c:pt>
                <c:pt idx="358">
                  <c:v>43257</c:v>
                </c:pt>
                <c:pt idx="359">
                  <c:v>43256</c:v>
                </c:pt>
                <c:pt idx="360">
                  <c:v>43255</c:v>
                </c:pt>
                <c:pt idx="361">
                  <c:v>43252</c:v>
                </c:pt>
                <c:pt idx="362">
                  <c:v>43251</c:v>
                </c:pt>
                <c:pt idx="363">
                  <c:v>43250</c:v>
                </c:pt>
                <c:pt idx="364">
                  <c:v>43249</c:v>
                </c:pt>
                <c:pt idx="365">
                  <c:v>43248</c:v>
                </c:pt>
                <c:pt idx="366">
                  <c:v>43245</c:v>
                </c:pt>
                <c:pt idx="367">
                  <c:v>43244</c:v>
                </c:pt>
                <c:pt idx="368">
                  <c:v>43243</c:v>
                </c:pt>
                <c:pt idx="369">
                  <c:v>43242</c:v>
                </c:pt>
                <c:pt idx="370">
                  <c:v>43241</c:v>
                </c:pt>
                <c:pt idx="371">
                  <c:v>43238</c:v>
                </c:pt>
                <c:pt idx="372">
                  <c:v>43237</c:v>
                </c:pt>
                <c:pt idx="373">
                  <c:v>43236</c:v>
                </c:pt>
                <c:pt idx="374">
                  <c:v>43235</c:v>
                </c:pt>
                <c:pt idx="375">
                  <c:v>43234</c:v>
                </c:pt>
                <c:pt idx="376">
                  <c:v>43231</c:v>
                </c:pt>
                <c:pt idx="377">
                  <c:v>43230</c:v>
                </c:pt>
                <c:pt idx="378">
                  <c:v>43229</c:v>
                </c:pt>
                <c:pt idx="379">
                  <c:v>43228</c:v>
                </c:pt>
                <c:pt idx="380">
                  <c:v>43227</c:v>
                </c:pt>
                <c:pt idx="381">
                  <c:v>43222</c:v>
                </c:pt>
                <c:pt idx="382">
                  <c:v>43221</c:v>
                </c:pt>
                <c:pt idx="383">
                  <c:v>43217</c:v>
                </c:pt>
                <c:pt idx="384">
                  <c:v>43216</c:v>
                </c:pt>
                <c:pt idx="385">
                  <c:v>43215</c:v>
                </c:pt>
                <c:pt idx="386">
                  <c:v>43214</c:v>
                </c:pt>
                <c:pt idx="387">
                  <c:v>43213</c:v>
                </c:pt>
                <c:pt idx="388">
                  <c:v>43210</c:v>
                </c:pt>
                <c:pt idx="389">
                  <c:v>43209</c:v>
                </c:pt>
                <c:pt idx="390">
                  <c:v>43208</c:v>
                </c:pt>
                <c:pt idx="391">
                  <c:v>43207</c:v>
                </c:pt>
                <c:pt idx="392">
                  <c:v>43206</c:v>
                </c:pt>
                <c:pt idx="393">
                  <c:v>43203</c:v>
                </c:pt>
                <c:pt idx="394">
                  <c:v>43202</c:v>
                </c:pt>
                <c:pt idx="395">
                  <c:v>43201</c:v>
                </c:pt>
                <c:pt idx="396">
                  <c:v>43200</c:v>
                </c:pt>
                <c:pt idx="397">
                  <c:v>43199</c:v>
                </c:pt>
                <c:pt idx="398">
                  <c:v>43196</c:v>
                </c:pt>
                <c:pt idx="399">
                  <c:v>43195</c:v>
                </c:pt>
                <c:pt idx="400">
                  <c:v>43194</c:v>
                </c:pt>
                <c:pt idx="401">
                  <c:v>43193</c:v>
                </c:pt>
                <c:pt idx="402">
                  <c:v>43192</c:v>
                </c:pt>
                <c:pt idx="403">
                  <c:v>43189</c:v>
                </c:pt>
                <c:pt idx="404">
                  <c:v>43188</c:v>
                </c:pt>
                <c:pt idx="405">
                  <c:v>43187</c:v>
                </c:pt>
                <c:pt idx="406">
                  <c:v>43186</c:v>
                </c:pt>
                <c:pt idx="407">
                  <c:v>43185</c:v>
                </c:pt>
                <c:pt idx="408">
                  <c:v>43182</c:v>
                </c:pt>
                <c:pt idx="409">
                  <c:v>43181</c:v>
                </c:pt>
                <c:pt idx="410">
                  <c:v>43179</c:v>
                </c:pt>
                <c:pt idx="411">
                  <c:v>43178</c:v>
                </c:pt>
                <c:pt idx="412">
                  <c:v>43175</c:v>
                </c:pt>
                <c:pt idx="413">
                  <c:v>43174</c:v>
                </c:pt>
                <c:pt idx="414">
                  <c:v>43173</c:v>
                </c:pt>
                <c:pt idx="415">
                  <c:v>43172</c:v>
                </c:pt>
                <c:pt idx="416">
                  <c:v>43171</c:v>
                </c:pt>
                <c:pt idx="417">
                  <c:v>43168</c:v>
                </c:pt>
                <c:pt idx="418">
                  <c:v>43167</c:v>
                </c:pt>
                <c:pt idx="419">
                  <c:v>43166</c:v>
                </c:pt>
                <c:pt idx="420">
                  <c:v>43165</c:v>
                </c:pt>
                <c:pt idx="421">
                  <c:v>43164</c:v>
                </c:pt>
                <c:pt idx="422">
                  <c:v>43161</c:v>
                </c:pt>
                <c:pt idx="423">
                  <c:v>43160</c:v>
                </c:pt>
                <c:pt idx="424">
                  <c:v>43159</c:v>
                </c:pt>
                <c:pt idx="425">
                  <c:v>43158</c:v>
                </c:pt>
                <c:pt idx="426">
                  <c:v>43157</c:v>
                </c:pt>
                <c:pt idx="427">
                  <c:v>43154</c:v>
                </c:pt>
                <c:pt idx="428">
                  <c:v>43153</c:v>
                </c:pt>
                <c:pt idx="429">
                  <c:v>43152</c:v>
                </c:pt>
                <c:pt idx="430">
                  <c:v>43151</c:v>
                </c:pt>
                <c:pt idx="431">
                  <c:v>43150</c:v>
                </c:pt>
                <c:pt idx="432">
                  <c:v>43147</c:v>
                </c:pt>
                <c:pt idx="433">
                  <c:v>43146</c:v>
                </c:pt>
                <c:pt idx="434">
                  <c:v>43145</c:v>
                </c:pt>
                <c:pt idx="435">
                  <c:v>43144</c:v>
                </c:pt>
                <c:pt idx="436">
                  <c:v>43140</c:v>
                </c:pt>
                <c:pt idx="437">
                  <c:v>43139</c:v>
                </c:pt>
                <c:pt idx="438">
                  <c:v>43138</c:v>
                </c:pt>
                <c:pt idx="439">
                  <c:v>43137</c:v>
                </c:pt>
                <c:pt idx="440">
                  <c:v>43136</c:v>
                </c:pt>
                <c:pt idx="441">
                  <c:v>43133</c:v>
                </c:pt>
                <c:pt idx="442">
                  <c:v>43132</c:v>
                </c:pt>
                <c:pt idx="443">
                  <c:v>43131</c:v>
                </c:pt>
                <c:pt idx="444">
                  <c:v>43130</c:v>
                </c:pt>
                <c:pt idx="445">
                  <c:v>43129</c:v>
                </c:pt>
                <c:pt idx="446">
                  <c:v>43126</c:v>
                </c:pt>
                <c:pt idx="447">
                  <c:v>43125</c:v>
                </c:pt>
                <c:pt idx="448">
                  <c:v>43124</c:v>
                </c:pt>
                <c:pt idx="449">
                  <c:v>43123</c:v>
                </c:pt>
                <c:pt idx="450">
                  <c:v>43122</c:v>
                </c:pt>
                <c:pt idx="451">
                  <c:v>43119</c:v>
                </c:pt>
                <c:pt idx="452">
                  <c:v>43118</c:v>
                </c:pt>
                <c:pt idx="453">
                  <c:v>43117</c:v>
                </c:pt>
                <c:pt idx="454">
                  <c:v>43116</c:v>
                </c:pt>
                <c:pt idx="455">
                  <c:v>43115</c:v>
                </c:pt>
                <c:pt idx="456">
                  <c:v>43112</c:v>
                </c:pt>
                <c:pt idx="457">
                  <c:v>43111</c:v>
                </c:pt>
                <c:pt idx="458">
                  <c:v>43110</c:v>
                </c:pt>
                <c:pt idx="459">
                  <c:v>43109</c:v>
                </c:pt>
                <c:pt idx="460">
                  <c:v>43105</c:v>
                </c:pt>
                <c:pt idx="461">
                  <c:v>43104</c:v>
                </c:pt>
                <c:pt idx="462">
                  <c:v>43098</c:v>
                </c:pt>
                <c:pt idx="463">
                  <c:v>43097</c:v>
                </c:pt>
                <c:pt idx="464">
                  <c:v>43096</c:v>
                </c:pt>
                <c:pt idx="465">
                  <c:v>43095</c:v>
                </c:pt>
                <c:pt idx="466">
                  <c:v>43094</c:v>
                </c:pt>
                <c:pt idx="467">
                  <c:v>43091</c:v>
                </c:pt>
                <c:pt idx="468">
                  <c:v>43090</c:v>
                </c:pt>
                <c:pt idx="469">
                  <c:v>43089</c:v>
                </c:pt>
                <c:pt idx="470">
                  <c:v>43088</c:v>
                </c:pt>
                <c:pt idx="471">
                  <c:v>43087</c:v>
                </c:pt>
                <c:pt idx="472">
                  <c:v>43084</c:v>
                </c:pt>
                <c:pt idx="473">
                  <c:v>43083</c:v>
                </c:pt>
                <c:pt idx="474">
                  <c:v>43082</c:v>
                </c:pt>
                <c:pt idx="475">
                  <c:v>43081</c:v>
                </c:pt>
                <c:pt idx="476">
                  <c:v>43080</c:v>
                </c:pt>
                <c:pt idx="477">
                  <c:v>43077</c:v>
                </c:pt>
                <c:pt idx="478">
                  <c:v>43076</c:v>
                </c:pt>
                <c:pt idx="479">
                  <c:v>43075</c:v>
                </c:pt>
                <c:pt idx="480">
                  <c:v>43074</c:v>
                </c:pt>
                <c:pt idx="481">
                  <c:v>43073</c:v>
                </c:pt>
                <c:pt idx="482">
                  <c:v>43070</c:v>
                </c:pt>
                <c:pt idx="483">
                  <c:v>43069</c:v>
                </c:pt>
                <c:pt idx="484">
                  <c:v>43068</c:v>
                </c:pt>
                <c:pt idx="485">
                  <c:v>43067</c:v>
                </c:pt>
                <c:pt idx="486">
                  <c:v>43066</c:v>
                </c:pt>
                <c:pt idx="487">
                  <c:v>43063</c:v>
                </c:pt>
                <c:pt idx="488">
                  <c:v>43061</c:v>
                </c:pt>
                <c:pt idx="489">
                  <c:v>43060</c:v>
                </c:pt>
                <c:pt idx="490">
                  <c:v>43059</c:v>
                </c:pt>
                <c:pt idx="491">
                  <c:v>43056</c:v>
                </c:pt>
                <c:pt idx="492">
                  <c:v>43055</c:v>
                </c:pt>
                <c:pt idx="493">
                  <c:v>43054</c:v>
                </c:pt>
                <c:pt idx="494">
                  <c:v>43053</c:v>
                </c:pt>
                <c:pt idx="495">
                  <c:v>43052</c:v>
                </c:pt>
                <c:pt idx="496">
                  <c:v>43049</c:v>
                </c:pt>
                <c:pt idx="497">
                  <c:v>43048</c:v>
                </c:pt>
                <c:pt idx="498">
                  <c:v>43047</c:v>
                </c:pt>
                <c:pt idx="499">
                  <c:v>43046</c:v>
                </c:pt>
                <c:pt idx="500">
                  <c:v>43045</c:v>
                </c:pt>
                <c:pt idx="501">
                  <c:v>43041</c:v>
                </c:pt>
                <c:pt idx="502">
                  <c:v>43040</c:v>
                </c:pt>
                <c:pt idx="503">
                  <c:v>43039</c:v>
                </c:pt>
                <c:pt idx="504">
                  <c:v>43038</c:v>
                </c:pt>
                <c:pt idx="505">
                  <c:v>43035</c:v>
                </c:pt>
                <c:pt idx="506">
                  <c:v>43034</c:v>
                </c:pt>
                <c:pt idx="507">
                  <c:v>43033</c:v>
                </c:pt>
                <c:pt idx="508">
                  <c:v>43032</c:v>
                </c:pt>
                <c:pt idx="509">
                  <c:v>43031</c:v>
                </c:pt>
                <c:pt idx="510">
                  <c:v>43028</c:v>
                </c:pt>
                <c:pt idx="511">
                  <c:v>43027</c:v>
                </c:pt>
                <c:pt idx="512">
                  <c:v>43026</c:v>
                </c:pt>
                <c:pt idx="513">
                  <c:v>43025</c:v>
                </c:pt>
                <c:pt idx="514">
                  <c:v>43024</c:v>
                </c:pt>
                <c:pt idx="515">
                  <c:v>43021</c:v>
                </c:pt>
                <c:pt idx="516">
                  <c:v>43020</c:v>
                </c:pt>
                <c:pt idx="517">
                  <c:v>43019</c:v>
                </c:pt>
                <c:pt idx="518">
                  <c:v>43018</c:v>
                </c:pt>
                <c:pt idx="519">
                  <c:v>43014</c:v>
                </c:pt>
                <c:pt idx="520">
                  <c:v>43013</c:v>
                </c:pt>
                <c:pt idx="521">
                  <c:v>43012</c:v>
                </c:pt>
                <c:pt idx="522">
                  <c:v>43011</c:v>
                </c:pt>
                <c:pt idx="523">
                  <c:v>43010</c:v>
                </c:pt>
                <c:pt idx="524">
                  <c:v>43007</c:v>
                </c:pt>
                <c:pt idx="525">
                  <c:v>43006</c:v>
                </c:pt>
                <c:pt idx="526">
                  <c:v>43005</c:v>
                </c:pt>
                <c:pt idx="527">
                  <c:v>43004</c:v>
                </c:pt>
                <c:pt idx="528">
                  <c:v>43003</c:v>
                </c:pt>
                <c:pt idx="529">
                  <c:v>43000</c:v>
                </c:pt>
                <c:pt idx="530">
                  <c:v>42999</c:v>
                </c:pt>
                <c:pt idx="531">
                  <c:v>42998</c:v>
                </c:pt>
                <c:pt idx="532">
                  <c:v>42997</c:v>
                </c:pt>
                <c:pt idx="533">
                  <c:v>42993</c:v>
                </c:pt>
                <c:pt idx="534">
                  <c:v>42992</c:v>
                </c:pt>
                <c:pt idx="535">
                  <c:v>42991</c:v>
                </c:pt>
                <c:pt idx="536">
                  <c:v>42990</c:v>
                </c:pt>
                <c:pt idx="537">
                  <c:v>42989</c:v>
                </c:pt>
                <c:pt idx="538">
                  <c:v>42986</c:v>
                </c:pt>
                <c:pt idx="539">
                  <c:v>42985</c:v>
                </c:pt>
                <c:pt idx="540">
                  <c:v>42984</c:v>
                </c:pt>
                <c:pt idx="541">
                  <c:v>42983</c:v>
                </c:pt>
                <c:pt idx="542">
                  <c:v>42982</c:v>
                </c:pt>
                <c:pt idx="543">
                  <c:v>42979</c:v>
                </c:pt>
                <c:pt idx="544">
                  <c:v>42978</c:v>
                </c:pt>
                <c:pt idx="545">
                  <c:v>42977</c:v>
                </c:pt>
                <c:pt idx="546">
                  <c:v>42976</c:v>
                </c:pt>
                <c:pt idx="547">
                  <c:v>42975</c:v>
                </c:pt>
                <c:pt idx="548">
                  <c:v>42972</c:v>
                </c:pt>
                <c:pt idx="549">
                  <c:v>42971</c:v>
                </c:pt>
                <c:pt idx="550">
                  <c:v>42970</c:v>
                </c:pt>
                <c:pt idx="551">
                  <c:v>42969</c:v>
                </c:pt>
                <c:pt idx="552">
                  <c:v>42968</c:v>
                </c:pt>
                <c:pt idx="553">
                  <c:v>42965</c:v>
                </c:pt>
                <c:pt idx="554">
                  <c:v>42964</c:v>
                </c:pt>
                <c:pt idx="555">
                  <c:v>42963</c:v>
                </c:pt>
                <c:pt idx="556">
                  <c:v>42962</c:v>
                </c:pt>
                <c:pt idx="557">
                  <c:v>42961</c:v>
                </c:pt>
                <c:pt idx="558">
                  <c:v>42957</c:v>
                </c:pt>
                <c:pt idx="559">
                  <c:v>42956</c:v>
                </c:pt>
                <c:pt idx="560">
                  <c:v>42955</c:v>
                </c:pt>
                <c:pt idx="561">
                  <c:v>42954</c:v>
                </c:pt>
                <c:pt idx="562">
                  <c:v>42951</c:v>
                </c:pt>
                <c:pt idx="563">
                  <c:v>42950</c:v>
                </c:pt>
                <c:pt idx="564">
                  <c:v>42949</c:v>
                </c:pt>
                <c:pt idx="565">
                  <c:v>42948</c:v>
                </c:pt>
                <c:pt idx="566">
                  <c:v>42947</c:v>
                </c:pt>
                <c:pt idx="567">
                  <c:v>42944</c:v>
                </c:pt>
                <c:pt idx="568">
                  <c:v>42943</c:v>
                </c:pt>
                <c:pt idx="569">
                  <c:v>42942</c:v>
                </c:pt>
                <c:pt idx="570">
                  <c:v>42941</c:v>
                </c:pt>
                <c:pt idx="571">
                  <c:v>42940</c:v>
                </c:pt>
                <c:pt idx="572">
                  <c:v>42937</c:v>
                </c:pt>
                <c:pt idx="573">
                  <c:v>42936</c:v>
                </c:pt>
                <c:pt idx="574">
                  <c:v>42935</c:v>
                </c:pt>
                <c:pt idx="575">
                  <c:v>42934</c:v>
                </c:pt>
                <c:pt idx="576">
                  <c:v>42930</c:v>
                </c:pt>
                <c:pt idx="577">
                  <c:v>42929</c:v>
                </c:pt>
                <c:pt idx="578">
                  <c:v>42928</c:v>
                </c:pt>
                <c:pt idx="579">
                  <c:v>42927</c:v>
                </c:pt>
                <c:pt idx="580">
                  <c:v>42926</c:v>
                </c:pt>
                <c:pt idx="581">
                  <c:v>42923</c:v>
                </c:pt>
                <c:pt idx="582">
                  <c:v>42922</c:v>
                </c:pt>
                <c:pt idx="583">
                  <c:v>42921</c:v>
                </c:pt>
                <c:pt idx="584">
                  <c:v>42920</c:v>
                </c:pt>
                <c:pt idx="585">
                  <c:v>42919</c:v>
                </c:pt>
                <c:pt idx="586">
                  <c:v>42916</c:v>
                </c:pt>
                <c:pt idx="587">
                  <c:v>42915</c:v>
                </c:pt>
                <c:pt idx="588">
                  <c:v>42914</c:v>
                </c:pt>
                <c:pt idx="589">
                  <c:v>42913</c:v>
                </c:pt>
                <c:pt idx="590">
                  <c:v>42912</c:v>
                </c:pt>
                <c:pt idx="591">
                  <c:v>42909</c:v>
                </c:pt>
                <c:pt idx="592">
                  <c:v>42908</c:v>
                </c:pt>
                <c:pt idx="593">
                  <c:v>42907</c:v>
                </c:pt>
                <c:pt idx="594">
                  <c:v>42906</c:v>
                </c:pt>
                <c:pt idx="595">
                  <c:v>42905</c:v>
                </c:pt>
                <c:pt idx="596">
                  <c:v>42902</c:v>
                </c:pt>
                <c:pt idx="597">
                  <c:v>42901</c:v>
                </c:pt>
                <c:pt idx="598">
                  <c:v>42900</c:v>
                </c:pt>
                <c:pt idx="599">
                  <c:v>42899</c:v>
                </c:pt>
                <c:pt idx="600">
                  <c:v>42898</c:v>
                </c:pt>
                <c:pt idx="601">
                  <c:v>42895</c:v>
                </c:pt>
                <c:pt idx="602">
                  <c:v>42894</c:v>
                </c:pt>
                <c:pt idx="603">
                  <c:v>42893</c:v>
                </c:pt>
                <c:pt idx="604">
                  <c:v>42892</c:v>
                </c:pt>
                <c:pt idx="605">
                  <c:v>42891</c:v>
                </c:pt>
                <c:pt idx="606">
                  <c:v>42888</c:v>
                </c:pt>
                <c:pt idx="607">
                  <c:v>42887</c:v>
                </c:pt>
                <c:pt idx="608">
                  <c:v>42886</c:v>
                </c:pt>
                <c:pt idx="609">
                  <c:v>42885</c:v>
                </c:pt>
                <c:pt idx="610">
                  <c:v>42884</c:v>
                </c:pt>
                <c:pt idx="611">
                  <c:v>42881</c:v>
                </c:pt>
                <c:pt idx="612">
                  <c:v>42880</c:v>
                </c:pt>
                <c:pt idx="613">
                  <c:v>42879</c:v>
                </c:pt>
                <c:pt idx="614">
                  <c:v>42878</c:v>
                </c:pt>
                <c:pt idx="615">
                  <c:v>42877</c:v>
                </c:pt>
                <c:pt idx="616">
                  <c:v>42874</c:v>
                </c:pt>
                <c:pt idx="617">
                  <c:v>42873</c:v>
                </c:pt>
                <c:pt idx="618">
                  <c:v>42872</c:v>
                </c:pt>
                <c:pt idx="619">
                  <c:v>42871</c:v>
                </c:pt>
                <c:pt idx="620">
                  <c:v>42870</c:v>
                </c:pt>
                <c:pt idx="621">
                  <c:v>42867</c:v>
                </c:pt>
                <c:pt idx="622">
                  <c:v>42866</c:v>
                </c:pt>
                <c:pt idx="623">
                  <c:v>42865</c:v>
                </c:pt>
                <c:pt idx="624">
                  <c:v>42864</c:v>
                </c:pt>
                <c:pt idx="625">
                  <c:v>42863</c:v>
                </c:pt>
                <c:pt idx="626">
                  <c:v>42857</c:v>
                </c:pt>
                <c:pt idx="627">
                  <c:v>42856</c:v>
                </c:pt>
                <c:pt idx="628">
                  <c:v>42853</c:v>
                </c:pt>
                <c:pt idx="629">
                  <c:v>42852</c:v>
                </c:pt>
                <c:pt idx="630">
                  <c:v>42851</c:v>
                </c:pt>
                <c:pt idx="631">
                  <c:v>42850</c:v>
                </c:pt>
                <c:pt idx="632">
                  <c:v>42849</c:v>
                </c:pt>
                <c:pt idx="633">
                  <c:v>42846</c:v>
                </c:pt>
                <c:pt idx="634">
                  <c:v>42845</c:v>
                </c:pt>
                <c:pt idx="635">
                  <c:v>42844</c:v>
                </c:pt>
                <c:pt idx="636">
                  <c:v>42843</c:v>
                </c:pt>
                <c:pt idx="637">
                  <c:v>42842</c:v>
                </c:pt>
                <c:pt idx="638">
                  <c:v>42839</c:v>
                </c:pt>
                <c:pt idx="639">
                  <c:v>42838</c:v>
                </c:pt>
                <c:pt idx="640">
                  <c:v>42837</c:v>
                </c:pt>
                <c:pt idx="641">
                  <c:v>42836</c:v>
                </c:pt>
                <c:pt idx="642">
                  <c:v>42835</c:v>
                </c:pt>
                <c:pt idx="643">
                  <c:v>42832</c:v>
                </c:pt>
                <c:pt idx="644">
                  <c:v>42831</c:v>
                </c:pt>
                <c:pt idx="645">
                  <c:v>42830</c:v>
                </c:pt>
                <c:pt idx="646">
                  <c:v>42829</c:v>
                </c:pt>
                <c:pt idx="647">
                  <c:v>42828</c:v>
                </c:pt>
                <c:pt idx="648">
                  <c:v>42825</c:v>
                </c:pt>
                <c:pt idx="649">
                  <c:v>42824</c:v>
                </c:pt>
                <c:pt idx="650">
                  <c:v>42823</c:v>
                </c:pt>
                <c:pt idx="651">
                  <c:v>42822</c:v>
                </c:pt>
                <c:pt idx="652">
                  <c:v>42821</c:v>
                </c:pt>
                <c:pt idx="653">
                  <c:v>42818</c:v>
                </c:pt>
                <c:pt idx="654">
                  <c:v>42817</c:v>
                </c:pt>
                <c:pt idx="655">
                  <c:v>42816</c:v>
                </c:pt>
                <c:pt idx="656">
                  <c:v>42815</c:v>
                </c:pt>
                <c:pt idx="657">
                  <c:v>42811</c:v>
                </c:pt>
                <c:pt idx="658">
                  <c:v>42810</c:v>
                </c:pt>
                <c:pt idx="659">
                  <c:v>42809</c:v>
                </c:pt>
                <c:pt idx="660">
                  <c:v>42808</c:v>
                </c:pt>
                <c:pt idx="661">
                  <c:v>42807</c:v>
                </c:pt>
              </c:numCache>
            </c:numRef>
          </c:cat>
          <c:val>
            <c:numRef>
              <c:f>グラフ!$G$42:$G$703</c:f>
              <c:numCache>
                <c:formatCode>General</c:formatCode>
                <c:ptCount val="662"/>
                <c:pt idx="0">
                  <c:v>3.2874640081855699</c:v>
                </c:pt>
                <c:pt idx="1">
                  <c:v>3.2855328987056498</c:v>
                </c:pt>
                <c:pt idx="2">
                  <c:v>3.28386432891332</c:v>
                </c:pt>
                <c:pt idx="3">
                  <c:v>3.2832419186692401</c:v>
                </c:pt>
                <c:pt idx="4">
                  <c:v>3.2824888614700298</c:v>
                </c:pt>
                <c:pt idx="5">
                  <c:v>3.2807826109764702</c:v>
                </c:pt>
                <c:pt idx="6">
                  <c:v>3.2796117047761499</c:v>
                </c:pt>
                <c:pt idx="7">
                  <c:v>3.2796398496728498</c:v>
                </c:pt>
                <c:pt idx="8">
                  <c:v>3.2806386032553099</c:v>
                </c:pt>
                <c:pt idx="9">
                  <c:v>3.2815115388805198</c:v>
                </c:pt>
                <c:pt idx="10">
                  <c:v>3.2829378248683398</c:v>
                </c:pt>
                <c:pt idx="11">
                  <c:v>3.2838015479601199</c:v>
                </c:pt>
                <c:pt idx="12">
                  <c:v>3.2849373915959701</c:v>
                </c:pt>
                <c:pt idx="13">
                  <c:v>3.2866227473495901</c:v>
                </c:pt>
                <c:pt idx="14">
                  <c:v>3.2890115353731599</c:v>
                </c:pt>
                <c:pt idx="15">
                  <c:v>3.2907485603398299</c:v>
                </c:pt>
                <c:pt idx="16">
                  <c:v>3.2932749988640699</c:v>
                </c:pt>
                <c:pt idx="17">
                  <c:v>3.2946961235863799</c:v>
                </c:pt>
                <c:pt idx="18">
                  <c:v>3.2968505585112098</c:v>
                </c:pt>
                <c:pt idx="19">
                  <c:v>3.29860726360012</c:v>
                </c:pt>
                <c:pt idx="20">
                  <c:v>3.3009310348074501</c:v>
                </c:pt>
                <c:pt idx="21">
                  <c:v>3.3023559077372799</c:v>
                </c:pt>
                <c:pt idx="22">
                  <c:v>3.3043845540367198</c:v>
                </c:pt>
                <c:pt idx="23">
                  <c:v>3.3064162477038699</c:v>
                </c:pt>
                <c:pt idx="24">
                  <c:v>3.3084383079725899</c:v>
                </c:pt>
                <c:pt idx="25">
                  <c:v>3.31137474971956</c:v>
                </c:pt>
                <c:pt idx="26">
                  <c:v>3.31407729291826</c:v>
                </c:pt>
                <c:pt idx="27">
                  <c:v>3.3166229119441302</c:v>
                </c:pt>
                <c:pt idx="28">
                  <c:v>3.3199503735520799</c:v>
                </c:pt>
                <c:pt idx="29">
                  <c:v>3.3233395210921701</c:v>
                </c:pt>
                <c:pt idx="30">
                  <c:v>3.3256790168904899</c:v>
                </c:pt>
                <c:pt idx="31">
                  <c:v>3.3284782880552699</c:v>
                </c:pt>
                <c:pt idx="32">
                  <c:v>3.3327160851419002</c:v>
                </c:pt>
                <c:pt idx="33">
                  <c:v>3.3371772767683101</c:v>
                </c:pt>
                <c:pt idx="34">
                  <c:v>3.3417133742405798</c:v>
                </c:pt>
                <c:pt idx="35">
                  <c:v>3.34663629205901</c:v>
                </c:pt>
                <c:pt idx="36">
                  <c:v>3.35194131933308</c:v>
                </c:pt>
                <c:pt idx="37">
                  <c:v>3.35709659839734</c:v>
                </c:pt>
                <c:pt idx="38">
                  <c:v>3.3612839029013601</c:v>
                </c:pt>
                <c:pt idx="39">
                  <c:v>3.3647201780511899</c:v>
                </c:pt>
                <c:pt idx="40">
                  <c:v>3.3682884592400502</c:v>
                </c:pt>
                <c:pt idx="41">
                  <c:v>3.37166016815367</c:v>
                </c:pt>
                <c:pt idx="42">
                  <c:v>3.37519198524399</c:v>
                </c:pt>
                <c:pt idx="43">
                  <c:v>3.3798598739990302</c:v>
                </c:pt>
                <c:pt idx="44">
                  <c:v>3.3832602640190301</c:v>
                </c:pt>
                <c:pt idx="45">
                  <c:v>3.38661754530363</c:v>
                </c:pt>
                <c:pt idx="46">
                  <c:v>3.3900642687637799</c:v>
                </c:pt>
                <c:pt idx="47">
                  <c:v>3.39389615223998</c:v>
                </c:pt>
                <c:pt idx="48">
                  <c:v>3.3981065390974301</c:v>
                </c:pt>
                <c:pt idx="49">
                  <c:v>3.40167120730275</c:v>
                </c:pt>
                <c:pt idx="50">
                  <c:v>3.40498050910672</c:v>
                </c:pt>
                <c:pt idx="51">
                  <c:v>3.40814600618274</c:v>
                </c:pt>
                <c:pt idx="52">
                  <c:v>3.4117661637751602</c:v>
                </c:pt>
                <c:pt idx="53">
                  <c:v>3.4147583499368901</c:v>
                </c:pt>
                <c:pt idx="54">
                  <c:v>3.4176279714368198</c:v>
                </c:pt>
                <c:pt idx="55">
                  <c:v>3.41991376103933</c:v>
                </c:pt>
                <c:pt idx="56">
                  <c:v>3.4226039274715898</c:v>
                </c:pt>
                <c:pt idx="57">
                  <c:v>3.4253861715594698</c:v>
                </c:pt>
                <c:pt idx="58">
                  <c:v>3.4278247219942002</c:v>
                </c:pt>
                <c:pt idx="59">
                  <c:v>3.4283146876983701</c:v>
                </c:pt>
                <c:pt idx="60">
                  <c:v>3.4304925053075199</c:v>
                </c:pt>
                <c:pt idx="61">
                  <c:v>3.4351619011504102</c:v>
                </c:pt>
                <c:pt idx="62">
                  <c:v>3.43879221042021</c:v>
                </c:pt>
                <c:pt idx="63">
                  <c:v>3.4429635589090002</c:v>
                </c:pt>
                <c:pt idx="64">
                  <c:v>3.4473185123846402</c:v>
                </c:pt>
                <c:pt idx="65">
                  <c:v>3.45044818076979</c:v>
                </c:pt>
                <c:pt idx="66">
                  <c:v>3.4536590305217998</c:v>
                </c:pt>
                <c:pt idx="67">
                  <c:v>3.4576227255814702</c:v>
                </c:pt>
                <c:pt idx="68">
                  <c:v>3.4612689589640402</c:v>
                </c:pt>
                <c:pt idx="69">
                  <c:v>3.4657930314473702</c:v>
                </c:pt>
                <c:pt idx="70">
                  <c:v>3.4697984528647599</c:v>
                </c:pt>
                <c:pt idx="71">
                  <c:v>3.4727598237311801</c:v>
                </c:pt>
                <c:pt idx="72">
                  <c:v>3.47509305295717</c:v>
                </c:pt>
                <c:pt idx="73">
                  <c:v>3.4754548532246501</c:v>
                </c:pt>
                <c:pt idx="74">
                  <c:v>3.4759206501445301</c:v>
                </c:pt>
                <c:pt idx="75">
                  <c:v>3.47732322004823</c:v>
                </c:pt>
                <c:pt idx="76">
                  <c:v>3.4782859171521698</c:v>
                </c:pt>
                <c:pt idx="77">
                  <c:v>3.4784614290473499</c:v>
                </c:pt>
                <c:pt idx="78">
                  <c:v>3.4780114675083902</c:v>
                </c:pt>
                <c:pt idx="79">
                  <c:v>3.4784282540791298</c:v>
                </c:pt>
                <c:pt idx="80">
                  <c:v>3.4797999397122701</c:v>
                </c:pt>
                <c:pt idx="81">
                  <c:v>3.4805551257340301</c:v>
                </c:pt>
                <c:pt idx="82">
                  <c:v>3.4816725802518</c:v>
                </c:pt>
                <c:pt idx="83">
                  <c:v>3.4826911177356301</c:v>
                </c:pt>
                <c:pt idx="84">
                  <c:v>3.4841731521118602</c:v>
                </c:pt>
                <c:pt idx="85">
                  <c:v>3.4855153384847299</c:v>
                </c:pt>
                <c:pt idx="86">
                  <c:v>3.4873837303046402</c:v>
                </c:pt>
                <c:pt idx="87">
                  <c:v>3.4882889550135898</c:v>
                </c:pt>
                <c:pt idx="88">
                  <c:v>3.4884450667058799</c:v>
                </c:pt>
                <c:pt idx="89">
                  <c:v>3.4898243039327501</c:v>
                </c:pt>
                <c:pt idx="90">
                  <c:v>3.4919557662893799</c:v>
                </c:pt>
                <c:pt idx="91">
                  <c:v>3.4930232816868299</c:v>
                </c:pt>
                <c:pt idx="92">
                  <c:v>3.4943911760924</c:v>
                </c:pt>
                <c:pt idx="93">
                  <c:v>3.4957936815390198</c:v>
                </c:pt>
                <c:pt idx="94">
                  <c:v>3.4987226806095002</c:v>
                </c:pt>
                <c:pt idx="95">
                  <c:v>3.5012247406430101</c:v>
                </c:pt>
                <c:pt idx="96">
                  <c:v>3.5042612918334601</c:v>
                </c:pt>
                <c:pt idx="97">
                  <c:v>3.5069401547447101</c:v>
                </c:pt>
                <c:pt idx="98">
                  <c:v>3.5100933903263298</c:v>
                </c:pt>
                <c:pt idx="99">
                  <c:v>3.5132979602565699</c:v>
                </c:pt>
                <c:pt idx="100">
                  <c:v>3.51539150351709</c:v>
                </c:pt>
                <c:pt idx="101">
                  <c:v>3.51619548233381</c:v>
                </c:pt>
                <c:pt idx="102">
                  <c:v>3.5179426749999498</c:v>
                </c:pt>
                <c:pt idx="103">
                  <c:v>3.51902992124201</c:v>
                </c:pt>
                <c:pt idx="104">
                  <c:v>3.5212096508497401</c:v>
                </c:pt>
                <c:pt idx="105">
                  <c:v>3.5240005652352999</c:v>
                </c:pt>
                <c:pt idx="106">
                  <c:v>3.5273739340950399</c:v>
                </c:pt>
                <c:pt idx="107">
                  <c:v>3.52938417654592</c:v>
                </c:pt>
                <c:pt idx="108">
                  <c:v>3.5307811276696</c:v>
                </c:pt>
                <c:pt idx="109">
                  <c:v>3.5326555238048698</c:v>
                </c:pt>
                <c:pt idx="110">
                  <c:v>3.5324617630590498</c:v>
                </c:pt>
                <c:pt idx="111">
                  <c:v>3.5317151573346099</c:v>
                </c:pt>
                <c:pt idx="112">
                  <c:v>3.5309224989205399</c:v>
                </c:pt>
                <c:pt idx="113">
                  <c:v>3.52972714566822</c:v>
                </c:pt>
                <c:pt idx="114">
                  <c:v>3.5300418377476102</c:v>
                </c:pt>
                <c:pt idx="115">
                  <c:v>3.53168362252354</c:v>
                </c:pt>
                <c:pt idx="116">
                  <c:v>3.5332672238097098</c:v>
                </c:pt>
                <c:pt idx="117">
                  <c:v>3.5360717078897901</c:v>
                </c:pt>
                <c:pt idx="118">
                  <c:v>3.53851676487192</c:v>
                </c:pt>
                <c:pt idx="119">
                  <c:v>3.54092107109201</c:v>
                </c:pt>
                <c:pt idx="120">
                  <c:v>3.5430477464094401</c:v>
                </c:pt>
                <c:pt idx="121">
                  <c:v>3.5448337314076501</c:v>
                </c:pt>
                <c:pt idx="122">
                  <c:v>3.54577011114913</c:v>
                </c:pt>
                <c:pt idx="123">
                  <c:v>3.5470085910083</c:v>
                </c:pt>
                <c:pt idx="124">
                  <c:v>3.54931856219453</c:v>
                </c:pt>
                <c:pt idx="125">
                  <c:v>3.5526127161713301</c:v>
                </c:pt>
                <c:pt idx="126">
                  <c:v>3.55550980150405</c:v>
                </c:pt>
                <c:pt idx="127">
                  <c:v>3.55793844599209</c:v>
                </c:pt>
                <c:pt idx="128">
                  <c:v>3.5603230807539901</c:v>
                </c:pt>
                <c:pt idx="129">
                  <c:v>3.5631231949744402</c:v>
                </c:pt>
                <c:pt idx="130">
                  <c:v>3.5657938781706702</c:v>
                </c:pt>
                <c:pt idx="131">
                  <c:v>3.56764695274599</c:v>
                </c:pt>
                <c:pt idx="132">
                  <c:v>3.5690281370734098</c:v>
                </c:pt>
                <c:pt idx="133">
                  <c:v>3.5711445103997299</c:v>
                </c:pt>
                <c:pt idx="134">
                  <c:v>3.5746077447378699</c:v>
                </c:pt>
                <c:pt idx="135">
                  <c:v>3.5763581423450201</c:v>
                </c:pt>
                <c:pt idx="136">
                  <c:v>3.5748929978281598</c:v>
                </c:pt>
                <c:pt idx="137">
                  <c:v>3.57421988767164</c:v>
                </c:pt>
                <c:pt idx="138">
                  <c:v>3.5747912835443199</c:v>
                </c:pt>
                <c:pt idx="139">
                  <c:v>3.5765364488593501</c:v>
                </c:pt>
                <c:pt idx="140">
                  <c:v>3.5783971206143299</c:v>
                </c:pt>
                <c:pt idx="141">
                  <c:v>3.5801402658293</c:v>
                </c:pt>
                <c:pt idx="142">
                  <c:v>3.5809942671845798</c:v>
                </c:pt>
                <c:pt idx="143">
                  <c:v>3.58316387442397</c:v>
                </c:pt>
                <c:pt idx="144">
                  <c:v>3.5844575216323902</c:v>
                </c:pt>
                <c:pt idx="145">
                  <c:v>3.5861819867807698</c:v>
                </c:pt>
                <c:pt idx="146">
                  <c:v>3.5884839495355099</c:v>
                </c:pt>
                <c:pt idx="147">
                  <c:v>3.59102134672951</c:v>
                </c:pt>
                <c:pt idx="148">
                  <c:v>3.5931855979372398</c:v>
                </c:pt>
                <c:pt idx="149">
                  <c:v>3.5962071314684501</c:v>
                </c:pt>
                <c:pt idx="150">
                  <c:v>3.5994629174776902</c:v>
                </c:pt>
                <c:pt idx="151">
                  <c:v>3.60261552515624</c:v>
                </c:pt>
                <c:pt idx="152">
                  <c:v>3.6052968223214701</c:v>
                </c:pt>
                <c:pt idx="153">
                  <c:v>3.6080148277664099</c:v>
                </c:pt>
                <c:pt idx="154">
                  <c:v>3.6090264308187701</c:v>
                </c:pt>
                <c:pt idx="155">
                  <c:v>3.6112915090192899</c:v>
                </c:pt>
                <c:pt idx="156">
                  <c:v>3.6119934579750699</c:v>
                </c:pt>
                <c:pt idx="157">
                  <c:v>3.6123115091767399</c:v>
                </c:pt>
                <c:pt idx="158">
                  <c:v>3.6115000973940901</c:v>
                </c:pt>
                <c:pt idx="159">
                  <c:v>3.6094904793982301</c:v>
                </c:pt>
                <c:pt idx="160">
                  <c:v>3.6071871722442999</c:v>
                </c:pt>
                <c:pt idx="161">
                  <c:v>3.60460284684748</c:v>
                </c:pt>
                <c:pt idx="162">
                  <c:v>3.6025176070448999</c:v>
                </c:pt>
                <c:pt idx="163">
                  <c:v>3.6001255941810002</c:v>
                </c:pt>
                <c:pt idx="164">
                  <c:v>3.5972562493665898</c:v>
                </c:pt>
                <c:pt idx="165">
                  <c:v>3.5961041656779198</c:v>
                </c:pt>
                <c:pt idx="166">
                  <c:v>3.5948202211079301</c:v>
                </c:pt>
                <c:pt idx="167">
                  <c:v>3.5945118318009599</c:v>
                </c:pt>
                <c:pt idx="168">
                  <c:v>3.5935890875279299</c:v>
                </c:pt>
                <c:pt idx="169">
                  <c:v>3.5910190287622199</c:v>
                </c:pt>
                <c:pt idx="170">
                  <c:v>3.5885885871881298</c:v>
                </c:pt>
                <c:pt idx="171">
                  <c:v>3.5868324498163</c:v>
                </c:pt>
                <c:pt idx="172">
                  <c:v>3.58673630390722</c:v>
                </c:pt>
                <c:pt idx="173">
                  <c:v>3.5857841494066802</c:v>
                </c:pt>
                <c:pt idx="174">
                  <c:v>3.5860114879706</c:v>
                </c:pt>
                <c:pt idx="175">
                  <c:v>3.5858567576434499</c:v>
                </c:pt>
                <c:pt idx="176">
                  <c:v>3.5851250888505501</c:v>
                </c:pt>
                <c:pt idx="177">
                  <c:v>3.58363764716586</c:v>
                </c:pt>
                <c:pt idx="178">
                  <c:v>3.5825262837834</c:v>
                </c:pt>
                <c:pt idx="179">
                  <c:v>3.5803043570247799</c:v>
                </c:pt>
                <c:pt idx="180">
                  <c:v>3.5777906349025201</c:v>
                </c:pt>
                <c:pt idx="181">
                  <c:v>3.5744305486580399</c:v>
                </c:pt>
                <c:pt idx="182">
                  <c:v>3.5711847012289302</c:v>
                </c:pt>
                <c:pt idx="183">
                  <c:v>3.5689704629100398</c:v>
                </c:pt>
                <c:pt idx="184">
                  <c:v>3.5662141770109899</c:v>
                </c:pt>
                <c:pt idx="185">
                  <c:v>3.5638009933496799</c:v>
                </c:pt>
                <c:pt idx="186">
                  <c:v>3.5602166487835598</c:v>
                </c:pt>
                <c:pt idx="187">
                  <c:v>3.55775428413365</c:v>
                </c:pt>
                <c:pt idx="188">
                  <c:v>3.5584553871737299</c:v>
                </c:pt>
                <c:pt idx="189">
                  <c:v>3.5590148869332299</c:v>
                </c:pt>
                <c:pt idx="190">
                  <c:v>3.5574709585345898</c:v>
                </c:pt>
                <c:pt idx="191">
                  <c:v>3.5563185655874898</c:v>
                </c:pt>
                <c:pt idx="192">
                  <c:v>3.5546742475394399</c:v>
                </c:pt>
                <c:pt idx="193">
                  <c:v>3.5521226432623401</c:v>
                </c:pt>
                <c:pt idx="194">
                  <c:v>3.5499050862292099</c:v>
                </c:pt>
                <c:pt idx="195">
                  <c:v>3.5490780490787599</c:v>
                </c:pt>
                <c:pt idx="196">
                  <c:v>3.54747801459476</c:v>
                </c:pt>
                <c:pt idx="197">
                  <c:v>3.5466030833133502</c:v>
                </c:pt>
                <c:pt idx="198">
                  <c:v>3.5453195584091302</c:v>
                </c:pt>
                <c:pt idx="199">
                  <c:v>3.5431271498348602</c:v>
                </c:pt>
                <c:pt idx="200">
                  <c:v>3.5406043860299601</c:v>
                </c:pt>
                <c:pt idx="201">
                  <c:v>3.5379376168257299</c:v>
                </c:pt>
                <c:pt idx="202">
                  <c:v>3.5355403221703701</c:v>
                </c:pt>
                <c:pt idx="203">
                  <c:v>3.53371270225598</c:v>
                </c:pt>
                <c:pt idx="204">
                  <c:v>3.5320361709247399</c:v>
                </c:pt>
                <c:pt idx="205">
                  <c:v>3.5301191333601998</c:v>
                </c:pt>
                <c:pt idx="206">
                  <c:v>3.5294808555456298</c:v>
                </c:pt>
                <c:pt idx="207">
                  <c:v>3.5283872443119702</c:v>
                </c:pt>
                <c:pt idx="208">
                  <c:v>3.5275052729357599</c:v>
                </c:pt>
                <c:pt idx="209">
                  <c:v>3.5265251740578498</c:v>
                </c:pt>
                <c:pt idx="210">
                  <c:v>3.5249471187636701</c:v>
                </c:pt>
                <c:pt idx="211">
                  <c:v>3.5234144427565601</c:v>
                </c:pt>
                <c:pt idx="212">
                  <c:v>3.52222444197354</c:v>
                </c:pt>
                <c:pt idx="213">
                  <c:v>3.5196460619212302</c:v>
                </c:pt>
                <c:pt idx="214">
                  <c:v>3.5162522955315199</c:v>
                </c:pt>
                <c:pt idx="215">
                  <c:v>3.5128309610983299</c:v>
                </c:pt>
                <c:pt idx="216">
                  <c:v>3.5105199536730902</c:v>
                </c:pt>
                <c:pt idx="217">
                  <c:v>3.508886526031</c:v>
                </c:pt>
                <c:pt idx="218">
                  <c:v>3.5061593378913001</c:v>
                </c:pt>
                <c:pt idx="219">
                  <c:v>3.50508263314999</c:v>
                </c:pt>
                <c:pt idx="220">
                  <c:v>3.50295276401862</c:v>
                </c:pt>
                <c:pt idx="221">
                  <c:v>3.50054492589295</c:v>
                </c:pt>
                <c:pt idx="222">
                  <c:v>3.49842680736689</c:v>
                </c:pt>
                <c:pt idx="223">
                  <c:v>3.4963853565896899</c:v>
                </c:pt>
                <c:pt idx="224">
                  <c:v>3.4938484287646401</c:v>
                </c:pt>
                <c:pt idx="225">
                  <c:v>3.4910996323052998</c:v>
                </c:pt>
                <c:pt idx="226">
                  <c:v>3.4891121159456899</c:v>
                </c:pt>
                <c:pt idx="227">
                  <c:v>3.4876544872206199</c:v>
                </c:pt>
                <c:pt idx="228">
                  <c:v>3.4857333369008301</c:v>
                </c:pt>
                <c:pt idx="229">
                  <c:v>3.4850032849855199</c:v>
                </c:pt>
                <c:pt idx="230">
                  <c:v>3.4825219841469699</c:v>
                </c:pt>
                <c:pt idx="231">
                  <c:v>3.4816105057921001</c:v>
                </c:pt>
                <c:pt idx="232">
                  <c:v>3.4809908608995999</c:v>
                </c:pt>
                <c:pt idx="233">
                  <c:v>3.48076697347103</c:v>
                </c:pt>
                <c:pt idx="234">
                  <c:v>3.48136880198633</c:v>
                </c:pt>
                <c:pt idx="235">
                  <c:v>3.4819330442835401</c:v>
                </c:pt>
                <c:pt idx="236">
                  <c:v>3.4815260998391002</c:v>
                </c:pt>
                <c:pt idx="237">
                  <c:v>3.4809571511400401</c:v>
                </c:pt>
                <c:pt idx="238">
                  <c:v>3.4792150708207599</c:v>
                </c:pt>
                <c:pt idx="239">
                  <c:v>3.4760042552080801</c:v>
                </c:pt>
                <c:pt idx="240">
                  <c:v>3.4709213802335399</c:v>
                </c:pt>
                <c:pt idx="241">
                  <c:v>3.4656995447257501</c:v>
                </c:pt>
                <c:pt idx="242">
                  <c:v>3.4603693193955301</c:v>
                </c:pt>
                <c:pt idx="243">
                  <c:v>3.4563907596313999</c:v>
                </c:pt>
                <c:pt idx="244">
                  <c:v>3.45430077614213</c:v>
                </c:pt>
                <c:pt idx="245">
                  <c:v>3.4516421214707602</c:v>
                </c:pt>
                <c:pt idx="246">
                  <c:v>3.4484781791349102</c:v>
                </c:pt>
                <c:pt idx="247">
                  <c:v>3.4434367874576099</c:v>
                </c:pt>
                <c:pt idx="248">
                  <c:v>3.4398156995668598</c:v>
                </c:pt>
                <c:pt idx="249">
                  <c:v>3.4354919711177598</c:v>
                </c:pt>
                <c:pt idx="250">
                  <c:v>3.4323583351677902</c:v>
                </c:pt>
                <c:pt idx="251">
                  <c:v>3.4311736008290699</c:v>
                </c:pt>
                <c:pt idx="252">
                  <c:v>3.4290069597705202</c:v>
                </c:pt>
                <c:pt idx="253">
                  <c:v>3.42679274142654</c:v>
                </c:pt>
                <c:pt idx="254">
                  <c:v>3.42473904876895</c:v>
                </c:pt>
                <c:pt idx="255">
                  <c:v>3.4229727960957002</c:v>
                </c:pt>
                <c:pt idx="256">
                  <c:v>3.4209174966737299</c:v>
                </c:pt>
                <c:pt idx="257">
                  <c:v>3.41982640929126</c:v>
                </c:pt>
                <c:pt idx="258">
                  <c:v>3.4182672619395098</c:v>
                </c:pt>
                <c:pt idx="259">
                  <c:v>3.4164356521130799</c:v>
                </c:pt>
                <c:pt idx="260">
                  <c:v>3.41500841137037</c:v>
                </c:pt>
                <c:pt idx="261">
                  <c:v>3.4148331868639699</c:v>
                </c:pt>
                <c:pt idx="262">
                  <c:v>3.41443670914372</c:v>
                </c:pt>
                <c:pt idx="263">
                  <c:v>3.4111841838911898</c:v>
                </c:pt>
                <c:pt idx="264">
                  <c:v>3.4074275385464801</c:v>
                </c:pt>
                <c:pt idx="265">
                  <c:v>3.4047869980059402</c:v>
                </c:pt>
                <c:pt idx="266">
                  <c:v>3.4021715846852398</c:v>
                </c:pt>
                <c:pt idx="267">
                  <c:v>3.3991845230398501</c:v>
                </c:pt>
                <c:pt idx="268">
                  <c:v>3.3965458149100298</c:v>
                </c:pt>
                <c:pt idx="269">
                  <c:v>3.3940227618338401</c:v>
                </c:pt>
                <c:pt idx="270">
                  <c:v>3.3912289005338598</c:v>
                </c:pt>
                <c:pt idx="271">
                  <c:v>3.3886477299159798</c:v>
                </c:pt>
                <c:pt idx="272">
                  <c:v>3.3851443380207402</c:v>
                </c:pt>
                <c:pt idx="273">
                  <c:v>3.3822990628390199</c:v>
                </c:pt>
                <c:pt idx="274">
                  <c:v>3.3803408689009702</c:v>
                </c:pt>
                <c:pt idx="275">
                  <c:v>3.3771237169115098</c:v>
                </c:pt>
                <c:pt idx="276">
                  <c:v>3.3737281738859899</c:v>
                </c:pt>
                <c:pt idx="277">
                  <c:v>3.3696777340460802</c:v>
                </c:pt>
                <c:pt idx="278">
                  <c:v>3.36529323274834</c:v>
                </c:pt>
                <c:pt idx="279">
                  <c:v>3.36037630264692</c:v>
                </c:pt>
                <c:pt idx="280">
                  <c:v>3.3564021487806301</c:v>
                </c:pt>
                <c:pt idx="281">
                  <c:v>3.3511814448468802</c:v>
                </c:pt>
                <c:pt idx="282">
                  <c:v>3.3467402775170099</c:v>
                </c:pt>
                <c:pt idx="283">
                  <c:v>3.3432520574301798</c:v>
                </c:pt>
                <c:pt idx="284">
                  <c:v>3.3396005271119802</c:v>
                </c:pt>
                <c:pt idx="285">
                  <c:v>3.3361399724624401</c:v>
                </c:pt>
                <c:pt idx="286">
                  <c:v>3.3339876681045202</c:v>
                </c:pt>
                <c:pt idx="287">
                  <c:v>3.3312020665844799</c:v>
                </c:pt>
                <c:pt idx="288">
                  <c:v>3.32902590337671</c:v>
                </c:pt>
                <c:pt idx="289">
                  <c:v>3.3263789940575501</c:v>
                </c:pt>
                <c:pt idx="290">
                  <c:v>3.3235010557373301</c:v>
                </c:pt>
                <c:pt idx="291">
                  <c:v>3.3193679004505001</c:v>
                </c:pt>
                <c:pt idx="292">
                  <c:v>3.3137702709484902</c:v>
                </c:pt>
                <c:pt idx="293">
                  <c:v>3.3090604063450102</c:v>
                </c:pt>
                <c:pt idx="294">
                  <c:v>3.30363895953109</c:v>
                </c:pt>
                <c:pt idx="295">
                  <c:v>3.29948370591771</c:v>
                </c:pt>
                <c:pt idx="296">
                  <c:v>3.2950304539678998</c:v>
                </c:pt>
                <c:pt idx="297">
                  <c:v>3.2916075336495298</c:v>
                </c:pt>
                <c:pt idx="298">
                  <c:v>3.2888640157419702</c:v>
                </c:pt>
                <c:pt idx="299">
                  <c:v>3.2858402118550001</c:v>
                </c:pt>
                <c:pt idx="300">
                  <c:v>3.2829648034062</c:v>
                </c:pt>
                <c:pt idx="301">
                  <c:v>3.28014142497531</c:v>
                </c:pt>
                <c:pt idx="302">
                  <c:v>3.2777497885709299</c:v>
                </c:pt>
                <c:pt idx="303">
                  <c:v>3.27801786757691</c:v>
                </c:pt>
                <c:pt idx="304">
                  <c:v>3.2771774423270399</c:v>
                </c:pt>
                <c:pt idx="305">
                  <c:v>3.2768088291778401</c:v>
                </c:pt>
                <c:pt idx="306">
                  <c:v>3.2760304398224198</c:v>
                </c:pt>
                <c:pt idx="307">
                  <c:v>3.2750218967264502</c:v>
                </c:pt>
                <c:pt idx="308">
                  <c:v>3.27337796572471</c:v>
                </c:pt>
                <c:pt idx="309">
                  <c:v>3.2713959357835098</c:v>
                </c:pt>
                <c:pt idx="310">
                  <c:v>3.26938673720929</c:v>
                </c:pt>
                <c:pt idx="311">
                  <c:v>3.26844810686499</c:v>
                </c:pt>
                <c:pt idx="312">
                  <c:v>3.2679448441454499</c:v>
                </c:pt>
                <c:pt idx="313">
                  <c:v>3.2692091791755802</c:v>
                </c:pt>
                <c:pt idx="314">
                  <c:v>3.2707047644255298</c:v>
                </c:pt>
                <c:pt idx="315">
                  <c:v>3.2727981292328598</c:v>
                </c:pt>
                <c:pt idx="316">
                  <c:v>3.2761884047318999</c:v>
                </c:pt>
                <c:pt idx="317">
                  <c:v>3.2819229032753898</c:v>
                </c:pt>
                <c:pt idx="318">
                  <c:v>3.28649087397921</c:v>
                </c:pt>
                <c:pt idx="319">
                  <c:v>3.2905613816899901</c:v>
                </c:pt>
                <c:pt idx="320">
                  <c:v>3.2946565037322499</c:v>
                </c:pt>
                <c:pt idx="321">
                  <c:v>3.2985656374361301</c:v>
                </c:pt>
                <c:pt idx="322">
                  <c:v>3.3022911126916901</c:v>
                </c:pt>
                <c:pt idx="323">
                  <c:v>3.3044160411447301</c:v>
                </c:pt>
                <c:pt idx="324">
                  <c:v>3.30623456017124</c:v>
                </c:pt>
                <c:pt idx="325">
                  <c:v>3.3090996753011401</c:v>
                </c:pt>
                <c:pt idx="326">
                  <c:v>3.31171910553822</c:v>
                </c:pt>
                <c:pt idx="327">
                  <c:v>3.3123637762291298</c:v>
                </c:pt>
                <c:pt idx="328">
                  <c:v>3.31372529271317</c:v>
                </c:pt>
                <c:pt idx="329">
                  <c:v>3.3148778382055699</c:v>
                </c:pt>
                <c:pt idx="330">
                  <c:v>3.3160183277735702</c:v>
                </c:pt>
                <c:pt idx="331">
                  <c:v>3.31731154861922</c:v>
                </c:pt>
                <c:pt idx="332">
                  <c:v>3.3194734477460801</c:v>
                </c:pt>
                <c:pt idx="333">
                  <c:v>3.32232359938362</c:v>
                </c:pt>
                <c:pt idx="334">
                  <c:v>3.3241743189708601</c:v>
                </c:pt>
                <c:pt idx="335">
                  <c:v>3.32607884663298</c:v>
                </c:pt>
                <c:pt idx="336">
                  <c:v>3.3288565029955399</c:v>
                </c:pt>
                <c:pt idx="337">
                  <c:v>3.3302486250810399</c:v>
                </c:pt>
                <c:pt idx="338">
                  <c:v>3.3320246565513401</c:v>
                </c:pt>
                <c:pt idx="339">
                  <c:v>3.3342782099858401</c:v>
                </c:pt>
                <c:pt idx="340">
                  <c:v>3.33803957336433</c:v>
                </c:pt>
                <c:pt idx="341">
                  <c:v>3.3407659730570201</c:v>
                </c:pt>
                <c:pt idx="342">
                  <c:v>3.3432233903080899</c:v>
                </c:pt>
                <c:pt idx="343">
                  <c:v>3.3450442492467598</c:v>
                </c:pt>
                <c:pt idx="344">
                  <c:v>3.3478688928878002</c:v>
                </c:pt>
                <c:pt idx="345">
                  <c:v>3.3503812615394302</c:v>
                </c:pt>
                <c:pt idx="346">
                  <c:v>3.3520942619892802</c:v>
                </c:pt>
                <c:pt idx="347">
                  <c:v>3.3540425961886502</c:v>
                </c:pt>
                <c:pt idx="348">
                  <c:v>3.3551721223306799</c:v>
                </c:pt>
                <c:pt idx="349">
                  <c:v>3.3555693714404402</c:v>
                </c:pt>
                <c:pt idx="350">
                  <c:v>3.3559444609045301</c:v>
                </c:pt>
                <c:pt idx="351">
                  <c:v>3.3573171492262102</c:v>
                </c:pt>
                <c:pt idx="352">
                  <c:v>3.35919889892677</c:v>
                </c:pt>
                <c:pt idx="353">
                  <c:v>3.3610479280338601</c:v>
                </c:pt>
                <c:pt idx="354">
                  <c:v>3.36249899745438</c:v>
                </c:pt>
                <c:pt idx="355">
                  <c:v>3.3643529366233702</c:v>
                </c:pt>
                <c:pt idx="356">
                  <c:v>3.3673364544585498</c:v>
                </c:pt>
                <c:pt idx="357">
                  <c:v>3.3703504766729599</c:v>
                </c:pt>
                <c:pt idx="358">
                  <c:v>3.3723591706149998</c:v>
                </c:pt>
                <c:pt idx="359">
                  <c:v>3.37314783342747</c:v>
                </c:pt>
                <c:pt idx="360">
                  <c:v>3.3743735798672301</c:v>
                </c:pt>
                <c:pt idx="361">
                  <c:v>3.3758829077363099</c:v>
                </c:pt>
                <c:pt idx="362">
                  <c:v>3.3778297669537301</c:v>
                </c:pt>
                <c:pt idx="363">
                  <c:v>3.3796748110183099</c:v>
                </c:pt>
                <c:pt idx="364">
                  <c:v>3.3845204382439902</c:v>
                </c:pt>
                <c:pt idx="365">
                  <c:v>3.3907561024171602</c:v>
                </c:pt>
                <c:pt idx="366">
                  <c:v>3.39764538534549</c:v>
                </c:pt>
                <c:pt idx="367">
                  <c:v>3.4055994403178902</c:v>
                </c:pt>
                <c:pt idx="368">
                  <c:v>3.4126976109644498</c:v>
                </c:pt>
                <c:pt idx="369">
                  <c:v>3.4191796117611699</c:v>
                </c:pt>
                <c:pt idx="370">
                  <c:v>3.4250737395272202</c:v>
                </c:pt>
                <c:pt idx="371">
                  <c:v>3.4308944005508999</c:v>
                </c:pt>
                <c:pt idx="372">
                  <c:v>3.4358297349873799</c:v>
                </c:pt>
                <c:pt idx="373">
                  <c:v>3.44042767501452</c:v>
                </c:pt>
                <c:pt idx="374">
                  <c:v>3.44474589828463</c:v>
                </c:pt>
                <c:pt idx="375">
                  <c:v>3.4483373737636098</c:v>
                </c:pt>
                <c:pt idx="376">
                  <c:v>3.4512384413215198</c:v>
                </c:pt>
                <c:pt idx="377">
                  <c:v>3.45422234673687</c:v>
                </c:pt>
                <c:pt idx="378">
                  <c:v>3.4544734675108</c:v>
                </c:pt>
                <c:pt idx="379">
                  <c:v>3.4553638026293201</c:v>
                </c:pt>
                <c:pt idx="380">
                  <c:v>3.4558994806055199</c:v>
                </c:pt>
                <c:pt idx="381">
                  <c:v>3.4566730294602701</c:v>
                </c:pt>
                <c:pt idx="382">
                  <c:v>3.4575208643583801</c:v>
                </c:pt>
                <c:pt idx="383">
                  <c:v>3.45910535143847</c:v>
                </c:pt>
                <c:pt idx="384">
                  <c:v>3.4610987610677699</c:v>
                </c:pt>
                <c:pt idx="385">
                  <c:v>3.4629420636072399</c:v>
                </c:pt>
                <c:pt idx="386">
                  <c:v>3.46467319034404</c:v>
                </c:pt>
                <c:pt idx="387">
                  <c:v>3.4659388234667601</c:v>
                </c:pt>
                <c:pt idx="388">
                  <c:v>3.4679014313548802</c:v>
                </c:pt>
                <c:pt idx="389">
                  <c:v>3.4708310197044998</c:v>
                </c:pt>
                <c:pt idx="390">
                  <c:v>3.4737167950595298</c:v>
                </c:pt>
                <c:pt idx="391">
                  <c:v>3.4759318069565599</c:v>
                </c:pt>
                <c:pt idx="392">
                  <c:v>3.4750911910597702</c:v>
                </c:pt>
                <c:pt idx="393">
                  <c:v>3.4746896419742899</c:v>
                </c:pt>
                <c:pt idx="394">
                  <c:v>3.4742141657905501</c:v>
                </c:pt>
                <c:pt idx="395">
                  <c:v>3.4749093446206998</c:v>
                </c:pt>
                <c:pt idx="396">
                  <c:v>3.4759701253562398</c:v>
                </c:pt>
                <c:pt idx="397">
                  <c:v>3.4776999492661602</c:v>
                </c:pt>
                <c:pt idx="398">
                  <c:v>3.48063118117657</c:v>
                </c:pt>
                <c:pt idx="399">
                  <c:v>3.48318305175808</c:v>
                </c:pt>
                <c:pt idx="400">
                  <c:v>3.4843472440938998</c:v>
                </c:pt>
                <c:pt idx="401">
                  <c:v>3.4849688395462102</c:v>
                </c:pt>
                <c:pt idx="402">
                  <c:v>3.4887092275532701</c:v>
                </c:pt>
                <c:pt idx="403">
                  <c:v>3.49130541349765</c:v>
                </c:pt>
                <c:pt idx="404">
                  <c:v>3.4941766272107602</c:v>
                </c:pt>
                <c:pt idx="405">
                  <c:v>3.4966890014580301</c:v>
                </c:pt>
                <c:pt idx="406">
                  <c:v>3.4992288232634001</c:v>
                </c:pt>
                <c:pt idx="407">
                  <c:v>3.5013357868136201</c:v>
                </c:pt>
                <c:pt idx="408">
                  <c:v>3.50296657422754</c:v>
                </c:pt>
                <c:pt idx="409">
                  <c:v>3.5051557431193898</c:v>
                </c:pt>
                <c:pt idx="410">
                  <c:v>3.5090211835135099</c:v>
                </c:pt>
                <c:pt idx="411">
                  <c:v>3.5115162340828099</c:v>
                </c:pt>
                <c:pt idx="412">
                  <c:v>3.5148811345862798</c:v>
                </c:pt>
                <c:pt idx="413">
                  <c:v>3.5178507159261101</c:v>
                </c:pt>
                <c:pt idx="414">
                  <c:v>3.5208573928859002</c:v>
                </c:pt>
                <c:pt idx="415">
                  <c:v>3.5223574558822399</c:v>
                </c:pt>
                <c:pt idx="416">
                  <c:v>3.5248596014873699</c:v>
                </c:pt>
                <c:pt idx="417">
                  <c:v>3.5279492981786098</c:v>
                </c:pt>
                <c:pt idx="418">
                  <c:v>3.53188072042586</c:v>
                </c:pt>
                <c:pt idx="419">
                  <c:v>3.5358459517318601</c:v>
                </c:pt>
                <c:pt idx="420">
                  <c:v>3.5393021877770399</c:v>
                </c:pt>
                <c:pt idx="421">
                  <c:v>3.5436917453094501</c:v>
                </c:pt>
                <c:pt idx="422">
                  <c:v>3.5467856536799802</c:v>
                </c:pt>
                <c:pt idx="423">
                  <c:v>3.5476211570697198</c:v>
                </c:pt>
                <c:pt idx="424">
                  <c:v>3.55040970705477</c:v>
                </c:pt>
                <c:pt idx="425">
                  <c:v>3.5550241861503098</c:v>
                </c:pt>
                <c:pt idx="426">
                  <c:v>3.5598165354034399</c:v>
                </c:pt>
                <c:pt idx="427">
                  <c:v>3.5642702633949401</c:v>
                </c:pt>
                <c:pt idx="428">
                  <c:v>3.5696259370110202</c:v>
                </c:pt>
                <c:pt idx="429">
                  <c:v>3.57520129830209</c:v>
                </c:pt>
                <c:pt idx="430">
                  <c:v>3.57979475812399</c:v>
                </c:pt>
                <c:pt idx="431">
                  <c:v>3.5842580456922501</c:v>
                </c:pt>
                <c:pt idx="432">
                  <c:v>3.5890849257016799</c:v>
                </c:pt>
                <c:pt idx="433">
                  <c:v>3.5945699812757601</c:v>
                </c:pt>
                <c:pt idx="434">
                  <c:v>3.6002079859132801</c:v>
                </c:pt>
                <c:pt idx="435">
                  <c:v>3.6059791858575299</c:v>
                </c:pt>
                <c:pt idx="436">
                  <c:v>3.6112961661965799</c:v>
                </c:pt>
                <c:pt idx="437">
                  <c:v>3.6172328046086601</c:v>
                </c:pt>
                <c:pt idx="438">
                  <c:v>3.62153545312183</c:v>
                </c:pt>
                <c:pt idx="439">
                  <c:v>3.62378409103319</c:v>
                </c:pt>
                <c:pt idx="440">
                  <c:v>3.6246874844045398</c:v>
                </c:pt>
                <c:pt idx="441">
                  <c:v>3.6267830103762</c:v>
                </c:pt>
                <c:pt idx="442">
                  <c:v>3.6291382266127199</c:v>
                </c:pt>
                <c:pt idx="443">
                  <c:v>3.6317051277364998</c:v>
                </c:pt>
                <c:pt idx="444">
                  <c:v>3.6342098125941198</c:v>
                </c:pt>
                <c:pt idx="445">
                  <c:v>3.63596693094137</c:v>
                </c:pt>
                <c:pt idx="446">
                  <c:v>3.6373233357852301</c:v>
                </c:pt>
                <c:pt idx="447">
                  <c:v>3.6378225978124799</c:v>
                </c:pt>
                <c:pt idx="448">
                  <c:v>3.6377471830311801</c:v>
                </c:pt>
                <c:pt idx="449">
                  <c:v>3.6383712273359499</c:v>
                </c:pt>
                <c:pt idx="450">
                  <c:v>3.6406221575181701</c:v>
                </c:pt>
                <c:pt idx="451">
                  <c:v>3.6427011823012898</c:v>
                </c:pt>
                <c:pt idx="452">
                  <c:v>3.6443277392591402</c:v>
                </c:pt>
                <c:pt idx="453">
                  <c:v>3.64648493402402</c:v>
                </c:pt>
                <c:pt idx="454">
                  <c:v>3.6494873973480599</c:v>
                </c:pt>
                <c:pt idx="455">
                  <c:v>3.65280713014638</c:v>
                </c:pt>
                <c:pt idx="456">
                  <c:v>3.6558421976002502</c:v>
                </c:pt>
                <c:pt idx="457">
                  <c:v>3.65880991344864</c:v>
                </c:pt>
                <c:pt idx="458">
                  <c:v>3.6607378344196402</c:v>
                </c:pt>
                <c:pt idx="459">
                  <c:v>3.6632684109831399</c:v>
                </c:pt>
                <c:pt idx="460">
                  <c:v>3.6665615636494602</c:v>
                </c:pt>
                <c:pt idx="461">
                  <c:v>3.66940868912297</c:v>
                </c:pt>
                <c:pt idx="462">
                  <c:v>3.6728263246657402</c:v>
                </c:pt>
                <c:pt idx="463">
                  <c:v>3.6754151939861801</c:v>
                </c:pt>
                <c:pt idx="464">
                  <c:v>3.6778320773827402</c:v>
                </c:pt>
                <c:pt idx="465">
                  <c:v>3.6816523037678999</c:v>
                </c:pt>
                <c:pt idx="466">
                  <c:v>3.6851886656444801</c:v>
                </c:pt>
                <c:pt idx="467">
                  <c:v>3.6889069638564398</c:v>
                </c:pt>
                <c:pt idx="468">
                  <c:v>3.6932094883448099</c:v>
                </c:pt>
                <c:pt idx="469">
                  <c:v>3.69776747011288</c:v>
                </c:pt>
                <c:pt idx="470">
                  <c:v>3.7009588778612499</c:v>
                </c:pt>
                <c:pt idx="471">
                  <c:v>3.7039608099702699</c:v>
                </c:pt>
                <c:pt idx="472">
                  <c:v>3.7061022199165601</c:v>
                </c:pt>
                <c:pt idx="473">
                  <c:v>3.7084692935389998</c:v>
                </c:pt>
                <c:pt idx="474">
                  <c:v>3.7112961426051401</c:v>
                </c:pt>
                <c:pt idx="475">
                  <c:v>3.71336034646307</c:v>
                </c:pt>
                <c:pt idx="476">
                  <c:v>3.7164602726485798</c:v>
                </c:pt>
                <c:pt idx="477">
                  <c:v>3.7189469225226399</c:v>
                </c:pt>
                <c:pt idx="478">
                  <c:v>3.7222545675529801</c:v>
                </c:pt>
                <c:pt idx="479">
                  <c:v>3.7256900969541702</c:v>
                </c:pt>
                <c:pt idx="480">
                  <c:v>3.7286528027133099</c:v>
                </c:pt>
                <c:pt idx="481">
                  <c:v>3.7340863164257598</c:v>
                </c:pt>
                <c:pt idx="482">
                  <c:v>3.7391441232759899</c:v>
                </c:pt>
                <c:pt idx="483">
                  <c:v>3.7439419443528799</c:v>
                </c:pt>
                <c:pt idx="484">
                  <c:v>3.75037623922467</c:v>
                </c:pt>
                <c:pt idx="485">
                  <c:v>3.7557774509662099</c:v>
                </c:pt>
                <c:pt idx="486">
                  <c:v>3.7607891279036401</c:v>
                </c:pt>
                <c:pt idx="487">
                  <c:v>3.76608151896257</c:v>
                </c:pt>
                <c:pt idx="488">
                  <c:v>3.7716555255743098</c:v>
                </c:pt>
                <c:pt idx="489">
                  <c:v>3.7776425388153299</c:v>
                </c:pt>
                <c:pt idx="490">
                  <c:v>3.7842463283057102</c:v>
                </c:pt>
                <c:pt idx="491">
                  <c:v>3.7902984427461299</c:v>
                </c:pt>
                <c:pt idx="492">
                  <c:v>3.7965430690458701</c:v>
                </c:pt>
                <c:pt idx="493">
                  <c:v>3.8026465183187099</c:v>
                </c:pt>
                <c:pt idx="494">
                  <c:v>3.80807452620826</c:v>
                </c:pt>
                <c:pt idx="495">
                  <c:v>3.8136637187390301</c:v>
                </c:pt>
                <c:pt idx="496">
                  <c:v>3.8198652855547501</c:v>
                </c:pt>
                <c:pt idx="497">
                  <c:v>3.8281541711097602</c:v>
                </c:pt>
                <c:pt idx="498">
                  <c:v>3.83881865277908</c:v>
                </c:pt>
                <c:pt idx="499">
                  <c:v>3.8475562418191802</c:v>
                </c:pt>
                <c:pt idx="500">
                  <c:v>3.8554244722967699</c:v>
                </c:pt>
                <c:pt idx="501">
                  <c:v>3.86295522189064</c:v>
                </c:pt>
                <c:pt idx="502">
                  <c:v>3.8702986151303298</c:v>
                </c:pt>
                <c:pt idx="503">
                  <c:v>3.87732499932841</c:v>
                </c:pt>
                <c:pt idx="504">
                  <c:v>3.8844620504073699</c:v>
                </c:pt>
                <c:pt idx="505">
                  <c:v>3.8919047395837998</c:v>
                </c:pt>
                <c:pt idx="506">
                  <c:v>3.9008337429004798</c:v>
                </c:pt>
                <c:pt idx="507">
                  <c:v>3.9083992064977702</c:v>
                </c:pt>
                <c:pt idx="508">
                  <c:v>3.91447147650966</c:v>
                </c:pt>
                <c:pt idx="509">
                  <c:v>3.9216890992716098</c:v>
                </c:pt>
                <c:pt idx="510">
                  <c:v>3.9291221673176202</c:v>
                </c:pt>
                <c:pt idx="511">
                  <c:v>3.9362643706520499</c:v>
                </c:pt>
                <c:pt idx="512">
                  <c:v>3.9418509382270499</c:v>
                </c:pt>
                <c:pt idx="513">
                  <c:v>3.9485269099734501</c:v>
                </c:pt>
                <c:pt idx="514">
                  <c:v>3.9556749828753799</c:v>
                </c:pt>
                <c:pt idx="515">
                  <c:v>3.9636782141304199</c:v>
                </c:pt>
                <c:pt idx="516">
                  <c:v>3.9699075873297098</c:v>
                </c:pt>
                <c:pt idx="517">
                  <c:v>3.97641928646873</c:v>
                </c:pt>
                <c:pt idx="518">
                  <c:v>3.98322727867146</c:v>
                </c:pt>
                <c:pt idx="519">
                  <c:v>3.98996879529304</c:v>
                </c:pt>
                <c:pt idx="520">
                  <c:v>3.9978636565115702</c:v>
                </c:pt>
                <c:pt idx="521">
                  <c:v>4.0067910785488996</c:v>
                </c:pt>
                <c:pt idx="522">
                  <c:v>4.0157008535446996</c:v>
                </c:pt>
                <c:pt idx="523">
                  <c:v>4.0258036725704702</c:v>
                </c:pt>
                <c:pt idx="524">
                  <c:v>4.0348747544031003</c:v>
                </c:pt>
                <c:pt idx="525">
                  <c:v>4.0419897056078602</c:v>
                </c:pt>
                <c:pt idx="526">
                  <c:v>4.0491100786769403</c:v>
                </c:pt>
                <c:pt idx="527">
                  <c:v>4.0565295284735603</c:v>
                </c:pt>
                <c:pt idx="528">
                  <c:v>4.0643934446731897</c:v>
                </c:pt>
                <c:pt idx="529">
                  <c:v>4.0713095903729002</c:v>
                </c:pt>
                <c:pt idx="530">
                  <c:v>4.0780686953812904</c:v>
                </c:pt>
                <c:pt idx="531">
                  <c:v>4.0851862286859699</c:v>
                </c:pt>
                <c:pt idx="532">
                  <c:v>4.0926118169671</c:v>
                </c:pt>
                <c:pt idx="533">
                  <c:v>4.1023367590764499</c:v>
                </c:pt>
                <c:pt idx="534">
                  <c:v>4.1115099354467297</c:v>
                </c:pt>
                <c:pt idx="535">
                  <c:v>4.1195566611416803</c:v>
                </c:pt>
                <c:pt idx="536">
                  <c:v>4.1276352640159901</c:v>
                </c:pt>
                <c:pt idx="537">
                  <c:v>4.1349456532382396</c:v>
                </c:pt>
                <c:pt idx="538">
                  <c:v>4.1420597939129298</c:v>
                </c:pt>
                <c:pt idx="539">
                  <c:v>4.1493520235724297</c:v>
                </c:pt>
                <c:pt idx="540">
                  <c:v>4.1546053504647604</c:v>
                </c:pt>
                <c:pt idx="541">
                  <c:v>4.1604156752108699</c:v>
                </c:pt>
                <c:pt idx="542">
                  <c:v>4.1656036810935797</c:v>
                </c:pt>
                <c:pt idx="543">
                  <c:v>4.1700452982832896</c:v>
                </c:pt>
                <c:pt idx="544">
                  <c:v>4.17468207306952</c:v>
                </c:pt>
                <c:pt idx="545">
                  <c:v>4.1796289748852899</c:v>
                </c:pt>
                <c:pt idx="546">
                  <c:v>4.1840157465023404</c:v>
                </c:pt>
                <c:pt idx="547">
                  <c:v>4.1913270628249197</c:v>
                </c:pt>
                <c:pt idx="548">
                  <c:v>4.1936699428748101</c:v>
                </c:pt>
                <c:pt idx="549">
                  <c:v>4.19613007890168</c:v>
                </c:pt>
                <c:pt idx="550">
                  <c:v>4.2005056446124298</c:v>
                </c:pt>
                <c:pt idx="551">
                  <c:v>4.2030475201077904</c:v>
                </c:pt>
                <c:pt idx="552">
                  <c:v>4.2064918123666803</c:v>
                </c:pt>
                <c:pt idx="553">
                  <c:v>4.2093524121419801</c:v>
                </c:pt>
                <c:pt idx="554">
                  <c:v>4.2123671230941797</c:v>
                </c:pt>
                <c:pt idx="555">
                  <c:v>4.2158109910541803</c:v>
                </c:pt>
                <c:pt idx="556">
                  <c:v>4.2170175697719596</c:v>
                </c:pt>
                <c:pt idx="557">
                  <c:v>4.2185422926655001</c:v>
                </c:pt>
                <c:pt idx="558">
                  <c:v>4.2201847441965397</c:v>
                </c:pt>
                <c:pt idx="559">
                  <c:v>4.2210040062353196</c:v>
                </c:pt>
                <c:pt idx="560">
                  <c:v>4.2217555068028396</c:v>
                </c:pt>
                <c:pt idx="561">
                  <c:v>4.2229777273502096</c:v>
                </c:pt>
                <c:pt idx="562">
                  <c:v>4.2240724848287998</c:v>
                </c:pt>
                <c:pt idx="563">
                  <c:v>4.2249141147037701</c:v>
                </c:pt>
                <c:pt idx="564">
                  <c:v>4.22484057067674</c:v>
                </c:pt>
                <c:pt idx="565">
                  <c:v>4.2247481567099001</c:v>
                </c:pt>
                <c:pt idx="566">
                  <c:v>4.2241713934650296</c:v>
                </c:pt>
                <c:pt idx="567">
                  <c:v>4.2230147246289498</c:v>
                </c:pt>
                <c:pt idx="568">
                  <c:v>4.2229512541724201</c:v>
                </c:pt>
                <c:pt idx="569">
                  <c:v>4.2220990625312398</c:v>
                </c:pt>
                <c:pt idx="570">
                  <c:v>4.2227615404853802</c:v>
                </c:pt>
                <c:pt idx="571">
                  <c:v>4.2222552589193398</c:v>
                </c:pt>
                <c:pt idx="572">
                  <c:v>4.2210040488110403</c:v>
                </c:pt>
                <c:pt idx="573">
                  <c:v>4.2195953716590298</c:v>
                </c:pt>
                <c:pt idx="574">
                  <c:v>4.2178946646676696</c:v>
                </c:pt>
                <c:pt idx="575">
                  <c:v>4.21573866015187</c:v>
                </c:pt>
                <c:pt idx="576">
                  <c:v>4.2128122271047603</c:v>
                </c:pt>
                <c:pt idx="577">
                  <c:v>4.2107442640266397</c:v>
                </c:pt>
                <c:pt idx="578">
                  <c:v>4.2095376649791802</c:v>
                </c:pt>
                <c:pt idx="579">
                  <c:v>4.20801923688943</c:v>
                </c:pt>
                <c:pt idx="580">
                  <c:v>4.2068469433295101</c:v>
                </c:pt>
                <c:pt idx="581">
                  <c:v>4.2037355285487896</c:v>
                </c:pt>
                <c:pt idx="582">
                  <c:v>4.20135512723028</c:v>
                </c:pt>
                <c:pt idx="583">
                  <c:v>4.1993184406365698</c:v>
                </c:pt>
                <c:pt idx="584">
                  <c:v>4.19781064409454</c:v>
                </c:pt>
                <c:pt idx="585">
                  <c:v>4.19579205211779</c:v>
                </c:pt>
                <c:pt idx="586">
                  <c:v>4.19406662434222</c:v>
                </c:pt>
                <c:pt idx="587">
                  <c:v>4.1928137851312197</c:v>
                </c:pt>
                <c:pt idx="588">
                  <c:v>4.19167400144529</c:v>
                </c:pt>
                <c:pt idx="589">
                  <c:v>4.1904705600435497</c:v>
                </c:pt>
                <c:pt idx="590">
                  <c:v>4.1885870435400498</c:v>
                </c:pt>
                <c:pt idx="591">
                  <c:v>4.1865041516606203</c:v>
                </c:pt>
                <c:pt idx="592">
                  <c:v>4.1858083974378903</c:v>
                </c:pt>
                <c:pt idx="593">
                  <c:v>4.1845926687221704</c:v>
                </c:pt>
                <c:pt idx="594">
                  <c:v>4.1840408148422004</c:v>
                </c:pt>
                <c:pt idx="595">
                  <c:v>4.1830545024428503</c:v>
                </c:pt>
                <c:pt idx="596">
                  <c:v>4.1823800161217601</c:v>
                </c:pt>
                <c:pt idx="597">
                  <c:v>4.1823480735201599</c:v>
                </c:pt>
                <c:pt idx="598">
                  <c:v>4.1805115403924704</c:v>
                </c:pt>
                <c:pt idx="599">
                  <c:v>4.1797658020938897</c:v>
                </c:pt>
                <c:pt idx="600">
                  <c:v>4.1798529624400604</c:v>
                </c:pt>
                <c:pt idx="601">
                  <c:v>4.1814431043191602</c:v>
                </c:pt>
                <c:pt idx="602">
                  <c:v>4.1835642954628796</c:v>
                </c:pt>
                <c:pt idx="603">
                  <c:v>4.1850565214608197</c:v>
                </c:pt>
                <c:pt idx="604">
                  <c:v>4.18585018218615</c:v>
                </c:pt>
                <c:pt idx="605">
                  <c:v>4.18847858417704</c:v>
                </c:pt>
                <c:pt idx="606">
                  <c:v>4.1901911306616499</c:v>
                </c:pt>
                <c:pt idx="607">
                  <c:v>4.1914815658948701</c:v>
                </c:pt>
                <c:pt idx="608">
                  <c:v>4.1933153767831204</c:v>
                </c:pt>
                <c:pt idx="609">
                  <c:v>4.1942666783678098</c:v>
                </c:pt>
                <c:pt idx="610">
                  <c:v>4.1960164221042602</c:v>
                </c:pt>
                <c:pt idx="611">
                  <c:v>4.1979225160222198</c:v>
                </c:pt>
                <c:pt idx="612">
                  <c:v>4.2013222805177</c:v>
                </c:pt>
                <c:pt idx="613">
                  <c:v>4.2058246090361298</c:v>
                </c:pt>
                <c:pt idx="614">
                  <c:v>4.2103897591444497</c:v>
                </c:pt>
                <c:pt idx="615">
                  <c:v>4.2156220386809897</c:v>
                </c:pt>
                <c:pt idx="616">
                  <c:v>4.2202052977554203</c:v>
                </c:pt>
                <c:pt idx="617">
                  <c:v>4.2245862858194396</c:v>
                </c:pt>
                <c:pt idx="618">
                  <c:v>4.2293441205772702</c:v>
                </c:pt>
                <c:pt idx="619">
                  <c:v>4.2340926492022097</c:v>
                </c:pt>
                <c:pt idx="620">
                  <c:v>4.2398957576944403</c:v>
                </c:pt>
                <c:pt idx="621">
                  <c:v>4.2452089571887797</c:v>
                </c:pt>
                <c:pt idx="622">
                  <c:v>4.2491089227280803</c:v>
                </c:pt>
                <c:pt idx="623">
                  <c:v>4.2552375850625399</c:v>
                </c:pt>
                <c:pt idx="624">
                  <c:v>4.2616311857971496</c:v>
                </c:pt>
                <c:pt idx="625">
                  <c:v>4.2662800538299299</c:v>
                </c:pt>
                <c:pt idx="626">
                  <c:v>4.2719585814808898</c:v>
                </c:pt>
                <c:pt idx="627">
                  <c:v>4.2771286875659698</c:v>
                </c:pt>
                <c:pt idx="628">
                  <c:v>4.2834424321021496</c:v>
                </c:pt>
                <c:pt idx="629">
                  <c:v>4.2900309699598802</c:v>
                </c:pt>
                <c:pt idx="630">
                  <c:v>4.2958267631933102</c:v>
                </c:pt>
                <c:pt idx="631">
                  <c:v>4.30307071494678</c:v>
                </c:pt>
                <c:pt idx="632">
                  <c:v>4.3097272567662896</c:v>
                </c:pt>
                <c:pt idx="633">
                  <c:v>4.3165044402329498</c:v>
                </c:pt>
                <c:pt idx="634">
                  <c:v>4.3222960168112401</c:v>
                </c:pt>
                <c:pt idx="635">
                  <c:v>4.3279477963533299</c:v>
                </c:pt>
                <c:pt idx="636">
                  <c:v>4.3339105907329101</c:v>
                </c:pt>
                <c:pt idx="637">
                  <c:v>4.3394087135132198</c:v>
                </c:pt>
                <c:pt idx="638">
                  <c:v>4.3453125854750496</c:v>
                </c:pt>
                <c:pt idx="639">
                  <c:v>4.35146023083934</c:v>
                </c:pt>
                <c:pt idx="640">
                  <c:v>4.3579210911746298</c:v>
                </c:pt>
                <c:pt idx="641">
                  <c:v>4.3652916570504896</c:v>
                </c:pt>
                <c:pt idx="642">
                  <c:v>4.3719568270472502</c:v>
                </c:pt>
                <c:pt idx="643">
                  <c:v>4.3762797231468502</c:v>
                </c:pt>
                <c:pt idx="644">
                  <c:v>4.3807262985633804</c:v>
                </c:pt>
                <c:pt idx="645">
                  <c:v>4.3844002717071398</c:v>
                </c:pt>
                <c:pt idx="646">
                  <c:v>4.3883863852224199</c:v>
                </c:pt>
                <c:pt idx="647">
                  <c:v>4.39180302027553</c:v>
                </c:pt>
                <c:pt idx="648">
                  <c:v>4.3966460320915299</c:v>
                </c:pt>
                <c:pt idx="649">
                  <c:v>4.4030019496645503</c:v>
                </c:pt>
                <c:pt idx="650">
                  <c:v>4.4096262974037899</c:v>
                </c:pt>
                <c:pt idx="651">
                  <c:v>4.4174173294256898</c:v>
                </c:pt>
                <c:pt idx="652">
                  <c:v>4.4243426064595104</c:v>
                </c:pt>
                <c:pt idx="653">
                  <c:v>4.4297323149224797</c:v>
                </c:pt>
                <c:pt idx="654">
                  <c:v>4.4349956990436503</c:v>
                </c:pt>
                <c:pt idx="655">
                  <c:v>4.4390757862862298</c:v>
                </c:pt>
                <c:pt idx="656">
                  <c:v>4.4421283970270196</c:v>
                </c:pt>
                <c:pt idx="657">
                  <c:v>4.4467817840168502</c:v>
                </c:pt>
                <c:pt idx="658">
                  <c:v>4.4515707102800599</c:v>
                </c:pt>
              </c:numCache>
            </c:numRef>
          </c:val>
        </c:ser>
        <c:marker val="1"/>
        <c:axId val="126725120"/>
        <c:axId val="126731008"/>
      </c:lineChart>
      <c:dateAx>
        <c:axId val="126725120"/>
        <c:scaling>
          <c:orientation val="minMax"/>
        </c:scaling>
        <c:axPos val="b"/>
        <c:numFmt formatCode="yyyy/mm/dd" sourceLinked="1"/>
        <c:tickLblPos val="nextTo"/>
        <c:crossAx val="126731008"/>
        <c:crosses val="autoZero"/>
        <c:auto val="1"/>
        <c:lblOffset val="100"/>
      </c:dateAx>
      <c:valAx>
        <c:axId val="126731008"/>
        <c:scaling>
          <c:orientation val="minMax"/>
          <c:max val="4.774152181720285"/>
          <c:min val="3.0602592102136921"/>
        </c:scaling>
        <c:axPos val="l"/>
        <c:majorGridlines/>
        <c:numFmt formatCode="General" sourceLinked="1"/>
        <c:majorTickMark val="none"/>
        <c:tickLblPos val="nextTo"/>
        <c:crossAx val="1267251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124E-2"/>
          <c:w val="0.11146820076747002"/>
          <c:h val="0.1504558576043829"/>
        </c:manualLayout>
      </c:layout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99390</xdr:colOff>
      <xdr:row>3</xdr:row>
      <xdr:rowOff>132523</xdr:rowOff>
    </xdr:from>
    <xdr:to>
      <xdr:col>8</xdr:col>
      <xdr:colOff>289890</xdr:colOff>
      <xdr:row>13</xdr:row>
      <xdr:rowOff>132523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66674</xdr:colOff>
      <xdr:row>2</xdr:row>
      <xdr:rowOff>114299</xdr:rowOff>
    </xdr:from>
    <xdr:to>
      <xdr:col>19</xdr:col>
      <xdr:colOff>323849</xdr:colOff>
      <xdr:row>36</xdr:row>
      <xdr:rowOff>66674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workbookViewId="0">
      <selection activeCell="D17" sqref="D17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W14"/>
  <sheetViews>
    <sheetView showGridLines="0" zoomScale="115" zoomScaleNormal="115" workbookViewId="0">
      <selection activeCell="M28" sqref="M28"/>
    </sheetView>
  </sheetViews>
  <sheetFormatPr defaultRowHeight="14.25"/>
  <cols>
    <col min="1" max="1" width="1.625" customWidth="1"/>
    <col min="2" max="2" width="4.87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9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1.25" customWidth="1"/>
  </cols>
  <sheetData>
    <row r="1" spans="2:23" ht="18.75" customHeight="1" thickBot="1">
      <c r="C1" s="64" t="s">
        <v>226</v>
      </c>
      <c r="D1" s="18"/>
      <c r="H1" s="1"/>
      <c r="I1" s="18" t="s">
        <v>48</v>
      </c>
      <c r="J1" s="63"/>
      <c r="K1" s="159">
        <v>43795</v>
      </c>
      <c r="L1" s="160"/>
      <c r="M1" s="28"/>
      <c r="N1" s="18" t="s">
        <v>330</v>
      </c>
      <c r="P1" s="159">
        <f ca="1">TODAY()</f>
        <v>43795</v>
      </c>
      <c r="Q1" s="161"/>
      <c r="U1" s="64" t="s">
        <v>47</v>
      </c>
      <c r="V1" s="64"/>
    </row>
    <row r="2" spans="2:23" ht="16.5" customHeight="1" thickBot="1">
      <c r="J2" s="101">
        <f>SUM(J4:J90)</f>
        <v>10168910</v>
      </c>
      <c r="R2" s="136">
        <f>SUM(R4:R90)</f>
        <v>-95319.999999999971</v>
      </c>
      <c r="S2" s="98">
        <f>SUM(S4:S90)</f>
        <v>-4.655294874360532E-2</v>
      </c>
    </row>
    <row r="3" spans="2:23" ht="24.75" thickBot="1">
      <c r="C3" s="65" t="s">
        <v>208</v>
      </c>
      <c r="D3" s="75" t="s">
        <v>233</v>
      </c>
      <c r="E3" s="67"/>
      <c r="F3" s="66" t="s">
        <v>98</v>
      </c>
      <c r="G3" s="68" t="s">
        <v>99</v>
      </c>
      <c r="H3" s="69" t="s">
        <v>209</v>
      </c>
      <c r="I3" s="69" t="s">
        <v>210</v>
      </c>
      <c r="J3" s="67" t="s">
        <v>46</v>
      </c>
      <c r="K3" s="67" t="s">
        <v>211</v>
      </c>
      <c r="L3" s="69" t="s">
        <v>212</v>
      </c>
      <c r="M3" s="70" t="s">
        <v>234</v>
      </c>
      <c r="N3" s="67" t="s">
        <v>213</v>
      </c>
      <c r="O3" s="70" t="s">
        <v>228</v>
      </c>
      <c r="P3" s="67" t="s">
        <v>323</v>
      </c>
      <c r="Q3" s="67" t="s">
        <v>214</v>
      </c>
      <c r="R3" s="70" t="s">
        <v>230</v>
      </c>
      <c r="S3" s="73" t="s">
        <v>231</v>
      </c>
      <c r="T3" s="72"/>
      <c r="U3" s="74" t="s">
        <v>329</v>
      </c>
      <c r="V3" s="74" t="s">
        <v>232</v>
      </c>
      <c r="W3" s="71" t="s">
        <v>229</v>
      </c>
    </row>
    <row r="4" spans="2:23" s="115" customFormat="1">
      <c r="B4" s="30" t="s">
        <v>207</v>
      </c>
      <c r="C4" s="151">
        <f>ROW()/2-1</f>
        <v>1</v>
      </c>
      <c r="D4" s="153">
        <v>43783</v>
      </c>
      <c r="E4" s="40" t="s">
        <v>216</v>
      </c>
      <c r="F4" s="40">
        <v>3105</v>
      </c>
      <c r="G4" s="62" t="s">
        <v>122</v>
      </c>
      <c r="H4" s="56">
        <v>970</v>
      </c>
      <c r="I4" s="40">
        <v>1100</v>
      </c>
      <c r="J4" s="57">
        <f t="shared" ref="J4:J5" si="0">H4*I4</f>
        <v>1067000</v>
      </c>
      <c r="K4" s="59" t="s">
        <v>222</v>
      </c>
      <c r="L4" s="56">
        <v>979</v>
      </c>
      <c r="M4" s="40">
        <f t="shared" ref="M4:M13" si="1">360*2</f>
        <v>720</v>
      </c>
      <c r="N4" s="40">
        <v>162</v>
      </c>
      <c r="O4" s="59">
        <v>92</v>
      </c>
      <c r="P4" s="56">
        <f>(H4-L4)*I4-M4-N4-O4</f>
        <v>-10874</v>
      </c>
      <c r="Q4" s="58">
        <f t="shared" ref="Q4:Q5" si="2">P4/J4</f>
        <v>-1.0191190253045924E-2</v>
      </c>
      <c r="R4" s="155">
        <f>P4+P5</f>
        <v>-32188</v>
      </c>
      <c r="S4" s="156">
        <f t="shared" ref="S4" si="3">R4/(J4+J5)</f>
        <v>-1.5162992274354626E-2</v>
      </c>
      <c r="U4" s="158">
        <f ca="1">$P$1</f>
        <v>43795</v>
      </c>
      <c r="V4" s="150">
        <f t="shared" ref="V4" ca="1" si="4">DATEDIF(D4,U4,"d")</f>
        <v>12</v>
      </c>
      <c r="W4" s="150"/>
    </row>
    <row r="5" spans="2:23" s="115" customFormat="1">
      <c r="B5" s="30"/>
      <c r="C5" s="152"/>
      <c r="D5" s="154">
        <v>43748</v>
      </c>
      <c r="E5" s="36" t="s">
        <v>217</v>
      </c>
      <c r="F5" s="36">
        <v>6301</v>
      </c>
      <c r="G5" s="61" t="s">
        <v>143</v>
      </c>
      <c r="H5" s="53">
        <v>2639.5</v>
      </c>
      <c r="I5" s="53">
        <v>400</v>
      </c>
      <c r="J5" s="54">
        <f t="shared" si="0"/>
        <v>1055800</v>
      </c>
      <c r="K5" s="45" t="s">
        <v>206</v>
      </c>
      <c r="L5" s="48">
        <v>2590</v>
      </c>
      <c r="M5" s="38">
        <f t="shared" si="1"/>
        <v>720</v>
      </c>
      <c r="N5" s="141">
        <v>386</v>
      </c>
      <c r="O5" s="141">
        <v>408</v>
      </c>
      <c r="P5" s="36">
        <f>(L5-H5)*I5-M5-N5-O5</f>
        <v>-21314</v>
      </c>
      <c r="Q5" s="55">
        <f t="shared" si="2"/>
        <v>-2.0187535518090549E-2</v>
      </c>
      <c r="R5" s="155"/>
      <c r="S5" s="157"/>
      <c r="U5" s="150"/>
      <c r="V5" s="150"/>
      <c r="W5" s="150"/>
    </row>
    <row r="6" spans="2:23" s="115" customFormat="1">
      <c r="B6" s="30" t="s">
        <v>207</v>
      </c>
      <c r="C6" s="151">
        <f>ROW()/2-1</f>
        <v>2</v>
      </c>
      <c r="D6" s="153">
        <v>43784</v>
      </c>
      <c r="E6" s="40" t="s">
        <v>216</v>
      </c>
      <c r="F6" s="40">
        <v>6770</v>
      </c>
      <c r="G6" s="62" t="s">
        <v>50</v>
      </c>
      <c r="H6" s="56">
        <v>2386</v>
      </c>
      <c r="I6" s="40">
        <v>400</v>
      </c>
      <c r="J6" s="57">
        <f t="shared" ref="J6:J7" si="5">H6*I6</f>
        <v>954400</v>
      </c>
      <c r="K6" s="59" t="s">
        <v>222</v>
      </c>
      <c r="L6" s="56">
        <v>2488</v>
      </c>
      <c r="M6" s="40">
        <f t="shared" si="1"/>
        <v>720</v>
      </c>
      <c r="N6" s="40">
        <v>162</v>
      </c>
      <c r="O6" s="59">
        <v>92</v>
      </c>
      <c r="P6" s="56">
        <f>(H6-L6)*I6-M6-N6-O6</f>
        <v>-41774</v>
      </c>
      <c r="Q6" s="58">
        <f t="shared" ref="Q6:Q7" si="6">P6/J6</f>
        <v>-4.3769907795473594E-2</v>
      </c>
      <c r="R6" s="155">
        <f>P6+P7</f>
        <v>-34288</v>
      </c>
      <c r="S6" s="156">
        <f t="shared" ref="S6" si="7">R6/(J6+J7)</f>
        <v>-1.8063428511221159E-2</v>
      </c>
      <c r="U6" s="158">
        <f ca="1">$P$1</f>
        <v>43795</v>
      </c>
      <c r="V6" s="150">
        <f t="shared" ref="V6" ca="1" si="8">DATEDIF(D6,U6,"d")</f>
        <v>11</v>
      </c>
      <c r="W6" s="150"/>
    </row>
    <row r="7" spans="2:23" s="115" customFormat="1">
      <c r="B7" s="30"/>
      <c r="C7" s="152"/>
      <c r="D7" s="154">
        <v>43748</v>
      </c>
      <c r="E7" s="36" t="s">
        <v>217</v>
      </c>
      <c r="F7" s="36">
        <v>1911</v>
      </c>
      <c r="G7" s="61" t="s">
        <v>137</v>
      </c>
      <c r="H7" s="53">
        <v>1573</v>
      </c>
      <c r="I7" s="53">
        <v>600</v>
      </c>
      <c r="J7" s="54">
        <f t="shared" si="5"/>
        <v>943800</v>
      </c>
      <c r="K7" s="45" t="s">
        <v>206</v>
      </c>
      <c r="L7" s="48">
        <v>1588</v>
      </c>
      <c r="M7" s="38">
        <f t="shared" si="1"/>
        <v>720</v>
      </c>
      <c r="N7" s="142">
        <v>386</v>
      </c>
      <c r="O7" s="142">
        <v>408</v>
      </c>
      <c r="P7" s="36">
        <f>(L7-H7)*I7-M7-N7-O7</f>
        <v>7486</v>
      </c>
      <c r="Q7" s="55">
        <f t="shared" si="6"/>
        <v>7.9317652044924771E-3</v>
      </c>
      <c r="R7" s="155"/>
      <c r="S7" s="157"/>
      <c r="U7" s="150"/>
      <c r="V7" s="150"/>
      <c r="W7" s="150"/>
    </row>
    <row r="8" spans="2:23" s="115" customFormat="1">
      <c r="B8" s="30" t="s">
        <v>207</v>
      </c>
      <c r="C8" s="151">
        <f>ROW()/2-1</f>
        <v>3</v>
      </c>
      <c r="D8" s="153">
        <v>43789</v>
      </c>
      <c r="E8" s="40" t="s">
        <v>216</v>
      </c>
      <c r="F8" s="40">
        <v>4182</v>
      </c>
      <c r="G8" s="62" t="s">
        <v>119</v>
      </c>
      <c r="H8" s="56">
        <v>1627</v>
      </c>
      <c r="I8" s="40">
        <v>600</v>
      </c>
      <c r="J8" s="57">
        <f t="shared" ref="J8:J9" si="9">H8*I8</f>
        <v>976200</v>
      </c>
      <c r="K8" s="59" t="s">
        <v>222</v>
      </c>
      <c r="L8" s="56">
        <v>1641</v>
      </c>
      <c r="M8" s="40">
        <f t="shared" si="1"/>
        <v>720</v>
      </c>
      <c r="N8" s="40">
        <v>162</v>
      </c>
      <c r="O8" s="59">
        <v>92</v>
      </c>
      <c r="P8" s="56">
        <f>(H8-L8)*I8-M8-N8-O8</f>
        <v>-9374</v>
      </c>
      <c r="Q8" s="58">
        <f t="shared" ref="Q8:Q9" si="10">P8/J8</f>
        <v>-9.6025404630198721E-3</v>
      </c>
      <c r="R8" s="155">
        <f>P8+P9</f>
        <v>112</v>
      </c>
      <c r="S8" s="156">
        <f t="shared" ref="S8" si="11">R8/(J8+J9)</f>
        <v>5.7459470552021345E-5</v>
      </c>
      <c r="U8" s="158">
        <f ca="1">$P$1</f>
        <v>43795</v>
      </c>
      <c r="V8" s="150">
        <f t="shared" ref="V8" ca="1" si="12">DATEDIF(D8,U8,"d")</f>
        <v>6</v>
      </c>
      <c r="W8" s="150"/>
    </row>
    <row r="9" spans="2:23" s="115" customFormat="1">
      <c r="B9" s="30"/>
      <c r="C9" s="152"/>
      <c r="D9" s="154">
        <v>43748</v>
      </c>
      <c r="E9" s="36" t="s">
        <v>217</v>
      </c>
      <c r="F9" s="36">
        <v>1824</v>
      </c>
      <c r="G9" s="61" t="s">
        <v>404</v>
      </c>
      <c r="H9" s="53">
        <v>973</v>
      </c>
      <c r="I9" s="53">
        <v>1000</v>
      </c>
      <c r="J9" s="54">
        <f t="shared" si="9"/>
        <v>973000</v>
      </c>
      <c r="K9" s="45" t="s">
        <v>206</v>
      </c>
      <c r="L9" s="48">
        <v>984</v>
      </c>
      <c r="M9" s="38">
        <f t="shared" si="1"/>
        <v>720</v>
      </c>
      <c r="N9" s="143">
        <v>386</v>
      </c>
      <c r="O9" s="143">
        <v>408</v>
      </c>
      <c r="P9" s="36">
        <f>(L9-H9)*I9-M9-N9-O9</f>
        <v>9486</v>
      </c>
      <c r="Q9" s="55">
        <f t="shared" si="10"/>
        <v>9.7492291880781085E-3</v>
      </c>
      <c r="R9" s="155"/>
      <c r="S9" s="157"/>
      <c r="U9" s="150"/>
      <c r="V9" s="150"/>
      <c r="W9" s="150"/>
    </row>
    <row r="10" spans="2:23" s="115" customFormat="1">
      <c r="B10" s="30" t="s">
        <v>207</v>
      </c>
      <c r="C10" s="151">
        <f>ROW()/2-1</f>
        <v>4</v>
      </c>
      <c r="D10" s="153">
        <v>43790</v>
      </c>
      <c r="E10" s="40" t="s">
        <v>216</v>
      </c>
      <c r="F10" s="40">
        <v>6995</v>
      </c>
      <c r="G10" s="62" t="s">
        <v>123</v>
      </c>
      <c r="H10" s="56">
        <v>2050</v>
      </c>
      <c r="I10" s="40">
        <v>500</v>
      </c>
      <c r="J10" s="57">
        <f t="shared" ref="J10:J11" si="13">H10*I10</f>
        <v>1025000</v>
      </c>
      <c r="K10" s="59" t="s">
        <v>222</v>
      </c>
      <c r="L10" s="56">
        <v>2122</v>
      </c>
      <c r="M10" s="40">
        <f t="shared" si="1"/>
        <v>720</v>
      </c>
      <c r="N10" s="40">
        <v>162</v>
      </c>
      <c r="O10" s="59">
        <v>92</v>
      </c>
      <c r="P10" s="56">
        <f>(H10-L10)*I10-M10-N10-O10</f>
        <v>-36974</v>
      </c>
      <c r="Q10" s="58">
        <f t="shared" ref="Q10:Q11" si="14">P10/J10</f>
        <v>-3.6072195121951221E-2</v>
      </c>
      <c r="R10" s="155">
        <f>P10+P11</f>
        <v>6312</v>
      </c>
      <c r="S10" s="156">
        <f t="shared" ref="S10" si="15">R10/(J10+J11)</f>
        <v>3.0709350977911843E-3</v>
      </c>
      <c r="U10" s="158">
        <f ca="1">$P$1</f>
        <v>43795</v>
      </c>
      <c r="V10" s="150">
        <f t="shared" ref="V10" ca="1" si="16">DATEDIF(D10,U10,"d")</f>
        <v>5</v>
      </c>
      <c r="W10" s="150"/>
    </row>
    <row r="11" spans="2:23" s="115" customFormat="1">
      <c r="B11" s="30"/>
      <c r="C11" s="152"/>
      <c r="D11" s="154">
        <v>43748</v>
      </c>
      <c r="E11" s="36" t="s">
        <v>217</v>
      </c>
      <c r="F11" s="36">
        <v>6472</v>
      </c>
      <c r="G11" s="61" t="s">
        <v>183</v>
      </c>
      <c r="H11" s="53">
        <v>322</v>
      </c>
      <c r="I11" s="53">
        <v>3200</v>
      </c>
      <c r="J11" s="54">
        <f t="shared" si="13"/>
        <v>1030400</v>
      </c>
      <c r="K11" s="45" t="s">
        <v>206</v>
      </c>
      <c r="L11" s="48">
        <v>336</v>
      </c>
      <c r="M11" s="38">
        <f t="shared" si="1"/>
        <v>720</v>
      </c>
      <c r="N11" s="143">
        <v>386</v>
      </c>
      <c r="O11" s="143">
        <v>408</v>
      </c>
      <c r="P11" s="36">
        <f>(L11-H11)*I11-M11-N11-O11</f>
        <v>43286</v>
      </c>
      <c r="Q11" s="55">
        <f t="shared" si="14"/>
        <v>4.2008928571428572E-2</v>
      </c>
      <c r="R11" s="155"/>
      <c r="S11" s="157"/>
      <c r="U11" s="150"/>
      <c r="V11" s="150"/>
      <c r="W11" s="150"/>
    </row>
    <row r="12" spans="2:23" s="115" customFormat="1">
      <c r="B12" s="30" t="s">
        <v>207</v>
      </c>
      <c r="C12" s="151">
        <f>ROW()/2-1</f>
        <v>5</v>
      </c>
      <c r="D12" s="153">
        <v>43791</v>
      </c>
      <c r="E12" s="40" t="s">
        <v>216</v>
      </c>
      <c r="F12" s="40">
        <v>8601</v>
      </c>
      <c r="G12" s="62" t="s">
        <v>53</v>
      </c>
      <c r="H12" s="56">
        <v>533.79999999999995</v>
      </c>
      <c r="I12" s="40">
        <v>2000</v>
      </c>
      <c r="J12" s="57">
        <f t="shared" ref="J12:J13" si="17">H12*I12</f>
        <v>1067600</v>
      </c>
      <c r="K12" s="59" t="s">
        <v>222</v>
      </c>
      <c r="L12" s="56">
        <v>544.9</v>
      </c>
      <c r="M12" s="40">
        <f t="shared" si="1"/>
        <v>720</v>
      </c>
      <c r="N12" s="40">
        <v>162</v>
      </c>
      <c r="O12" s="59">
        <v>92</v>
      </c>
      <c r="P12" s="56">
        <f>(H12-L12)*I12-M12-N12-O12</f>
        <v>-23174.000000000044</v>
      </c>
      <c r="Q12" s="58">
        <f t="shared" ref="Q12:Q13" si="18">P12/J12</f>
        <v>-2.1706631697264934E-2</v>
      </c>
      <c r="R12" s="155">
        <f>P12+P13</f>
        <v>-35267.999999999964</v>
      </c>
      <c r="S12" s="156">
        <f t="shared" ref="S12" si="19">R12/(J12+J13)</f>
        <v>-1.6454922526372744E-2</v>
      </c>
      <c r="U12" s="158">
        <f ca="1">$P$1</f>
        <v>43795</v>
      </c>
      <c r="V12" s="150">
        <f t="shared" ref="V12" ca="1" si="20">DATEDIF(D12,U12,"d")</f>
        <v>4</v>
      </c>
      <c r="W12" s="150"/>
    </row>
    <row r="13" spans="2:23" s="115" customFormat="1">
      <c r="B13" s="30"/>
      <c r="C13" s="152"/>
      <c r="D13" s="154">
        <v>43748</v>
      </c>
      <c r="E13" s="36" t="s">
        <v>217</v>
      </c>
      <c r="F13" s="36">
        <v>8308</v>
      </c>
      <c r="G13" s="61" t="s">
        <v>136</v>
      </c>
      <c r="H13" s="53">
        <v>467.7</v>
      </c>
      <c r="I13" s="53">
        <v>2300</v>
      </c>
      <c r="J13" s="54">
        <f t="shared" si="17"/>
        <v>1075710</v>
      </c>
      <c r="K13" s="45" t="s">
        <v>206</v>
      </c>
      <c r="L13" s="48">
        <v>463.1</v>
      </c>
      <c r="M13" s="38">
        <f t="shared" si="1"/>
        <v>720</v>
      </c>
      <c r="N13" s="144">
        <v>386</v>
      </c>
      <c r="O13" s="144">
        <v>408</v>
      </c>
      <c r="P13" s="36">
        <f>(L13-H13)*I13-M13-N13-O13</f>
        <v>-12093.999999999922</v>
      </c>
      <c r="Q13" s="55">
        <f t="shared" si="18"/>
        <v>-1.124280707625654E-2</v>
      </c>
      <c r="R13" s="155"/>
      <c r="S13" s="157"/>
      <c r="U13" s="150"/>
      <c r="V13" s="150"/>
      <c r="W13" s="150"/>
    </row>
    <row r="14" spans="2:23">
      <c r="I14" s="31"/>
    </row>
  </sheetData>
  <mergeCells count="37">
    <mergeCell ref="V8:V9"/>
    <mergeCell ref="W8:W9"/>
    <mergeCell ref="C10:C11"/>
    <mergeCell ref="D10:D11"/>
    <mergeCell ref="R10:R11"/>
    <mergeCell ref="S10:S11"/>
    <mergeCell ref="U10:U11"/>
    <mergeCell ref="V10:V11"/>
    <mergeCell ref="W10:W11"/>
    <mergeCell ref="C8:C9"/>
    <mergeCell ref="D8:D9"/>
    <mergeCell ref="R8:R9"/>
    <mergeCell ref="S8:S9"/>
    <mergeCell ref="U8:U9"/>
    <mergeCell ref="K1:L1"/>
    <mergeCell ref="P1:Q1"/>
    <mergeCell ref="V6:V7"/>
    <mergeCell ref="W6:W7"/>
    <mergeCell ref="C6:C7"/>
    <mergeCell ref="D6:D7"/>
    <mergeCell ref="R6:R7"/>
    <mergeCell ref="S6:S7"/>
    <mergeCell ref="U6:U7"/>
    <mergeCell ref="V4:V5"/>
    <mergeCell ref="W4:W5"/>
    <mergeCell ref="C4:C5"/>
    <mergeCell ref="D4:D5"/>
    <mergeCell ref="R4:R5"/>
    <mergeCell ref="S4:S5"/>
    <mergeCell ref="U4:U5"/>
    <mergeCell ref="V12:V13"/>
    <mergeCell ref="W12:W13"/>
    <mergeCell ref="C12:C13"/>
    <mergeCell ref="D12:D13"/>
    <mergeCell ref="R12:R13"/>
    <mergeCell ref="S12:S13"/>
    <mergeCell ref="U12:U13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AC23"/>
  <sheetViews>
    <sheetView showGridLines="0" topLeftCell="C1" zoomScaleNormal="100" workbookViewId="0">
      <selection activeCell="K29" sqref="K29"/>
    </sheetView>
  </sheetViews>
  <sheetFormatPr defaultRowHeight="14.25"/>
  <cols>
    <col min="1" max="1" width="0.5" customWidth="1"/>
    <col min="2" max="2" width="4.625" customWidth="1"/>
    <col min="3" max="3" width="3.625" customWidth="1"/>
    <col min="4" max="4" width="10.375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/>
    <row r="2" spans="2:29" ht="15" thickBot="1">
      <c r="C2" s="64" t="s">
        <v>324</v>
      </c>
      <c r="R2" s="102">
        <f>SUM(R4:R1012)</f>
        <v>523060.99999999988</v>
      </c>
      <c r="U2" s="64" t="s">
        <v>205</v>
      </c>
    </row>
    <row r="3" spans="2:29" ht="30" customHeight="1" thickBot="1">
      <c r="C3" s="65" t="s">
        <v>208</v>
      </c>
      <c r="D3" s="99" t="s">
        <v>233</v>
      </c>
      <c r="E3" s="67"/>
      <c r="F3" s="68" t="s">
        <v>98</v>
      </c>
      <c r="G3" s="68" t="s">
        <v>99</v>
      </c>
      <c r="H3" s="70" t="s">
        <v>338</v>
      </c>
      <c r="I3" s="70" t="s">
        <v>335</v>
      </c>
      <c r="J3" s="67" t="s">
        <v>46</v>
      </c>
      <c r="K3" s="67" t="s">
        <v>211</v>
      </c>
      <c r="L3" s="70" t="s">
        <v>336</v>
      </c>
      <c r="M3" s="70" t="s">
        <v>234</v>
      </c>
      <c r="N3" s="67" t="s">
        <v>213</v>
      </c>
      <c r="O3" s="70" t="s">
        <v>228</v>
      </c>
      <c r="P3" s="69" t="s">
        <v>337</v>
      </c>
      <c r="Q3" s="69" t="s">
        <v>215</v>
      </c>
      <c r="R3" s="70" t="s">
        <v>230</v>
      </c>
      <c r="S3" s="73" t="s">
        <v>231</v>
      </c>
      <c r="T3" s="72"/>
      <c r="U3" s="74" t="s">
        <v>325</v>
      </c>
      <c r="V3" s="74" t="s">
        <v>232</v>
      </c>
      <c r="W3" s="74" t="s">
        <v>229</v>
      </c>
      <c r="AA3" s="74" t="s">
        <v>332</v>
      </c>
      <c r="AB3" s="74" t="s">
        <v>333</v>
      </c>
      <c r="AC3" s="74" t="s">
        <v>334</v>
      </c>
    </row>
    <row r="4" spans="2:29">
      <c r="C4" s="166">
        <v>1</v>
      </c>
      <c r="D4" s="176">
        <v>43726</v>
      </c>
      <c r="E4" s="32" t="s">
        <v>326</v>
      </c>
      <c r="F4" s="32">
        <v>6472</v>
      </c>
      <c r="G4" s="60" t="s">
        <v>327</v>
      </c>
      <c r="H4" s="50">
        <v>320</v>
      </c>
      <c r="I4" s="33">
        <v>1200</v>
      </c>
      <c r="J4" s="51">
        <v>384000</v>
      </c>
      <c r="K4" s="44" t="s">
        <v>223</v>
      </c>
      <c r="L4" s="47">
        <v>313</v>
      </c>
      <c r="M4" s="34">
        <v>360</v>
      </c>
      <c r="N4" s="35">
        <v>162</v>
      </c>
      <c r="O4" s="35">
        <v>92</v>
      </c>
      <c r="P4" s="32">
        <v>7786</v>
      </c>
      <c r="Q4" s="52">
        <v>2.0276041666666668E-2</v>
      </c>
      <c r="R4" s="162">
        <f>P4+P5</f>
        <v>32</v>
      </c>
      <c r="S4" s="168">
        <f t="shared" ref="S4" si="0">R4/(J4+J5)</f>
        <v>4.308255694975497E-5</v>
      </c>
      <c r="U4" s="178">
        <v>43742</v>
      </c>
      <c r="V4" s="184">
        <f>DATEDIF(D4,U4,"d")</f>
        <v>16</v>
      </c>
      <c r="W4" s="182" t="s">
        <v>331</v>
      </c>
      <c r="AA4" s="162">
        <f>YEAR(U4)</f>
        <v>2019</v>
      </c>
      <c r="AB4" s="162">
        <f>MONTH(U4)</f>
        <v>10</v>
      </c>
      <c r="AC4" s="162" t="str">
        <f>IF(R4&gt;0,"○","☓")</f>
        <v>○</v>
      </c>
    </row>
    <row r="5" spans="2:29">
      <c r="C5" s="152"/>
      <c r="D5" s="169"/>
      <c r="E5" s="36" t="s">
        <v>328</v>
      </c>
      <c r="F5" s="36">
        <v>6752</v>
      </c>
      <c r="G5" s="61" t="s">
        <v>139</v>
      </c>
      <c r="H5" s="53">
        <v>896.9</v>
      </c>
      <c r="I5" s="37">
        <v>400</v>
      </c>
      <c r="J5" s="54">
        <v>358760</v>
      </c>
      <c r="K5" s="45" t="s">
        <v>224</v>
      </c>
      <c r="L5" s="48">
        <v>880.4</v>
      </c>
      <c r="M5" s="38">
        <v>360</v>
      </c>
      <c r="N5" s="39">
        <v>386</v>
      </c>
      <c r="O5" s="39">
        <v>408</v>
      </c>
      <c r="P5" s="36">
        <v>-7754</v>
      </c>
      <c r="Q5" s="55">
        <v>-2.1613334819935333E-2</v>
      </c>
      <c r="R5" s="157"/>
      <c r="S5" s="177"/>
      <c r="U5" s="179"/>
      <c r="V5" s="185"/>
      <c r="W5" s="183"/>
      <c r="AA5" s="157"/>
      <c r="AB5" s="157"/>
      <c r="AC5" s="157"/>
    </row>
    <row r="6" spans="2:29">
      <c r="C6" s="166">
        <v>2</v>
      </c>
      <c r="D6" s="175">
        <v>43732</v>
      </c>
      <c r="E6" s="32" t="s">
        <v>216</v>
      </c>
      <c r="F6" s="32">
        <v>6305</v>
      </c>
      <c r="G6" s="60" t="s">
        <v>59</v>
      </c>
      <c r="H6" s="50">
        <v>2638</v>
      </c>
      <c r="I6" s="33">
        <v>300</v>
      </c>
      <c r="J6" s="51">
        <v>791400</v>
      </c>
      <c r="K6" s="44" t="s">
        <v>223</v>
      </c>
      <c r="L6" s="47">
        <v>2464</v>
      </c>
      <c r="M6" s="34">
        <v>720</v>
      </c>
      <c r="N6" s="35">
        <v>162</v>
      </c>
      <c r="O6" s="35">
        <v>92</v>
      </c>
      <c r="P6" s="32">
        <v>51226</v>
      </c>
      <c r="Q6" s="52">
        <v>6.4728329542582771E-2</v>
      </c>
      <c r="R6" s="162">
        <f>P6+P7</f>
        <v>39212</v>
      </c>
      <c r="S6" s="156">
        <f t="shared" ref="S6" si="1">R6/(J6+J7)</f>
        <v>2.4835011717018178E-2</v>
      </c>
      <c r="T6" s="3"/>
      <c r="U6" s="186">
        <v>43748</v>
      </c>
      <c r="V6" s="187">
        <f>DATEDIF(D6,U6,"d")</f>
        <v>16</v>
      </c>
      <c r="W6" s="165" t="s">
        <v>331</v>
      </c>
      <c r="AA6" s="162">
        <f t="shared" ref="AA6" si="2">YEAR(U6)</f>
        <v>2019</v>
      </c>
      <c r="AB6" s="162">
        <f t="shared" ref="AB6" si="3">MONTH(U6)</f>
        <v>10</v>
      </c>
      <c r="AC6" s="162" t="str">
        <f>IF(R6&gt;0,"○","☓")</f>
        <v>○</v>
      </c>
    </row>
    <row r="7" spans="2:29">
      <c r="C7" s="152"/>
      <c r="D7" s="170"/>
      <c r="E7" s="36" t="s">
        <v>217</v>
      </c>
      <c r="F7" s="36">
        <v>3861</v>
      </c>
      <c r="G7" s="61" t="s">
        <v>92</v>
      </c>
      <c r="H7" s="53">
        <v>525</v>
      </c>
      <c r="I7" s="37">
        <v>1500</v>
      </c>
      <c r="J7" s="54">
        <v>787500</v>
      </c>
      <c r="K7" s="45" t="s">
        <v>224</v>
      </c>
      <c r="L7" s="48">
        <v>518</v>
      </c>
      <c r="M7" s="38">
        <v>720</v>
      </c>
      <c r="N7" s="39">
        <v>386</v>
      </c>
      <c r="O7" s="39">
        <v>408</v>
      </c>
      <c r="P7" s="36">
        <v>-12014</v>
      </c>
      <c r="Q7" s="55">
        <v>-1.5255873015873016E-2</v>
      </c>
      <c r="R7" s="157"/>
      <c r="S7" s="157"/>
      <c r="T7" s="3"/>
      <c r="U7" s="186"/>
      <c r="V7" s="187"/>
      <c r="W7" s="165"/>
      <c r="AA7" s="157"/>
      <c r="AB7" s="157"/>
      <c r="AC7" s="157"/>
    </row>
    <row r="8" spans="2:29">
      <c r="B8" s="30"/>
      <c r="C8" s="151">
        <f>ROW()/2-1</f>
        <v>3</v>
      </c>
      <c r="D8" s="175">
        <v>43747</v>
      </c>
      <c r="E8" s="40" t="s">
        <v>225</v>
      </c>
      <c r="F8" s="40">
        <v>3099</v>
      </c>
      <c r="G8" s="62" t="s">
        <v>90</v>
      </c>
      <c r="H8" s="56">
        <v>872</v>
      </c>
      <c r="I8" s="40">
        <v>1200</v>
      </c>
      <c r="J8" s="40">
        <f t="shared" ref="J8:J11" si="4">H8*I8</f>
        <v>1046400</v>
      </c>
      <c r="K8" s="59" t="s">
        <v>222</v>
      </c>
      <c r="L8" s="56">
        <v>876</v>
      </c>
      <c r="M8" s="40">
        <f t="shared" ref="M8:M11" si="5">360*2</f>
        <v>720</v>
      </c>
      <c r="N8" s="40">
        <v>162</v>
      </c>
      <c r="O8" s="59">
        <v>92</v>
      </c>
      <c r="P8" s="56">
        <f>(H8-L8)*I8-M8-N8-O8</f>
        <v>-5774</v>
      </c>
      <c r="Q8" s="58">
        <f t="shared" ref="Q8:Q11" si="6">P8/J8</f>
        <v>-5.5179663608562694E-3</v>
      </c>
      <c r="R8" s="155">
        <f>P8+P9</f>
        <v>63112</v>
      </c>
      <c r="S8" s="168">
        <f>R8/(J8+J9)</f>
        <v>3.0858595736358303E-2</v>
      </c>
      <c r="U8" s="172">
        <v>43753</v>
      </c>
      <c r="V8" s="152">
        <f t="shared" ref="V8" si="7">DATEDIF(D8,U8,"d")</f>
        <v>6</v>
      </c>
      <c r="W8" s="180" t="s">
        <v>380</v>
      </c>
      <c r="AA8" s="162">
        <f t="shared" ref="AA8:AA10" si="8">YEAR(U8)</f>
        <v>2019</v>
      </c>
      <c r="AB8" s="162">
        <f t="shared" ref="AB8" si="9">MONTH(U8)</f>
        <v>10</v>
      </c>
      <c r="AC8" s="162" t="str">
        <f t="shared" ref="AC8:AC10" si="10">IF(R8&gt;0,"○","☓")</f>
        <v>○</v>
      </c>
    </row>
    <row r="9" spans="2:29">
      <c r="B9" s="30"/>
      <c r="C9" s="152"/>
      <c r="D9" s="170">
        <v>43747</v>
      </c>
      <c r="E9" s="36" t="s">
        <v>217</v>
      </c>
      <c r="F9" s="36">
        <v>7211</v>
      </c>
      <c r="G9" s="61" t="s">
        <v>56</v>
      </c>
      <c r="H9" s="53">
        <v>454</v>
      </c>
      <c r="I9" s="53">
        <v>2200</v>
      </c>
      <c r="J9" s="54">
        <f t="shared" si="4"/>
        <v>998800</v>
      </c>
      <c r="K9" s="45" t="s">
        <v>222</v>
      </c>
      <c r="L9" s="48">
        <v>486</v>
      </c>
      <c r="M9" s="38">
        <f t="shared" si="5"/>
        <v>720</v>
      </c>
      <c r="N9" s="39">
        <v>386</v>
      </c>
      <c r="O9" s="39">
        <v>408</v>
      </c>
      <c r="P9" s="36">
        <f>(L9-H9)*I9-M9-N9-O9</f>
        <v>68886</v>
      </c>
      <c r="Q9" s="55">
        <f t="shared" si="6"/>
        <v>6.8968762515018017E-2</v>
      </c>
      <c r="R9" s="155"/>
      <c r="S9" s="157"/>
      <c r="U9" s="158"/>
      <c r="V9" s="150"/>
      <c r="W9" s="181"/>
      <c r="AA9" s="157"/>
      <c r="AB9" s="157"/>
      <c r="AC9" s="157"/>
    </row>
    <row r="10" spans="2:29">
      <c r="C10" s="151">
        <f>ROW()/2-1</f>
        <v>4</v>
      </c>
      <c r="D10" s="175">
        <v>43753</v>
      </c>
      <c r="E10" s="137" t="s">
        <v>216</v>
      </c>
      <c r="F10" s="40">
        <v>7453</v>
      </c>
      <c r="G10" s="62" t="s">
        <v>138</v>
      </c>
      <c r="H10" s="56">
        <v>2127</v>
      </c>
      <c r="I10" s="40">
        <v>500</v>
      </c>
      <c r="J10" s="40">
        <f t="shared" si="4"/>
        <v>1063500</v>
      </c>
      <c r="K10" s="59" t="s">
        <v>222</v>
      </c>
      <c r="L10" s="56">
        <v>2298</v>
      </c>
      <c r="M10" s="40">
        <f t="shared" si="5"/>
        <v>720</v>
      </c>
      <c r="N10" s="40">
        <v>162</v>
      </c>
      <c r="O10" s="59">
        <v>92</v>
      </c>
      <c r="P10" s="56">
        <f>(H10-L10)*I10-M10-N10-O10</f>
        <v>-86474</v>
      </c>
      <c r="Q10" s="58">
        <f t="shared" si="6"/>
        <v>-8.1310766337564649E-2</v>
      </c>
      <c r="R10" s="155">
        <f>P10+P11</f>
        <v>-93278.000000000029</v>
      </c>
      <c r="S10" s="156">
        <f t="shared" ref="S10" si="11">R10/(J10+J11)</f>
        <v>-4.3858585003691025E-2</v>
      </c>
      <c r="U10" s="171">
        <v>43759</v>
      </c>
      <c r="V10" s="150">
        <f>DATEDIF(D10,U10,"d")</f>
        <v>6</v>
      </c>
      <c r="W10" s="173" t="s">
        <v>351</v>
      </c>
      <c r="X10" s="1" t="s">
        <v>378</v>
      </c>
      <c r="AA10" s="162">
        <f t="shared" si="8"/>
        <v>2019</v>
      </c>
      <c r="AB10" s="162">
        <f t="shared" ref="AB10" si="12">MONTH(U10)</f>
        <v>10</v>
      </c>
      <c r="AC10" s="163" t="str">
        <f t="shared" si="10"/>
        <v>☓</v>
      </c>
    </row>
    <row r="11" spans="2:29">
      <c r="C11" s="152"/>
      <c r="D11" s="170">
        <v>43748</v>
      </c>
      <c r="E11" s="138" t="s">
        <v>217</v>
      </c>
      <c r="F11" s="36">
        <v>8308</v>
      </c>
      <c r="G11" s="61" t="s">
        <v>136</v>
      </c>
      <c r="H11" s="53">
        <v>462.3</v>
      </c>
      <c r="I11" s="53">
        <v>2300</v>
      </c>
      <c r="J11" s="54">
        <f t="shared" si="4"/>
        <v>1063290</v>
      </c>
      <c r="K11" s="45" t="s">
        <v>222</v>
      </c>
      <c r="L11" s="48">
        <v>460</v>
      </c>
      <c r="M11" s="38">
        <f t="shared" si="5"/>
        <v>720</v>
      </c>
      <c r="N11" s="114">
        <v>386</v>
      </c>
      <c r="O11" s="114">
        <v>408</v>
      </c>
      <c r="P11" s="36">
        <f>(L11-H11)*I11-M11-N11-O11</f>
        <v>-6804.0000000000264</v>
      </c>
      <c r="Q11" s="55">
        <f t="shared" si="6"/>
        <v>-6.3990068560787995E-3</v>
      </c>
      <c r="R11" s="155"/>
      <c r="S11" s="157"/>
      <c r="U11" s="172"/>
      <c r="V11" s="150"/>
      <c r="W11" s="174"/>
      <c r="X11" s="1" t="s">
        <v>379</v>
      </c>
      <c r="AA11" s="157"/>
      <c r="AB11" s="157"/>
      <c r="AC11" s="164"/>
    </row>
    <row r="12" spans="2:29">
      <c r="B12" s="30"/>
      <c r="C12" s="166">
        <f>ROW()/2-1</f>
        <v>5</v>
      </c>
      <c r="D12" s="169">
        <v>43742</v>
      </c>
      <c r="E12" s="32" t="s">
        <v>216</v>
      </c>
      <c r="F12" s="32">
        <v>8750</v>
      </c>
      <c r="G12" s="60" t="s">
        <v>58</v>
      </c>
      <c r="H12" s="50">
        <v>1635</v>
      </c>
      <c r="I12" s="33">
        <v>600</v>
      </c>
      <c r="J12" s="51">
        <f>H12*I12</f>
        <v>981000</v>
      </c>
      <c r="K12" s="44" t="s">
        <v>223</v>
      </c>
      <c r="L12" s="47">
        <v>1741.5</v>
      </c>
      <c r="M12" s="34">
        <f>360*2</f>
        <v>720</v>
      </c>
      <c r="N12" s="35">
        <v>162</v>
      </c>
      <c r="O12" s="35">
        <v>92</v>
      </c>
      <c r="P12" s="32">
        <f>(H12-L12)*I12-M12-N12-O12</f>
        <v>-64874</v>
      </c>
      <c r="Q12" s="52">
        <f>P12/J12</f>
        <v>-6.6130479102956163E-2</v>
      </c>
      <c r="R12" s="167">
        <f>P12+P13</f>
        <v>-11199.999999999898</v>
      </c>
      <c r="S12" s="168">
        <f>R12/(J12+J13)</f>
        <v>-5.7306824833502686E-3</v>
      </c>
      <c r="U12" s="171">
        <v>43759</v>
      </c>
      <c r="V12" s="150">
        <f>DATEDIF(D12,U12,"d")</f>
        <v>17</v>
      </c>
      <c r="W12" s="165" t="s">
        <v>331</v>
      </c>
      <c r="AA12" s="162">
        <f t="shared" ref="AA12" si="13">YEAR(U12)</f>
        <v>2019</v>
      </c>
      <c r="AB12" s="162">
        <f t="shared" ref="AB12" si="14">MONTH(U12)</f>
        <v>10</v>
      </c>
      <c r="AC12" s="163" t="str">
        <f t="shared" ref="AC12" si="15">IF(R12&gt;0,"○","☓")</f>
        <v>☓</v>
      </c>
    </row>
    <row r="13" spans="2:29">
      <c r="B13" s="30"/>
      <c r="C13" s="152"/>
      <c r="D13" s="170"/>
      <c r="E13" s="36" t="s">
        <v>217</v>
      </c>
      <c r="F13" s="36">
        <v>8002</v>
      </c>
      <c r="G13" s="61" t="s">
        <v>57</v>
      </c>
      <c r="H13" s="53">
        <v>695.28</v>
      </c>
      <c r="I13" s="37">
        <v>1400</v>
      </c>
      <c r="J13" s="54">
        <f>H13*I13</f>
        <v>973392</v>
      </c>
      <c r="K13" s="100" t="s">
        <v>220</v>
      </c>
      <c r="L13" s="48">
        <v>734.7</v>
      </c>
      <c r="M13" s="38">
        <f>360*2</f>
        <v>720</v>
      </c>
      <c r="N13" s="39">
        <v>386</v>
      </c>
      <c r="O13" s="39">
        <v>408</v>
      </c>
      <c r="P13" s="36">
        <f>(L13-H13)*I13-M13-N13-O13</f>
        <v>53674.000000000102</v>
      </c>
      <c r="Q13" s="55">
        <f>P13/J13</f>
        <v>5.5141196968949924E-2</v>
      </c>
      <c r="R13" s="155"/>
      <c r="S13" s="157"/>
      <c r="U13" s="172"/>
      <c r="V13" s="150"/>
      <c r="W13" s="165"/>
      <c r="AA13" s="157"/>
      <c r="AB13" s="157"/>
      <c r="AC13" s="164"/>
    </row>
    <row r="14" spans="2:29" s="115" customFormat="1">
      <c r="B14" s="30"/>
      <c r="C14" s="151">
        <f>ROW()/2-1</f>
        <v>6</v>
      </c>
      <c r="D14" s="153">
        <v>43745</v>
      </c>
      <c r="E14" s="40" t="s">
        <v>216</v>
      </c>
      <c r="F14" s="40">
        <v>6770</v>
      </c>
      <c r="G14" s="62" t="s">
        <v>50</v>
      </c>
      <c r="H14" s="56">
        <v>2105</v>
      </c>
      <c r="I14" s="41">
        <v>400</v>
      </c>
      <c r="J14" s="57">
        <f t="shared" ref="J14:J19" si="16">H14*I14</f>
        <v>842000</v>
      </c>
      <c r="K14" s="46" t="s">
        <v>223</v>
      </c>
      <c r="L14" s="49">
        <v>2145</v>
      </c>
      <c r="M14" s="42">
        <f t="shared" ref="M14:M19" si="17">360*2</f>
        <v>720</v>
      </c>
      <c r="N14" s="43">
        <v>162</v>
      </c>
      <c r="O14" s="43">
        <v>92</v>
      </c>
      <c r="P14" s="40">
        <f>(H14-L14)*I14-M14-N14-O14</f>
        <v>-16974</v>
      </c>
      <c r="Q14" s="58">
        <f t="shared" ref="Q14:Q19" si="18">P14/J14</f>
        <v>-2.0159144893111641E-2</v>
      </c>
      <c r="R14" s="155">
        <f>P14+P15</f>
        <v>-1335.0000000000437</v>
      </c>
      <c r="S14" s="156">
        <f t="shared" ref="S14" si="19">R14/(J14+J15)</f>
        <v>-7.9789761449534544E-4</v>
      </c>
      <c r="U14" s="158">
        <v>43761</v>
      </c>
      <c r="V14" s="150">
        <f t="shared" ref="V14" si="20">DATEDIF(D14,U14,"d")</f>
        <v>16</v>
      </c>
      <c r="W14" s="165" t="s">
        <v>331</v>
      </c>
      <c r="AA14" s="162">
        <f t="shared" ref="AA14" si="21">YEAR(U14)</f>
        <v>2019</v>
      </c>
      <c r="AB14" s="162">
        <f t="shared" ref="AB14" si="22">MONTH(U14)</f>
        <v>10</v>
      </c>
      <c r="AC14" s="163" t="str">
        <f t="shared" ref="AC14" si="23">IF(R14&gt;0,"○","☓")</f>
        <v>☓</v>
      </c>
    </row>
    <row r="15" spans="2:29" s="115" customFormat="1">
      <c r="B15" s="30"/>
      <c r="C15" s="152"/>
      <c r="D15" s="154">
        <v>43745</v>
      </c>
      <c r="E15" s="36" t="s">
        <v>217</v>
      </c>
      <c r="F15" s="36">
        <v>8601</v>
      </c>
      <c r="G15" s="61" t="s">
        <v>53</v>
      </c>
      <c r="H15" s="53">
        <v>488.91</v>
      </c>
      <c r="I15" s="37">
        <v>1700</v>
      </c>
      <c r="J15" s="54">
        <f t="shared" si="16"/>
        <v>831147</v>
      </c>
      <c r="K15" s="100" t="s">
        <v>430</v>
      </c>
      <c r="L15" s="48">
        <v>499</v>
      </c>
      <c r="M15" s="38">
        <f t="shared" si="17"/>
        <v>720</v>
      </c>
      <c r="N15" s="139">
        <v>386</v>
      </c>
      <c r="O15" s="139">
        <v>408</v>
      </c>
      <c r="P15" s="36">
        <f>(L15-H15)*I15-M15-N15-O15</f>
        <v>15638.999999999956</v>
      </c>
      <c r="Q15" s="55">
        <f t="shared" si="18"/>
        <v>1.8816166093362494E-2</v>
      </c>
      <c r="R15" s="155"/>
      <c r="S15" s="157"/>
      <c r="U15" s="150"/>
      <c r="V15" s="150"/>
      <c r="W15" s="165"/>
      <c r="AA15" s="157"/>
      <c r="AB15" s="157"/>
      <c r="AC15" s="164"/>
    </row>
    <row r="16" spans="2:29" s="115" customFormat="1">
      <c r="B16" s="30"/>
      <c r="C16" s="151">
        <f>ROW()/2-1</f>
        <v>7</v>
      </c>
      <c r="D16" s="153">
        <v>43745</v>
      </c>
      <c r="E16" s="40" t="s">
        <v>216</v>
      </c>
      <c r="F16" s="40">
        <v>5803</v>
      </c>
      <c r="G16" s="62" t="s">
        <v>54</v>
      </c>
      <c r="H16" s="56">
        <v>413</v>
      </c>
      <c r="I16" s="41">
        <v>1700</v>
      </c>
      <c r="J16" s="57">
        <f t="shared" si="16"/>
        <v>702100</v>
      </c>
      <c r="K16" s="46" t="s">
        <v>223</v>
      </c>
      <c r="L16" s="49">
        <v>459</v>
      </c>
      <c r="M16" s="42">
        <f t="shared" si="17"/>
        <v>720</v>
      </c>
      <c r="N16" s="43">
        <v>162</v>
      </c>
      <c r="O16" s="43">
        <v>92</v>
      </c>
      <c r="P16" s="40">
        <f>(H16-L16)*I16-M16-N16-O16</f>
        <v>-79174</v>
      </c>
      <c r="Q16" s="58">
        <f t="shared" si="18"/>
        <v>-0.11276741204956559</v>
      </c>
      <c r="R16" s="155">
        <f>P16+P17</f>
        <v>-16688</v>
      </c>
      <c r="S16" s="156">
        <f>R16/(J16+J17)</f>
        <v>-1.2074379567325086E-2</v>
      </c>
      <c r="U16" s="158">
        <v>43761</v>
      </c>
      <c r="V16" s="150">
        <f t="shared" ref="V16" si="24">DATEDIF(D16,U16,"d")</f>
        <v>16</v>
      </c>
      <c r="W16" s="165" t="s">
        <v>331</v>
      </c>
      <c r="AA16" s="162">
        <f t="shared" ref="AA16" si="25">YEAR(U16)</f>
        <v>2019</v>
      </c>
      <c r="AB16" s="162">
        <f t="shared" ref="AB16" si="26">MONTH(U16)</f>
        <v>10</v>
      </c>
      <c r="AC16" s="163" t="str">
        <f t="shared" ref="AC16" si="27">IF(R16&gt;0,"○","☓")</f>
        <v>☓</v>
      </c>
    </row>
    <row r="17" spans="2:29" s="115" customFormat="1">
      <c r="B17" s="30"/>
      <c r="C17" s="152"/>
      <c r="D17" s="154">
        <v>43745</v>
      </c>
      <c r="E17" s="36" t="s">
        <v>217</v>
      </c>
      <c r="F17" s="36">
        <v>7259</v>
      </c>
      <c r="G17" s="61" t="s">
        <v>55</v>
      </c>
      <c r="H17" s="53">
        <v>3400</v>
      </c>
      <c r="I17" s="53">
        <v>200</v>
      </c>
      <c r="J17" s="54">
        <f t="shared" si="16"/>
        <v>680000</v>
      </c>
      <c r="K17" s="100" t="s">
        <v>206</v>
      </c>
      <c r="L17" s="48">
        <v>3720</v>
      </c>
      <c r="M17" s="38">
        <f t="shared" si="17"/>
        <v>720</v>
      </c>
      <c r="N17" s="139">
        <v>386</v>
      </c>
      <c r="O17" s="139">
        <v>408</v>
      </c>
      <c r="P17" s="36">
        <f>(L17-H17)*I17-M17-N17-O17</f>
        <v>62486</v>
      </c>
      <c r="Q17" s="55">
        <f t="shared" si="18"/>
        <v>9.189117647058824E-2</v>
      </c>
      <c r="R17" s="155"/>
      <c r="S17" s="157"/>
      <c r="U17" s="150"/>
      <c r="V17" s="150"/>
      <c r="W17" s="165"/>
      <c r="AA17" s="157"/>
      <c r="AB17" s="157"/>
      <c r="AC17" s="164"/>
    </row>
    <row r="18" spans="2:29" s="115" customFormat="1">
      <c r="B18" s="30"/>
      <c r="C18" s="151">
        <f>ROW()/2-1</f>
        <v>8</v>
      </c>
      <c r="D18" s="153">
        <v>43748</v>
      </c>
      <c r="E18" s="40" t="s">
        <v>216</v>
      </c>
      <c r="F18" s="40">
        <v>7186</v>
      </c>
      <c r="G18" s="62" t="s">
        <v>218</v>
      </c>
      <c r="H18" s="56">
        <v>410</v>
      </c>
      <c r="I18" s="40">
        <v>1800</v>
      </c>
      <c r="J18" s="40">
        <f t="shared" si="16"/>
        <v>738000</v>
      </c>
      <c r="K18" s="59" t="s">
        <v>222</v>
      </c>
      <c r="L18" s="56">
        <v>444</v>
      </c>
      <c r="M18" s="40">
        <f t="shared" si="17"/>
        <v>720</v>
      </c>
      <c r="N18" s="40">
        <v>162</v>
      </c>
      <c r="O18" s="59">
        <v>92</v>
      </c>
      <c r="P18" s="56">
        <f>(H18-L18)*I18-M18-N18-O18</f>
        <v>-62174</v>
      </c>
      <c r="Q18" s="58">
        <f t="shared" si="18"/>
        <v>-8.4246612466124665E-2</v>
      </c>
      <c r="R18" s="155">
        <f>P18+P19</f>
        <v>-3088</v>
      </c>
      <c r="S18" s="156">
        <f t="shared" ref="S18" si="28">R18/(J18+J19)</f>
        <v>-2.0839519503306789E-3</v>
      </c>
      <c r="U18" s="158">
        <v>43767</v>
      </c>
      <c r="V18" s="150">
        <f t="shared" ref="V18" si="29">DATEDIF(D18,U18,"d")</f>
        <v>19</v>
      </c>
      <c r="W18" s="165" t="s">
        <v>331</v>
      </c>
      <c r="AA18" s="162">
        <f t="shared" ref="AA18" si="30">YEAR(U18)</f>
        <v>2019</v>
      </c>
      <c r="AB18" s="162">
        <f t="shared" ref="AB18" si="31">MONTH(U18)</f>
        <v>10</v>
      </c>
      <c r="AC18" s="163" t="str">
        <f t="shared" ref="AC18" si="32">IF(R18&gt;0,"○","☓")</f>
        <v>☓</v>
      </c>
    </row>
    <row r="19" spans="2:29" s="115" customFormat="1">
      <c r="B19" s="30"/>
      <c r="C19" s="152"/>
      <c r="D19" s="154">
        <v>43748</v>
      </c>
      <c r="E19" s="36" t="s">
        <v>217</v>
      </c>
      <c r="F19" s="36">
        <v>8309</v>
      </c>
      <c r="G19" s="61" t="s">
        <v>219</v>
      </c>
      <c r="H19" s="53">
        <v>3719</v>
      </c>
      <c r="I19" s="53">
        <v>200</v>
      </c>
      <c r="J19" s="54">
        <f t="shared" si="16"/>
        <v>743800</v>
      </c>
      <c r="K19" s="45" t="s">
        <v>222</v>
      </c>
      <c r="L19" s="48">
        <v>4022</v>
      </c>
      <c r="M19" s="38">
        <f t="shared" si="17"/>
        <v>720</v>
      </c>
      <c r="N19" s="140">
        <v>386</v>
      </c>
      <c r="O19" s="140">
        <v>408</v>
      </c>
      <c r="P19" s="36">
        <f>(L19-H19)*I19-M19-N19-O19</f>
        <v>59086</v>
      </c>
      <c r="Q19" s="55">
        <f t="shared" si="18"/>
        <v>7.9438020973379944E-2</v>
      </c>
      <c r="R19" s="155"/>
      <c r="S19" s="157"/>
      <c r="U19" s="150"/>
      <c r="V19" s="150"/>
      <c r="W19" s="165"/>
      <c r="AA19" s="157"/>
      <c r="AB19" s="157"/>
      <c r="AC19" s="164"/>
    </row>
    <row r="20" spans="2:29">
      <c r="B20" s="30"/>
      <c r="C20" s="151">
        <f>ROW()/2-1</f>
        <v>9</v>
      </c>
      <c r="D20" s="153">
        <v>43782</v>
      </c>
      <c r="E20" s="40" t="s">
        <v>216</v>
      </c>
      <c r="F20" s="40">
        <v>1820</v>
      </c>
      <c r="G20" s="62" t="s">
        <v>158</v>
      </c>
      <c r="H20" s="56">
        <v>2431</v>
      </c>
      <c r="I20" s="40">
        <v>400</v>
      </c>
      <c r="J20" s="57">
        <f>H20*I20</f>
        <v>972400</v>
      </c>
      <c r="K20" s="59" t="s">
        <v>222</v>
      </c>
      <c r="L20" s="56">
        <v>2375</v>
      </c>
      <c r="M20" s="40">
        <f>360*2</f>
        <v>720</v>
      </c>
      <c r="N20" s="40">
        <v>162</v>
      </c>
      <c r="O20" s="59">
        <v>92</v>
      </c>
      <c r="P20" s="56">
        <f>(H20-L20)*I20-M20-N20-O20</f>
        <v>21426</v>
      </c>
      <c r="Q20" s="58">
        <f>P20/J20</f>
        <v>2.2034142328259974E-2</v>
      </c>
      <c r="R20" s="155">
        <f>P20+P21</f>
        <v>485966</v>
      </c>
      <c r="S20" s="156">
        <f>R20/(J20+J21)</f>
        <v>0.2544948186257156</v>
      </c>
      <c r="U20" s="158">
        <f ca="1">建玉管理!$P$1</f>
        <v>43795</v>
      </c>
      <c r="V20" s="150">
        <f ca="1">DATEDIF(D20,U20,"d")</f>
        <v>13</v>
      </c>
      <c r="W20" s="180" t="s">
        <v>380</v>
      </c>
      <c r="AA20" s="162">
        <f t="shared" ref="AA20" ca="1" si="33">YEAR(U20)</f>
        <v>2019</v>
      </c>
      <c r="AB20" s="162">
        <f t="shared" ref="AB20" ca="1" si="34">MONTH(U20)</f>
        <v>11</v>
      </c>
      <c r="AC20" s="162" t="str">
        <f t="shared" ref="AC20" si="35">IF(R20&gt;0,"○","☓")</f>
        <v>○</v>
      </c>
    </row>
    <row r="21" spans="2:29">
      <c r="B21" s="30"/>
      <c r="C21" s="152"/>
      <c r="D21" s="154">
        <v>43748</v>
      </c>
      <c r="E21" s="36" t="s">
        <v>217</v>
      </c>
      <c r="F21" s="36">
        <v>4508</v>
      </c>
      <c r="G21" s="61" t="s">
        <v>399</v>
      </c>
      <c r="H21" s="53">
        <v>1338.76</v>
      </c>
      <c r="I21" s="53">
        <v>700</v>
      </c>
      <c r="J21" s="54">
        <f>H21*I21</f>
        <v>937132</v>
      </c>
      <c r="K21" s="45" t="s">
        <v>431</v>
      </c>
      <c r="L21" s="48">
        <v>2004</v>
      </c>
      <c r="M21" s="38">
        <f>360*2</f>
        <v>720</v>
      </c>
      <c r="N21" s="39">
        <v>0</v>
      </c>
      <c r="O21" s="39">
        <v>408</v>
      </c>
      <c r="P21" s="36">
        <f>(L21-H21)*I21-M21-N21-O21</f>
        <v>464540</v>
      </c>
      <c r="Q21" s="55">
        <f>P21/J21</f>
        <v>0.49570391364290195</v>
      </c>
      <c r="R21" s="155"/>
      <c r="S21" s="157"/>
      <c r="U21" s="150"/>
      <c r="V21" s="150"/>
      <c r="W21" s="181"/>
      <c r="AA21" s="157"/>
      <c r="AB21" s="157"/>
      <c r="AC21" s="157"/>
    </row>
    <row r="22" spans="2:29" s="115" customFormat="1">
      <c r="B22" s="30"/>
      <c r="C22" s="151">
        <f>ROW()/2-1</f>
        <v>10</v>
      </c>
      <c r="D22" s="153">
        <v>43782</v>
      </c>
      <c r="E22" s="40" t="s">
        <v>216</v>
      </c>
      <c r="F22" s="40">
        <v>8002</v>
      </c>
      <c r="G22" s="62" t="s">
        <v>57</v>
      </c>
      <c r="H22" s="56">
        <v>814</v>
      </c>
      <c r="I22" s="40">
        <v>1300</v>
      </c>
      <c r="J22" s="57">
        <f>H22*I22</f>
        <v>1058200</v>
      </c>
      <c r="K22" s="59" t="s">
        <v>222</v>
      </c>
      <c r="L22" s="56">
        <v>794.1</v>
      </c>
      <c r="M22" s="40">
        <f>360*2</f>
        <v>720</v>
      </c>
      <c r="N22" s="40">
        <v>162</v>
      </c>
      <c r="O22" s="59">
        <v>92</v>
      </c>
      <c r="P22" s="56">
        <f>(H22-L22)*I22-M22-N22-O22</f>
        <v>24895.999999999971</v>
      </c>
      <c r="Q22" s="58">
        <f>P22/J22</f>
        <v>2.3526743526743499E-2</v>
      </c>
      <c r="R22" s="155">
        <f>P22+P23</f>
        <v>60327.999999999913</v>
      </c>
      <c r="S22" s="156">
        <f>R22/(J22+J23)</f>
        <v>2.888939968585982E-2</v>
      </c>
      <c r="U22" s="158">
        <v>43790</v>
      </c>
      <c r="V22" s="150">
        <f>DATEDIF(D22,U22,"d")</f>
        <v>8</v>
      </c>
      <c r="W22" s="180" t="s">
        <v>380</v>
      </c>
      <c r="AA22" s="162">
        <f t="shared" ref="AA22" si="36">YEAR(U22)</f>
        <v>2019</v>
      </c>
      <c r="AB22" s="162">
        <f t="shared" ref="AB22" si="37">MONTH(U22)</f>
        <v>11</v>
      </c>
      <c r="AC22" s="162" t="str">
        <f t="shared" ref="AC22" si="38">IF(R22&gt;0,"○","☓")</f>
        <v>○</v>
      </c>
    </row>
    <row r="23" spans="2:29" s="115" customFormat="1">
      <c r="B23" s="30"/>
      <c r="C23" s="152"/>
      <c r="D23" s="154">
        <v>43748</v>
      </c>
      <c r="E23" s="36" t="s">
        <v>217</v>
      </c>
      <c r="F23" s="36">
        <v>8601</v>
      </c>
      <c r="G23" s="61" t="s">
        <v>53</v>
      </c>
      <c r="H23" s="53">
        <v>515.02</v>
      </c>
      <c r="I23" s="53">
        <v>2000</v>
      </c>
      <c r="J23" s="54">
        <f>H23*I23</f>
        <v>1030040</v>
      </c>
      <c r="K23" s="45" t="s">
        <v>431</v>
      </c>
      <c r="L23" s="48">
        <v>533.29999999999995</v>
      </c>
      <c r="M23" s="38">
        <f>360*2</f>
        <v>720</v>
      </c>
      <c r="N23" s="140">
        <v>0</v>
      </c>
      <c r="O23" s="140">
        <v>408</v>
      </c>
      <c r="P23" s="36">
        <f>(L23-H23)*I23-M23-N23-O23</f>
        <v>35431.999999999942</v>
      </c>
      <c r="Q23" s="55">
        <f>P23/J23</f>
        <v>3.4398664129548312E-2</v>
      </c>
      <c r="R23" s="155"/>
      <c r="S23" s="157"/>
      <c r="U23" s="150"/>
      <c r="V23" s="150"/>
      <c r="W23" s="181"/>
      <c r="AA23" s="157"/>
      <c r="AB23" s="157"/>
      <c r="AC23" s="157"/>
    </row>
  </sheetData>
  <autoFilter ref="B3:AC23"/>
  <mergeCells count="100">
    <mergeCell ref="W22:W23"/>
    <mergeCell ref="W20:W21"/>
    <mergeCell ref="C20:C21"/>
    <mergeCell ref="R20:R21"/>
    <mergeCell ref="S20:S21"/>
    <mergeCell ref="V20:V21"/>
    <mergeCell ref="U20:U21"/>
    <mergeCell ref="D22:D23"/>
    <mergeCell ref="R22:R23"/>
    <mergeCell ref="S22:S23"/>
    <mergeCell ref="U22:U23"/>
    <mergeCell ref="V22:V23"/>
    <mergeCell ref="V14:V15"/>
    <mergeCell ref="W14:W15"/>
    <mergeCell ref="V16:V17"/>
    <mergeCell ref="W16:W17"/>
    <mergeCell ref="V18:V19"/>
    <mergeCell ref="W18:W19"/>
    <mergeCell ref="AA14:AA15"/>
    <mergeCell ref="AB14:AB1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AA22:AA23"/>
    <mergeCell ref="AB22:AB23"/>
    <mergeCell ref="AC22:AC23"/>
    <mergeCell ref="C18:C19"/>
    <mergeCell ref="D18:D19"/>
    <mergeCell ref="R18:R19"/>
    <mergeCell ref="S18:S19"/>
    <mergeCell ref="U18:U19"/>
    <mergeCell ref="D20:D21"/>
    <mergeCell ref="AA18:AA19"/>
    <mergeCell ref="AB18:AB19"/>
    <mergeCell ref="AC18:AC19"/>
    <mergeCell ref="AA20:AA21"/>
    <mergeCell ref="AB20:AB21"/>
    <mergeCell ref="AC20:AC21"/>
    <mergeCell ref="C22:C23"/>
  </mergeCells>
  <phoneticPr fontId="1" type="noConversion"/>
  <dataValidations count="1">
    <dataValidation type="custom" allowBlank="1" showInputMessage="1" showErrorMessage="1" sqref="K4 K6 K12">
      <formula1>"""aaa"",""bbb"""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27"/>
  <sheetViews>
    <sheetView showGridLines="0" workbookViewId="0">
      <selection activeCell="D38" sqref="D38"/>
    </sheetView>
  </sheetViews>
  <sheetFormatPr defaultRowHeight="14.25"/>
  <sheetData>
    <row r="27" spans="1:1">
      <c r="A27" s="21" t="s">
        <v>97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D42" sqref="D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H19"/>
  <sheetViews>
    <sheetView showGridLines="0" topLeftCell="C1" zoomScale="115" zoomScaleNormal="115" workbookViewId="0">
      <selection activeCell="F23" sqref="F23"/>
    </sheetView>
  </sheetViews>
  <sheetFormatPr defaultRowHeight="14.25"/>
  <cols>
    <col min="2" max="2" width="16.37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>
      <c r="B1" s="1" t="s">
        <v>1</v>
      </c>
    </row>
    <row r="3" spans="1:8">
      <c r="B3" s="4" t="s">
        <v>2</v>
      </c>
      <c r="C3" s="2" t="s">
        <v>3</v>
      </c>
      <c r="F3" s="4" t="s">
        <v>16</v>
      </c>
      <c r="G3" s="11">
        <v>1000000</v>
      </c>
    </row>
    <row r="4" spans="1:8">
      <c r="B4" s="4" t="s">
        <v>4</v>
      </c>
      <c r="C4" s="5">
        <v>43737</v>
      </c>
      <c r="F4" s="4" t="s">
        <v>17</v>
      </c>
      <c r="G4" s="29">
        <v>5</v>
      </c>
    </row>
    <row r="5" spans="1:8">
      <c r="B5" s="8"/>
    </row>
    <row r="6" spans="1:8">
      <c r="A6" s="10"/>
      <c r="B6" s="9"/>
      <c r="C6" s="2" t="s">
        <v>6</v>
      </c>
      <c r="D6" s="2" t="s">
        <v>7</v>
      </c>
      <c r="F6" s="1" t="s">
        <v>18</v>
      </c>
    </row>
    <row r="7" spans="1:8">
      <c r="B7" s="4" t="s">
        <v>5</v>
      </c>
      <c r="C7" s="7">
        <v>0.05</v>
      </c>
      <c r="D7" s="7">
        <v>0.2</v>
      </c>
      <c r="F7" s="4" t="s">
        <v>19</v>
      </c>
      <c r="G7" s="29">
        <v>2.5</v>
      </c>
    </row>
    <row r="8" spans="1:8">
      <c r="B8" s="4" t="s">
        <v>8</v>
      </c>
      <c r="C8" s="24">
        <v>2</v>
      </c>
      <c r="D8" s="24">
        <v>3</v>
      </c>
      <c r="F8" s="4" t="s">
        <v>100</v>
      </c>
      <c r="G8" s="29">
        <v>2.5</v>
      </c>
    </row>
    <row r="9" spans="1:8">
      <c r="B9" s="4" t="s">
        <v>9</v>
      </c>
      <c r="C9" s="24">
        <v>0.9</v>
      </c>
      <c r="D9" s="23">
        <v>1</v>
      </c>
      <c r="E9" s="1"/>
      <c r="F9" s="4" t="s">
        <v>101</v>
      </c>
      <c r="G9" s="25">
        <v>15</v>
      </c>
      <c r="H9" s="1"/>
    </row>
    <row r="10" spans="1:8">
      <c r="B10" s="4" t="s">
        <v>10</v>
      </c>
      <c r="C10" s="3">
        <v>2</v>
      </c>
      <c r="D10" s="3">
        <v>3</v>
      </c>
      <c r="E10" s="12"/>
      <c r="F10" s="4" t="s">
        <v>102</v>
      </c>
      <c r="G10" s="24">
        <v>2</v>
      </c>
      <c r="H10" s="1"/>
    </row>
    <row r="11" spans="1:8">
      <c r="B11" s="4" t="s">
        <v>11</v>
      </c>
      <c r="C11" s="2" t="s">
        <v>15</v>
      </c>
      <c r="D11" s="6"/>
      <c r="E11" s="1" t="s">
        <v>21</v>
      </c>
    </row>
    <row r="12" spans="1:8">
      <c r="B12" s="4" t="s">
        <v>12</v>
      </c>
      <c r="C12" s="2" t="s">
        <v>14</v>
      </c>
      <c r="D12" s="6"/>
    </row>
    <row r="13" spans="1:8">
      <c r="B13" s="4" t="s">
        <v>13</v>
      </c>
      <c r="C13" s="3">
        <v>200</v>
      </c>
      <c r="D13" s="6"/>
    </row>
    <row r="16" spans="1:8">
      <c r="B16" s="1"/>
    </row>
    <row r="17" spans="2:7">
      <c r="B17" s="4" t="s">
        <v>96</v>
      </c>
      <c r="C17" s="188" t="s">
        <v>94</v>
      </c>
      <c r="D17" s="189"/>
      <c r="E17" s="190"/>
      <c r="F17" s="190"/>
    </row>
    <row r="18" spans="2:7">
      <c r="B18" s="4" t="s">
        <v>93</v>
      </c>
      <c r="C18" s="188" t="s">
        <v>95</v>
      </c>
      <c r="D18" s="189"/>
      <c r="E18" s="190"/>
      <c r="F18" s="190"/>
      <c r="G18" s="190"/>
    </row>
    <row r="19" spans="2:7">
      <c r="B19" s="4" t="s">
        <v>493</v>
      </c>
      <c r="C19" s="188" t="s">
        <v>492</v>
      </c>
      <c r="D19" s="189"/>
      <c r="E19" s="190"/>
      <c r="F19" s="190"/>
      <c r="G19" s="190"/>
    </row>
  </sheetData>
  <mergeCells count="3">
    <mergeCell ref="C17:F17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AC300"/>
  <sheetViews>
    <sheetView showGridLines="0" tabSelected="1" zoomScale="85" zoomScaleNormal="85" workbookViewId="0">
      <selection activeCell="N39" sqref="N39"/>
    </sheetView>
  </sheetViews>
  <sheetFormatPr defaultRowHeight="14.25"/>
  <cols>
    <col min="1" max="1" width="5" customWidth="1"/>
    <col min="2" max="2" width="5.625" style="26" customWidth="1"/>
    <col min="3" max="3" width="13.875" style="28" customWidth="1"/>
    <col min="4" max="4" width="10" style="28" customWidth="1"/>
    <col min="5" max="5" width="9.125" customWidth="1"/>
    <col min="6" max="6" width="5.5" customWidth="1"/>
    <col min="7" max="7" width="10.75" customWidth="1"/>
    <col min="8" max="8" width="6.5" style="27" customWidth="1"/>
    <col min="9" max="9" width="15.5" style="28" customWidth="1"/>
    <col min="10" max="10" width="12.5" style="28" customWidth="1"/>
    <col min="11" max="11" width="7.5" style="27" customWidth="1"/>
    <col min="12" max="12" width="6.875" style="27" customWidth="1"/>
    <col min="13" max="13" width="14.625" style="27" customWidth="1"/>
    <col min="14" max="14" width="7.625" style="27" customWidth="1"/>
    <col min="15" max="15" width="6.75" style="27" customWidth="1"/>
    <col min="16" max="17" width="7.875" style="27" customWidth="1"/>
    <col min="18" max="18" width="7.375" style="27" customWidth="1"/>
    <col min="19" max="19" width="9.875" style="27" customWidth="1"/>
    <col min="20" max="20" width="10.25" style="27" customWidth="1"/>
    <col min="21" max="21" width="6.125" style="26" customWidth="1"/>
    <col min="22" max="22" width="7" style="27" customWidth="1"/>
    <col min="23" max="23" width="8.875" style="27" customWidth="1"/>
    <col min="24" max="24" width="6.5" style="27" customWidth="1"/>
    <col min="25" max="25" width="5.875" style="27" customWidth="1"/>
    <col min="26" max="26" width="7.5" style="27" customWidth="1"/>
    <col min="27" max="27" width="6.875" style="27" customWidth="1"/>
    <col min="28" max="28" width="6.375" style="27" customWidth="1"/>
    <col min="29" max="29" width="7" style="27" customWidth="1"/>
  </cols>
  <sheetData>
    <row r="1" spans="1:29" ht="15" thickBot="1"/>
    <row r="2" spans="1:29">
      <c r="A2" s="115"/>
      <c r="B2" s="195" t="s">
        <v>352</v>
      </c>
      <c r="C2" s="192"/>
      <c r="D2" s="192"/>
      <c r="E2" s="192"/>
      <c r="F2" s="192"/>
      <c r="G2" s="193"/>
      <c r="H2" s="196" t="s">
        <v>353</v>
      </c>
      <c r="I2" s="192"/>
      <c r="J2" s="192"/>
      <c r="K2" s="192"/>
      <c r="L2" s="192"/>
      <c r="M2" s="193"/>
      <c r="N2" s="191" t="s">
        <v>354</v>
      </c>
      <c r="O2" s="192"/>
      <c r="P2" s="192"/>
      <c r="Q2" s="192"/>
      <c r="R2" s="193"/>
      <c r="S2" s="194" t="s">
        <v>355</v>
      </c>
      <c r="T2" s="192"/>
      <c r="U2" s="192"/>
      <c r="V2" s="192"/>
      <c r="W2" s="192"/>
      <c r="X2" s="192"/>
      <c r="Y2" s="193"/>
      <c r="Z2" s="120" t="s">
        <v>356</v>
      </c>
      <c r="AA2" s="121"/>
      <c r="AB2" s="121"/>
      <c r="AC2" s="122"/>
    </row>
    <row r="3" spans="1:29" s="22" customFormat="1" ht="28.5" customHeight="1" thickBot="1">
      <c r="A3" s="116"/>
      <c r="B3" s="118" t="s">
        <v>357</v>
      </c>
      <c r="C3" s="134" t="s">
        <v>358</v>
      </c>
      <c r="D3" s="134" t="s">
        <v>359</v>
      </c>
      <c r="E3" s="134" t="s">
        <v>360</v>
      </c>
      <c r="F3" s="134" t="s">
        <v>361</v>
      </c>
      <c r="G3" s="135" t="s">
        <v>491</v>
      </c>
      <c r="H3" s="119" t="s">
        <v>357</v>
      </c>
      <c r="I3" s="123" t="s">
        <v>358</v>
      </c>
      <c r="J3" s="123" t="s">
        <v>359</v>
      </c>
      <c r="K3" s="123" t="s">
        <v>360</v>
      </c>
      <c r="L3" s="123" t="s">
        <v>361</v>
      </c>
      <c r="M3" s="124" t="s">
        <v>490</v>
      </c>
      <c r="N3" s="125" t="s">
        <v>362</v>
      </c>
      <c r="O3" s="126" t="s">
        <v>363</v>
      </c>
      <c r="P3" s="126" t="s">
        <v>364</v>
      </c>
      <c r="Q3" s="126" t="s">
        <v>365</v>
      </c>
      <c r="R3" s="127" t="s">
        <v>366</v>
      </c>
      <c r="S3" s="128" t="s">
        <v>367</v>
      </c>
      <c r="T3" s="129" t="s">
        <v>368</v>
      </c>
      <c r="U3" s="117" t="s">
        <v>369</v>
      </c>
      <c r="V3" s="117" t="s">
        <v>370</v>
      </c>
      <c r="W3" s="117" t="s">
        <v>371</v>
      </c>
      <c r="X3" s="129" t="s">
        <v>372</v>
      </c>
      <c r="Y3" s="130" t="s">
        <v>373</v>
      </c>
      <c r="Z3" s="131" t="s">
        <v>374</v>
      </c>
      <c r="AA3" s="132" t="s">
        <v>375</v>
      </c>
      <c r="AB3" s="132" t="s">
        <v>376</v>
      </c>
      <c r="AC3" s="132" t="s">
        <v>377</v>
      </c>
    </row>
    <row r="4" spans="1:29">
      <c r="A4" s="133" t="s">
        <v>339</v>
      </c>
      <c r="B4">
        <v>7278</v>
      </c>
      <c r="C4" s="115" t="s">
        <v>114</v>
      </c>
      <c r="D4" s="115" t="s">
        <v>115</v>
      </c>
      <c r="E4">
        <v>2483</v>
      </c>
      <c r="F4">
        <v>300</v>
      </c>
      <c r="G4" s="115" t="s">
        <v>980</v>
      </c>
      <c r="H4">
        <v>6371</v>
      </c>
      <c r="I4" s="115" t="s">
        <v>142</v>
      </c>
      <c r="J4" s="115" t="s">
        <v>133</v>
      </c>
      <c r="K4">
        <v>3770</v>
      </c>
      <c r="L4">
        <v>200</v>
      </c>
      <c r="M4"/>
      <c r="N4">
        <v>-2.2473746302283901</v>
      </c>
      <c r="O4">
        <v>-5.91</v>
      </c>
      <c r="P4">
        <v>744900</v>
      </c>
      <c r="Q4">
        <v>754000</v>
      </c>
      <c r="R4">
        <v>1.21</v>
      </c>
      <c r="S4">
        <v>415459</v>
      </c>
      <c r="T4">
        <v>41546</v>
      </c>
      <c r="U4" s="145">
        <v>10</v>
      </c>
      <c r="V4" s="145">
        <v>8</v>
      </c>
      <c r="W4" s="145" t="s">
        <v>470</v>
      </c>
      <c r="X4">
        <v>80</v>
      </c>
      <c r="Y4">
        <v>10</v>
      </c>
      <c r="Z4">
        <v>0.96079622041869295</v>
      </c>
      <c r="AA4">
        <v>0.90953211353385799</v>
      </c>
      <c r="AB4">
        <v>8.0063811461658695E-4</v>
      </c>
      <c r="AC4">
        <v>2.0218873896526102E-2</v>
      </c>
    </row>
    <row r="5" spans="1:29">
      <c r="A5" s="133" t="s">
        <v>339</v>
      </c>
      <c r="B5">
        <v>5802</v>
      </c>
      <c r="C5" s="115" t="s">
        <v>175</v>
      </c>
      <c r="D5" s="115" t="s">
        <v>176</v>
      </c>
      <c r="E5">
        <v>1580</v>
      </c>
      <c r="F5">
        <v>500</v>
      </c>
      <c r="H5">
        <v>6371</v>
      </c>
      <c r="I5" s="115" t="s">
        <v>142</v>
      </c>
      <c r="J5" s="115" t="s">
        <v>133</v>
      </c>
      <c r="K5">
        <v>3770</v>
      </c>
      <c r="L5">
        <v>200</v>
      </c>
      <c r="M5"/>
      <c r="N5">
        <v>2.34912960515515</v>
      </c>
      <c r="O5">
        <v>5.4</v>
      </c>
      <c r="P5">
        <v>790000</v>
      </c>
      <c r="Q5">
        <v>754000</v>
      </c>
      <c r="R5">
        <v>4.7699999999999996</v>
      </c>
      <c r="S5">
        <v>401064</v>
      </c>
      <c r="T5">
        <v>28647</v>
      </c>
      <c r="U5" s="145">
        <v>14</v>
      </c>
      <c r="V5" s="145">
        <v>9</v>
      </c>
      <c r="W5" s="145" t="s">
        <v>471</v>
      </c>
      <c r="X5">
        <v>64.290000000000006</v>
      </c>
      <c r="Y5">
        <v>12</v>
      </c>
      <c r="Z5">
        <v>0.98795081219569603</v>
      </c>
      <c r="AA5">
        <v>0.91806448404165997</v>
      </c>
      <c r="AB5">
        <v>3.0312623517447701E-9</v>
      </c>
      <c r="AC5">
        <v>8.7031290463385792E-3</v>
      </c>
    </row>
    <row r="6" spans="1:29" s="146" customFormat="1">
      <c r="A6" s="149" t="s">
        <v>339</v>
      </c>
      <c r="B6" s="147">
        <v>6770</v>
      </c>
      <c r="C6" s="146" t="s">
        <v>50</v>
      </c>
      <c r="D6" s="146" t="s">
        <v>118</v>
      </c>
      <c r="E6" s="146">
        <v>2488</v>
      </c>
      <c r="F6" s="146">
        <v>400</v>
      </c>
      <c r="H6" s="147">
        <v>1911</v>
      </c>
      <c r="I6" s="146" t="s">
        <v>137</v>
      </c>
      <c r="J6" s="146" t="s">
        <v>108</v>
      </c>
      <c r="K6" s="146">
        <v>1588</v>
      </c>
      <c r="L6" s="146">
        <v>600</v>
      </c>
      <c r="N6" s="146">
        <v>-2.1965770728630298</v>
      </c>
      <c r="O6" s="146">
        <v>-9.52</v>
      </c>
      <c r="P6" s="146">
        <v>995200</v>
      </c>
      <c r="Q6" s="146">
        <v>952800</v>
      </c>
      <c r="R6" s="146">
        <v>4.26</v>
      </c>
      <c r="S6" s="146">
        <v>349410</v>
      </c>
      <c r="T6" s="146">
        <v>21838</v>
      </c>
      <c r="U6" s="148">
        <v>16</v>
      </c>
      <c r="V6" s="148">
        <v>12</v>
      </c>
      <c r="W6" s="148" t="s">
        <v>472</v>
      </c>
      <c r="X6" s="146">
        <v>75</v>
      </c>
      <c r="Y6" s="146">
        <v>11</v>
      </c>
      <c r="Z6" s="146">
        <v>0.92133415841139799</v>
      </c>
      <c r="AA6" s="146">
        <v>0.91428057855706801</v>
      </c>
      <c r="AB6" s="146">
        <v>0.33186401161145601</v>
      </c>
      <c r="AC6" s="146">
        <v>0.105392470416628</v>
      </c>
    </row>
    <row r="7" spans="1:29" s="146" customFormat="1">
      <c r="A7" s="149" t="s">
        <v>339</v>
      </c>
      <c r="B7" s="147">
        <v>4182</v>
      </c>
      <c r="C7" s="146" t="s">
        <v>119</v>
      </c>
      <c r="D7" s="146" t="s">
        <v>88</v>
      </c>
      <c r="E7" s="146">
        <v>1641</v>
      </c>
      <c r="F7" s="146">
        <v>600</v>
      </c>
      <c r="H7" s="147">
        <v>1824</v>
      </c>
      <c r="I7" s="146" t="s">
        <v>404</v>
      </c>
      <c r="J7" s="146" t="s">
        <v>108</v>
      </c>
      <c r="K7" s="146">
        <v>984</v>
      </c>
      <c r="L7" s="146">
        <v>1000</v>
      </c>
      <c r="M7" s="146" t="s">
        <v>1079</v>
      </c>
      <c r="N7" s="146">
        <v>-2.2479145285729598</v>
      </c>
      <c r="O7" s="146">
        <v>-8.5399999999999991</v>
      </c>
      <c r="P7" s="146">
        <v>984600</v>
      </c>
      <c r="Q7" s="146">
        <v>984000</v>
      </c>
      <c r="R7" s="146">
        <v>0.06</v>
      </c>
      <c r="S7" s="146">
        <v>348724</v>
      </c>
      <c r="T7" s="146">
        <v>17436</v>
      </c>
      <c r="U7" s="148">
        <v>20</v>
      </c>
      <c r="V7" s="148">
        <v>12</v>
      </c>
      <c r="W7" s="148" t="s">
        <v>451</v>
      </c>
      <c r="X7" s="146">
        <v>60</v>
      </c>
      <c r="Y7" s="146">
        <v>10</v>
      </c>
      <c r="Z7" s="146">
        <v>0.92455907948100202</v>
      </c>
      <c r="AA7" s="146">
        <v>0.90544770055721902</v>
      </c>
      <c r="AB7" s="146">
        <v>0.364320649137859</v>
      </c>
      <c r="AC7" s="146">
        <v>0.18293019671966099</v>
      </c>
    </row>
    <row r="8" spans="1:29">
      <c r="A8" s="133" t="s">
        <v>339</v>
      </c>
      <c r="B8">
        <v>7272</v>
      </c>
      <c r="C8" s="115" t="s">
        <v>385</v>
      </c>
      <c r="D8" s="115" t="s">
        <v>115</v>
      </c>
      <c r="E8">
        <v>2285</v>
      </c>
      <c r="F8">
        <v>400</v>
      </c>
      <c r="H8">
        <v>1860</v>
      </c>
      <c r="I8" s="115" t="s">
        <v>145</v>
      </c>
      <c r="J8" s="115" t="s">
        <v>108</v>
      </c>
      <c r="K8">
        <v>670</v>
      </c>
      <c r="L8">
        <v>1400</v>
      </c>
      <c r="M8" s="115" t="s">
        <v>1079</v>
      </c>
      <c r="N8">
        <v>-2.35932641919231</v>
      </c>
      <c r="O8">
        <v>-8.39</v>
      </c>
      <c r="P8">
        <v>914000</v>
      </c>
      <c r="Q8">
        <v>938000</v>
      </c>
      <c r="R8">
        <v>2.63</v>
      </c>
      <c r="S8">
        <v>251538</v>
      </c>
      <c r="T8">
        <v>13974</v>
      </c>
      <c r="U8" s="145">
        <v>18</v>
      </c>
      <c r="V8" s="145">
        <v>11</v>
      </c>
      <c r="W8" s="145" t="s">
        <v>473</v>
      </c>
      <c r="X8">
        <v>61.11</v>
      </c>
      <c r="Y8">
        <v>10</v>
      </c>
      <c r="Z8">
        <v>0.95384624589425704</v>
      </c>
      <c r="AA8">
        <v>0.91222196666106004</v>
      </c>
      <c r="AB8">
        <v>3.4656798354951598E-2</v>
      </c>
      <c r="AC8">
        <v>2.8841207334502099E-3</v>
      </c>
    </row>
    <row r="9" spans="1:29" s="146" customFormat="1">
      <c r="A9" s="149" t="s">
        <v>339</v>
      </c>
      <c r="B9" s="146">
        <v>5802</v>
      </c>
      <c r="C9" s="146" t="s">
        <v>175</v>
      </c>
      <c r="D9" s="146" t="s">
        <v>176</v>
      </c>
      <c r="E9" s="146">
        <v>1580</v>
      </c>
      <c r="F9" s="146">
        <v>600</v>
      </c>
      <c r="H9" s="147">
        <v>6472</v>
      </c>
      <c r="I9" s="146" t="s">
        <v>183</v>
      </c>
      <c r="J9" s="146" t="s">
        <v>133</v>
      </c>
      <c r="K9" s="146">
        <v>336</v>
      </c>
      <c r="L9" s="146">
        <v>2800</v>
      </c>
      <c r="N9" s="146">
        <v>2.3684823308695799</v>
      </c>
      <c r="O9" s="146">
        <v>5.99</v>
      </c>
      <c r="P9" s="146">
        <v>948000</v>
      </c>
      <c r="Q9" s="146">
        <v>940800</v>
      </c>
      <c r="R9" s="146">
        <v>0.76</v>
      </c>
      <c r="S9" s="146">
        <v>211012</v>
      </c>
      <c r="T9" s="146">
        <v>13188</v>
      </c>
      <c r="U9" s="148">
        <v>16</v>
      </c>
      <c r="V9" s="148">
        <v>11</v>
      </c>
      <c r="W9" s="148" t="s">
        <v>454</v>
      </c>
      <c r="X9" s="146">
        <v>68.75</v>
      </c>
      <c r="Y9" s="146">
        <v>15</v>
      </c>
      <c r="Z9" s="146">
        <v>0.93505744204465502</v>
      </c>
      <c r="AA9" s="146">
        <v>0.93230758233673505</v>
      </c>
      <c r="AB9" s="146">
        <v>5.4717280343074298E-2</v>
      </c>
      <c r="AC9" s="146">
        <v>8.9547695463564492E-3</v>
      </c>
    </row>
    <row r="10" spans="1:29" s="146" customFormat="1">
      <c r="A10" s="149" t="s">
        <v>339</v>
      </c>
      <c r="B10" s="147">
        <v>3105</v>
      </c>
      <c r="C10" s="146" t="s">
        <v>122</v>
      </c>
      <c r="D10" s="146" t="s">
        <v>118</v>
      </c>
      <c r="E10" s="146">
        <v>979</v>
      </c>
      <c r="F10" s="146">
        <v>1100</v>
      </c>
      <c r="H10" s="146">
        <v>6473</v>
      </c>
      <c r="I10" s="146" t="s">
        <v>178</v>
      </c>
      <c r="J10" s="146" t="s">
        <v>133</v>
      </c>
      <c r="K10" s="146">
        <v>1375</v>
      </c>
      <c r="L10" s="146">
        <v>800</v>
      </c>
      <c r="N10" s="146">
        <v>2.0357876538459601</v>
      </c>
      <c r="O10" s="146">
        <v>4.25</v>
      </c>
      <c r="P10" s="146">
        <v>1076900</v>
      </c>
      <c r="Q10" s="146">
        <v>1100000</v>
      </c>
      <c r="R10" s="146">
        <v>2.1</v>
      </c>
      <c r="S10" s="146">
        <v>204665</v>
      </c>
      <c r="T10" s="146">
        <v>9746</v>
      </c>
      <c r="U10" s="148">
        <v>21</v>
      </c>
      <c r="V10" s="148">
        <v>10</v>
      </c>
      <c r="W10" s="148" t="s">
        <v>474</v>
      </c>
      <c r="X10" s="146">
        <v>47.62</v>
      </c>
      <c r="Y10" s="146">
        <v>13</v>
      </c>
      <c r="Z10" s="146">
        <v>0.955982118720756</v>
      </c>
      <c r="AA10" s="146">
        <v>0.91803552679707601</v>
      </c>
      <c r="AB10" s="146">
        <v>4.34476777565002E-2</v>
      </c>
      <c r="AC10" s="146">
        <v>0.160204533262163</v>
      </c>
    </row>
    <row r="11" spans="1:29">
      <c r="A11" s="133" t="s">
        <v>339</v>
      </c>
      <c r="B11">
        <v>5411</v>
      </c>
      <c r="C11" s="115" t="s">
        <v>124</v>
      </c>
      <c r="D11" s="115" t="s">
        <v>125</v>
      </c>
      <c r="E11">
        <v>1376</v>
      </c>
      <c r="F11">
        <v>700</v>
      </c>
      <c r="H11">
        <v>5214</v>
      </c>
      <c r="I11" s="115" t="s">
        <v>173</v>
      </c>
      <c r="J11" s="115" t="s">
        <v>140</v>
      </c>
      <c r="K11">
        <v>2374</v>
      </c>
      <c r="L11">
        <v>400</v>
      </c>
      <c r="M11"/>
      <c r="N11">
        <v>-2.2624094230691898</v>
      </c>
      <c r="O11">
        <v>-4.51</v>
      </c>
      <c r="P11">
        <v>963200</v>
      </c>
      <c r="Q11">
        <v>949600</v>
      </c>
      <c r="R11">
        <v>1.43</v>
      </c>
      <c r="S11">
        <v>144532</v>
      </c>
      <c r="T11">
        <v>9033</v>
      </c>
      <c r="U11" s="145">
        <v>16</v>
      </c>
      <c r="V11" s="145">
        <v>8</v>
      </c>
      <c r="W11" s="145" t="s">
        <v>475</v>
      </c>
      <c r="X11">
        <v>50</v>
      </c>
      <c r="Y11">
        <v>13</v>
      </c>
      <c r="Z11">
        <v>0.90122128803880797</v>
      </c>
      <c r="AA11">
        <v>0.95098331542555403</v>
      </c>
      <c r="AB11">
        <v>3.79969361474445E-3</v>
      </c>
      <c r="AC11">
        <v>3.7515404354868297E-2</v>
      </c>
    </row>
    <row r="12" spans="1:29">
      <c r="A12" s="133" t="s">
        <v>339</v>
      </c>
      <c r="B12">
        <v>2413</v>
      </c>
      <c r="C12" s="115" t="s">
        <v>463</v>
      </c>
      <c r="D12" s="115" t="s">
        <v>155</v>
      </c>
      <c r="E12">
        <v>2990</v>
      </c>
      <c r="F12">
        <v>200</v>
      </c>
      <c r="H12">
        <v>7649</v>
      </c>
      <c r="I12" s="115" t="s">
        <v>458</v>
      </c>
      <c r="J12" s="115" t="s">
        <v>128</v>
      </c>
      <c r="K12">
        <v>6240</v>
      </c>
      <c r="L12">
        <v>100</v>
      </c>
      <c r="M12"/>
      <c r="N12">
        <v>2.7832770501045498</v>
      </c>
      <c r="O12">
        <v>9.68</v>
      </c>
      <c r="P12">
        <v>598000</v>
      </c>
      <c r="Q12">
        <v>624000</v>
      </c>
      <c r="R12">
        <v>4.17</v>
      </c>
      <c r="S12">
        <v>140434</v>
      </c>
      <c r="T12">
        <v>10803</v>
      </c>
      <c r="U12" s="145">
        <v>13</v>
      </c>
      <c r="V12" s="145">
        <v>7</v>
      </c>
      <c r="W12" s="145" t="s">
        <v>455</v>
      </c>
      <c r="X12">
        <v>53.85</v>
      </c>
      <c r="Y12">
        <v>13</v>
      </c>
      <c r="Z12">
        <v>0.90270537356730096</v>
      </c>
      <c r="AA12">
        <v>0.937021063913413</v>
      </c>
      <c r="AB12">
        <v>3.5710277176767698E-4</v>
      </c>
      <c r="AC12">
        <v>4.2646220709261898E-2</v>
      </c>
    </row>
    <row r="13" spans="1:29">
      <c r="A13" s="133" t="s">
        <v>339</v>
      </c>
      <c r="B13">
        <v>8586</v>
      </c>
      <c r="C13" s="115" t="s">
        <v>381</v>
      </c>
      <c r="D13" s="115" t="s">
        <v>382</v>
      </c>
      <c r="E13">
        <v>2660</v>
      </c>
      <c r="F13">
        <v>400</v>
      </c>
      <c r="H13">
        <v>4183</v>
      </c>
      <c r="I13" s="115" t="s">
        <v>388</v>
      </c>
      <c r="J13" s="115" t="s">
        <v>88</v>
      </c>
      <c r="K13">
        <v>2664</v>
      </c>
      <c r="L13">
        <v>400</v>
      </c>
      <c r="M13"/>
      <c r="N13">
        <v>-2.6517829132780699</v>
      </c>
      <c r="O13">
        <v>-6.85</v>
      </c>
      <c r="P13">
        <v>1064000</v>
      </c>
      <c r="Q13">
        <v>1065600</v>
      </c>
      <c r="R13">
        <v>0.15</v>
      </c>
      <c r="S13">
        <v>128195</v>
      </c>
      <c r="T13">
        <v>9861</v>
      </c>
      <c r="U13" s="145">
        <v>13</v>
      </c>
      <c r="V13" s="145">
        <v>6</v>
      </c>
      <c r="W13" s="145" t="s">
        <v>476</v>
      </c>
      <c r="X13">
        <v>46.15</v>
      </c>
      <c r="Y13">
        <v>14</v>
      </c>
      <c r="Z13">
        <v>0.94502406313713705</v>
      </c>
      <c r="AA13">
        <v>0.90827735014097999</v>
      </c>
      <c r="AB13">
        <v>7.1401480872828202E-2</v>
      </c>
      <c r="AC13">
        <v>1.56013689929668E-3</v>
      </c>
    </row>
    <row r="14" spans="1:29">
      <c r="A14" s="133" t="s">
        <v>339</v>
      </c>
      <c r="B14">
        <v>1820</v>
      </c>
      <c r="C14" s="115" t="s">
        <v>158</v>
      </c>
      <c r="D14" s="115" t="s">
        <v>108</v>
      </c>
      <c r="E14">
        <v>2356</v>
      </c>
      <c r="F14">
        <v>400</v>
      </c>
      <c r="H14">
        <v>1860</v>
      </c>
      <c r="I14" s="115" t="s">
        <v>145</v>
      </c>
      <c r="J14" s="115" t="s">
        <v>108</v>
      </c>
      <c r="K14">
        <v>670</v>
      </c>
      <c r="L14">
        <v>1400</v>
      </c>
      <c r="M14" s="115" t="s">
        <v>1079</v>
      </c>
      <c r="N14">
        <v>2.30037864545015</v>
      </c>
      <c r="O14">
        <v>6.51</v>
      </c>
      <c r="P14">
        <v>942400</v>
      </c>
      <c r="Q14">
        <v>938000</v>
      </c>
      <c r="R14">
        <v>0.47</v>
      </c>
      <c r="S14">
        <v>104342</v>
      </c>
      <c r="T14">
        <v>4969</v>
      </c>
      <c r="U14" s="145">
        <v>21</v>
      </c>
      <c r="V14" s="145">
        <v>12</v>
      </c>
      <c r="W14" s="145" t="s">
        <v>477</v>
      </c>
      <c r="X14">
        <v>57.14</v>
      </c>
      <c r="Y14">
        <v>14</v>
      </c>
      <c r="Z14">
        <v>0.94889941629044605</v>
      </c>
      <c r="AA14">
        <v>0.93464595162105601</v>
      </c>
      <c r="AB14">
        <v>0.29887500824407598</v>
      </c>
      <c r="AC14">
        <v>4.6864814608108797E-2</v>
      </c>
    </row>
    <row r="15" spans="1:29">
      <c r="A15" s="133" t="s">
        <v>339</v>
      </c>
      <c r="B15">
        <v>5334</v>
      </c>
      <c r="C15" s="115" t="s">
        <v>389</v>
      </c>
      <c r="D15" s="115" t="s">
        <v>140</v>
      </c>
      <c r="E15">
        <v>2189</v>
      </c>
      <c r="F15">
        <v>400</v>
      </c>
      <c r="H15">
        <v>4631</v>
      </c>
      <c r="I15" s="115" t="s">
        <v>182</v>
      </c>
      <c r="J15" s="115" t="s">
        <v>88</v>
      </c>
      <c r="K15">
        <v>2972</v>
      </c>
      <c r="L15">
        <v>300</v>
      </c>
      <c r="M15" s="115" t="s">
        <v>1133</v>
      </c>
      <c r="N15">
        <v>-2.35115133030809</v>
      </c>
      <c r="O15">
        <v>-7.24</v>
      </c>
      <c r="P15">
        <v>875600</v>
      </c>
      <c r="Q15">
        <v>891600</v>
      </c>
      <c r="R15">
        <v>1.79</v>
      </c>
      <c r="S15">
        <v>87079</v>
      </c>
      <c r="T15">
        <v>5442</v>
      </c>
      <c r="U15" s="145">
        <v>16</v>
      </c>
      <c r="V15" s="145">
        <v>7</v>
      </c>
      <c r="W15" s="145" t="s">
        <v>452</v>
      </c>
      <c r="X15">
        <v>43.75</v>
      </c>
      <c r="Y15">
        <v>10</v>
      </c>
      <c r="Z15">
        <v>0.90140688617652198</v>
      </c>
      <c r="AA15">
        <v>0.904309218823525</v>
      </c>
      <c r="AB15">
        <v>0.28090452389691001</v>
      </c>
      <c r="AC15">
        <v>3.5759333720007599E-3</v>
      </c>
    </row>
    <row r="16" spans="1:29">
      <c r="A16" s="133" t="s">
        <v>339</v>
      </c>
      <c r="B16">
        <v>5802</v>
      </c>
      <c r="C16" s="115" t="s">
        <v>175</v>
      </c>
      <c r="D16" s="115" t="s">
        <v>176</v>
      </c>
      <c r="E16">
        <v>1580</v>
      </c>
      <c r="F16">
        <v>600</v>
      </c>
      <c r="H16">
        <v>7186</v>
      </c>
      <c r="I16" s="115" t="s">
        <v>51</v>
      </c>
      <c r="J16" s="115" t="s">
        <v>113</v>
      </c>
      <c r="K16">
        <v>442</v>
      </c>
      <c r="L16">
        <v>2100</v>
      </c>
      <c r="M16"/>
      <c r="N16">
        <v>2.9290041596358001</v>
      </c>
      <c r="O16">
        <v>5.35</v>
      </c>
      <c r="P16">
        <v>948000</v>
      </c>
      <c r="Q16">
        <v>928200</v>
      </c>
      <c r="R16">
        <v>2.09</v>
      </c>
      <c r="S16">
        <v>81912</v>
      </c>
      <c r="T16">
        <v>4551</v>
      </c>
      <c r="U16" s="145">
        <v>18</v>
      </c>
      <c r="V16" s="145">
        <v>12</v>
      </c>
      <c r="W16" s="145" t="s">
        <v>453</v>
      </c>
      <c r="X16">
        <v>66.67</v>
      </c>
      <c r="Y16">
        <v>14</v>
      </c>
      <c r="Z16">
        <v>0.96363234028637801</v>
      </c>
      <c r="AA16">
        <v>0.90189328677552105</v>
      </c>
      <c r="AB16">
        <v>1.38804597312506E-2</v>
      </c>
      <c r="AC16">
        <v>0.13234593425614</v>
      </c>
    </row>
    <row r="17" spans="1:29" s="146" customFormat="1">
      <c r="A17" s="149" t="s">
        <v>339</v>
      </c>
      <c r="B17" s="146">
        <v>5991</v>
      </c>
      <c r="C17" s="146" t="s">
        <v>149</v>
      </c>
      <c r="D17" s="146" t="s">
        <v>150</v>
      </c>
      <c r="E17" s="146">
        <v>965</v>
      </c>
      <c r="F17" s="146">
        <v>1100</v>
      </c>
      <c r="H17" s="147">
        <v>6472</v>
      </c>
      <c r="I17" s="146" t="s">
        <v>183</v>
      </c>
      <c r="J17" s="146" t="s">
        <v>133</v>
      </c>
      <c r="K17" s="146">
        <v>336</v>
      </c>
      <c r="L17" s="146">
        <v>3200</v>
      </c>
      <c r="N17" s="146">
        <v>2.11194772383933</v>
      </c>
      <c r="O17" s="146">
        <v>6.9</v>
      </c>
      <c r="P17" s="146">
        <v>1061500</v>
      </c>
      <c r="Q17" s="146">
        <v>1075200</v>
      </c>
      <c r="R17" s="146">
        <v>1.29</v>
      </c>
      <c r="S17" s="146">
        <v>67824</v>
      </c>
      <c r="T17" s="146">
        <v>4239</v>
      </c>
      <c r="U17" s="148">
        <v>16</v>
      </c>
      <c r="V17" s="148">
        <v>7</v>
      </c>
      <c r="W17" s="148" t="s">
        <v>456</v>
      </c>
      <c r="X17" s="146">
        <v>43.75</v>
      </c>
      <c r="Y17" s="146">
        <v>14</v>
      </c>
      <c r="Z17" s="146">
        <v>0.90775024299004903</v>
      </c>
      <c r="AA17" s="146">
        <v>0.90452434043178798</v>
      </c>
      <c r="AB17" s="146">
        <v>0.17600043133184001</v>
      </c>
      <c r="AC17" s="146">
        <v>0.20993207998890201</v>
      </c>
    </row>
    <row r="18" spans="1:29">
      <c r="A18" s="133" t="s">
        <v>339</v>
      </c>
      <c r="B18">
        <v>6471</v>
      </c>
      <c r="C18" s="115" t="s">
        <v>190</v>
      </c>
      <c r="D18" s="115" t="s">
        <v>133</v>
      </c>
      <c r="E18">
        <v>1076</v>
      </c>
      <c r="F18">
        <v>1000</v>
      </c>
      <c r="H18">
        <v>6473</v>
      </c>
      <c r="I18" s="115" t="s">
        <v>178</v>
      </c>
      <c r="J18" s="115" t="s">
        <v>133</v>
      </c>
      <c r="K18">
        <v>1375</v>
      </c>
      <c r="L18">
        <v>800</v>
      </c>
      <c r="M18"/>
      <c r="N18">
        <v>2.43280484027553</v>
      </c>
      <c r="O18">
        <v>4.4800000000000004</v>
      </c>
      <c r="P18">
        <v>1076000</v>
      </c>
      <c r="Q18">
        <v>1100000</v>
      </c>
      <c r="R18">
        <v>2.1800000000000002</v>
      </c>
      <c r="S18">
        <v>46361</v>
      </c>
      <c r="T18">
        <v>3863</v>
      </c>
      <c r="U18" s="145">
        <v>12</v>
      </c>
      <c r="V18" s="145">
        <v>8</v>
      </c>
      <c r="W18" s="145" t="s">
        <v>478</v>
      </c>
      <c r="X18">
        <v>66.67</v>
      </c>
      <c r="Y18">
        <v>16</v>
      </c>
      <c r="Z18">
        <v>0.98281818852065606</v>
      </c>
      <c r="AA18">
        <v>0.95640332487082302</v>
      </c>
      <c r="AB18">
        <v>2.2713620536477801E-3</v>
      </c>
      <c r="AC18">
        <v>1.0538265919378001E-2</v>
      </c>
    </row>
    <row r="19" spans="1:29">
      <c r="A19" s="133" t="s">
        <v>339</v>
      </c>
      <c r="B19">
        <v>5802</v>
      </c>
      <c r="C19" s="115" t="s">
        <v>175</v>
      </c>
      <c r="D19" s="115" t="s">
        <v>176</v>
      </c>
      <c r="E19">
        <v>1580</v>
      </c>
      <c r="F19">
        <v>700</v>
      </c>
      <c r="H19">
        <v>5334</v>
      </c>
      <c r="I19" s="115" t="s">
        <v>389</v>
      </c>
      <c r="J19" s="115" t="s">
        <v>140</v>
      </c>
      <c r="K19">
        <v>2189</v>
      </c>
      <c r="L19">
        <v>500</v>
      </c>
      <c r="M19"/>
      <c r="N19">
        <v>-2.3614063659336799</v>
      </c>
      <c r="O19">
        <v>-6.28</v>
      </c>
      <c r="P19">
        <v>1106000</v>
      </c>
      <c r="Q19">
        <v>1094500</v>
      </c>
      <c r="R19">
        <v>1.05</v>
      </c>
      <c r="S19">
        <v>-1578</v>
      </c>
      <c r="T19">
        <v>-93</v>
      </c>
      <c r="U19" s="145">
        <v>17</v>
      </c>
      <c r="V19" s="145">
        <v>7</v>
      </c>
      <c r="W19" s="145" t="s">
        <v>479</v>
      </c>
      <c r="X19">
        <v>41.18</v>
      </c>
      <c r="Y19">
        <v>12</v>
      </c>
      <c r="Z19">
        <v>0.95583694972897304</v>
      </c>
      <c r="AA19">
        <v>0.90368452174384795</v>
      </c>
      <c r="AB19">
        <v>0.228097864043313</v>
      </c>
      <c r="AC19">
        <v>7.8577297598153104E-3</v>
      </c>
    </row>
    <row r="20" spans="1:29">
      <c r="A20" s="133" t="s">
        <v>339</v>
      </c>
      <c r="B20">
        <v>7762</v>
      </c>
      <c r="C20" s="115" t="s">
        <v>141</v>
      </c>
      <c r="D20" s="115" t="s">
        <v>126</v>
      </c>
      <c r="E20">
        <v>610</v>
      </c>
      <c r="F20">
        <v>1700</v>
      </c>
      <c r="H20">
        <v>4183</v>
      </c>
      <c r="I20" s="115" t="s">
        <v>388</v>
      </c>
      <c r="J20" s="115" t="s">
        <v>88</v>
      </c>
      <c r="K20">
        <v>2664</v>
      </c>
      <c r="L20">
        <v>400</v>
      </c>
      <c r="M20"/>
      <c r="N20">
        <v>-2.0216528421692002</v>
      </c>
      <c r="O20">
        <v>-4.51</v>
      </c>
      <c r="P20">
        <v>1037000</v>
      </c>
      <c r="Q20">
        <v>1065600</v>
      </c>
      <c r="R20">
        <v>2.68</v>
      </c>
      <c r="S20">
        <v>-15256</v>
      </c>
      <c r="T20">
        <v>-1174</v>
      </c>
      <c r="U20" s="145">
        <v>13</v>
      </c>
      <c r="V20" s="145">
        <v>7</v>
      </c>
      <c r="W20" s="145" t="s">
        <v>480</v>
      </c>
      <c r="X20">
        <v>53.85</v>
      </c>
      <c r="Y20">
        <v>15</v>
      </c>
      <c r="Z20">
        <v>0.96522919835064702</v>
      </c>
      <c r="AA20">
        <v>0.905246845405278</v>
      </c>
      <c r="AB20">
        <v>1.14089379975257E-2</v>
      </c>
      <c r="AC20">
        <v>1.34078295411207E-2</v>
      </c>
    </row>
    <row r="21" spans="1:29">
      <c r="A21" s="133" t="s">
        <v>339</v>
      </c>
      <c r="B21">
        <v>5802</v>
      </c>
      <c r="C21" s="115" t="s">
        <v>175</v>
      </c>
      <c r="D21" s="115" t="s">
        <v>176</v>
      </c>
      <c r="E21">
        <v>1580</v>
      </c>
      <c r="F21">
        <v>600</v>
      </c>
      <c r="H21">
        <v>1860</v>
      </c>
      <c r="I21" s="115" t="s">
        <v>145</v>
      </c>
      <c r="J21" s="115" t="s">
        <v>108</v>
      </c>
      <c r="K21">
        <v>670</v>
      </c>
      <c r="L21">
        <v>1400</v>
      </c>
      <c r="M21" s="115" t="s">
        <v>1079</v>
      </c>
      <c r="N21">
        <v>-2.6432364372913999</v>
      </c>
      <c r="O21">
        <v>-7.02</v>
      </c>
      <c r="P21">
        <v>948000</v>
      </c>
      <c r="Q21">
        <v>938000</v>
      </c>
      <c r="R21">
        <v>1.05</v>
      </c>
      <c r="S21">
        <v>-73660</v>
      </c>
      <c r="T21">
        <v>-4333</v>
      </c>
      <c r="U21" s="145">
        <v>17</v>
      </c>
      <c r="V21" s="145">
        <v>7</v>
      </c>
      <c r="W21" s="145" t="s">
        <v>481</v>
      </c>
      <c r="X21">
        <v>41.18</v>
      </c>
      <c r="Y21">
        <v>13</v>
      </c>
      <c r="Z21">
        <v>0.95901108946586699</v>
      </c>
      <c r="AA21">
        <v>0.93698941221764098</v>
      </c>
      <c r="AB21">
        <v>2.6665804101015499E-2</v>
      </c>
      <c r="AC21">
        <v>2.32223187341114E-3</v>
      </c>
    </row>
    <row r="22" spans="1:29" s="146" customFormat="1">
      <c r="A22" s="149" t="s">
        <v>339</v>
      </c>
      <c r="B22" s="147">
        <v>3105</v>
      </c>
      <c r="C22" s="146" t="s">
        <v>122</v>
      </c>
      <c r="D22" s="146" t="s">
        <v>118</v>
      </c>
      <c r="E22" s="146">
        <v>979</v>
      </c>
      <c r="F22" s="146">
        <v>800</v>
      </c>
      <c r="H22" s="146">
        <v>6371</v>
      </c>
      <c r="I22" s="146" t="s">
        <v>142</v>
      </c>
      <c r="J22" s="146" t="s">
        <v>133</v>
      </c>
      <c r="K22" s="146">
        <v>3770</v>
      </c>
      <c r="L22" s="146">
        <v>200</v>
      </c>
      <c r="N22" s="146">
        <v>2.3393965674754398</v>
      </c>
      <c r="O22" s="146">
        <v>4.6500000000000004</v>
      </c>
      <c r="P22" s="146">
        <v>783200</v>
      </c>
      <c r="Q22" s="146">
        <v>754000</v>
      </c>
      <c r="R22" s="146">
        <v>3.87</v>
      </c>
      <c r="S22" s="146">
        <v>-127614</v>
      </c>
      <c r="T22" s="146">
        <v>-5801</v>
      </c>
      <c r="U22" s="148">
        <v>22</v>
      </c>
      <c r="V22" s="148">
        <v>11</v>
      </c>
      <c r="W22" s="148" t="s">
        <v>482</v>
      </c>
      <c r="X22" s="146">
        <v>50</v>
      </c>
      <c r="Y22" s="146">
        <v>13</v>
      </c>
      <c r="Z22" s="146">
        <v>0.952781192580895</v>
      </c>
      <c r="AA22" s="146">
        <v>0.91197278558959005</v>
      </c>
      <c r="AB22" s="146">
        <v>8.8871482208590404E-3</v>
      </c>
      <c r="AC22" s="146">
        <v>6.0009931848632E-2</v>
      </c>
    </row>
    <row r="23" spans="1:29">
      <c r="A23" s="133" t="s">
        <v>339</v>
      </c>
      <c r="B23">
        <v>8002</v>
      </c>
      <c r="C23" s="115" t="s">
        <v>57</v>
      </c>
      <c r="D23" s="115" t="s">
        <v>135</v>
      </c>
      <c r="E23">
        <v>804.8</v>
      </c>
      <c r="F23">
        <v>1300</v>
      </c>
      <c r="H23">
        <v>8306</v>
      </c>
      <c r="I23" s="115" t="s">
        <v>201</v>
      </c>
      <c r="J23" s="115" t="s">
        <v>113</v>
      </c>
      <c r="K23">
        <v>576</v>
      </c>
      <c r="L23">
        <v>1800</v>
      </c>
      <c r="M23"/>
      <c r="N23">
        <v>2.1231081806797398</v>
      </c>
      <c r="O23">
        <v>4.29</v>
      </c>
      <c r="P23">
        <v>1046239.9999999999</v>
      </c>
      <c r="Q23">
        <v>1036800</v>
      </c>
      <c r="R23">
        <v>0.9</v>
      </c>
      <c r="S23">
        <v>-141734</v>
      </c>
      <c r="T23">
        <v>-9449</v>
      </c>
      <c r="U23" s="145">
        <v>15</v>
      </c>
      <c r="V23" s="145">
        <v>5</v>
      </c>
      <c r="W23" s="145" t="s">
        <v>450</v>
      </c>
      <c r="X23">
        <v>33.33</v>
      </c>
      <c r="Y23">
        <v>16</v>
      </c>
      <c r="Z23">
        <v>0.945531641623792</v>
      </c>
      <c r="AA23">
        <v>0.91301134322621202</v>
      </c>
      <c r="AB23">
        <v>0.29136218823578403</v>
      </c>
      <c r="AC23">
        <v>9.1477588041954702E-2</v>
      </c>
    </row>
    <row r="24" spans="1:29">
      <c r="B24"/>
      <c r="C24"/>
      <c r="D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1:29">
      <c r="B25"/>
      <c r="C25"/>
      <c r="D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29">
      <c r="B26"/>
      <c r="C26"/>
      <c r="D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29">
      <c r="B27"/>
      <c r="C27"/>
      <c r="D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29">
      <c r="B28"/>
      <c r="C28"/>
      <c r="D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29">
      <c r="B29"/>
      <c r="C29"/>
      <c r="D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29">
      <c r="B30"/>
      <c r="C30"/>
      <c r="D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29">
      <c r="B31"/>
      <c r="C31"/>
      <c r="D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29">
      <c r="B32"/>
      <c r="C32"/>
      <c r="D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2:29">
      <c r="B33"/>
      <c r="C33"/>
      <c r="D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2:29">
      <c r="B34"/>
      <c r="C34"/>
      <c r="D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2:29">
      <c r="B35"/>
      <c r="C35"/>
      <c r="D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2:29">
      <c r="B36"/>
      <c r="C36"/>
      <c r="D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2:29">
      <c r="B37"/>
      <c r="C37"/>
      <c r="D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2:29">
      <c r="B38"/>
      <c r="C38"/>
      <c r="D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2:29">
      <c r="B39"/>
      <c r="C39"/>
      <c r="D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2:29">
      <c r="B40"/>
      <c r="C40"/>
      <c r="D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2:29">
      <c r="B41"/>
      <c r="C41"/>
      <c r="D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2:29">
      <c r="B42"/>
      <c r="C42"/>
      <c r="D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2:29">
      <c r="B43"/>
      <c r="C43"/>
      <c r="D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2:29">
      <c r="B44"/>
      <c r="C44"/>
      <c r="D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2:29">
      <c r="B45"/>
      <c r="C45"/>
      <c r="D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2:29">
      <c r="B46"/>
      <c r="C46"/>
      <c r="D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2:29">
      <c r="B47"/>
      <c r="C47"/>
      <c r="D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2:29">
      <c r="B48"/>
      <c r="C48"/>
      <c r="D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2:29">
      <c r="B49"/>
      <c r="C49"/>
      <c r="D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2:29">
      <c r="B50"/>
      <c r="C50"/>
      <c r="D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2:29">
      <c r="B51"/>
      <c r="C51"/>
      <c r="D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2:29">
      <c r="B52"/>
      <c r="C52"/>
      <c r="D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2:29">
      <c r="B53"/>
      <c r="C53"/>
      <c r="D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2:29">
      <c r="B54"/>
      <c r="C54"/>
      <c r="D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2:29">
      <c r="B55"/>
      <c r="C55"/>
      <c r="D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2:29">
      <c r="B56"/>
      <c r="C56"/>
      <c r="D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2:29">
      <c r="B57"/>
      <c r="C57"/>
      <c r="D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2:29">
      <c r="B58"/>
      <c r="C58"/>
      <c r="D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2:29">
      <c r="B59"/>
      <c r="C59"/>
      <c r="D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2:29">
      <c r="B60"/>
      <c r="C60"/>
      <c r="D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2:29">
      <c r="B61"/>
      <c r="C61"/>
      <c r="D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2:29">
      <c r="B62"/>
      <c r="C62"/>
      <c r="D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2:29">
      <c r="B63"/>
      <c r="C63"/>
      <c r="D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2:29">
      <c r="B64"/>
      <c r="C64"/>
      <c r="D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2:29">
      <c r="B65"/>
      <c r="C65"/>
      <c r="D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2:29">
      <c r="B66"/>
      <c r="C66"/>
      <c r="D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2:29">
      <c r="B67"/>
      <c r="C67"/>
      <c r="D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2:29">
      <c r="B68"/>
      <c r="C68"/>
      <c r="D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2:29">
      <c r="B69"/>
      <c r="C69"/>
      <c r="D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2:29">
      <c r="B70"/>
      <c r="C70"/>
      <c r="D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2:29">
      <c r="B71"/>
      <c r="C71"/>
      <c r="D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2:29">
      <c r="B72"/>
      <c r="C72"/>
      <c r="D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2:29">
      <c r="B73"/>
      <c r="C73"/>
      <c r="D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2:29">
      <c r="B74"/>
      <c r="C74"/>
      <c r="D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2:29">
      <c r="B75"/>
      <c r="C75"/>
      <c r="D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2:29">
      <c r="B76"/>
      <c r="C76"/>
      <c r="D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2:29">
      <c r="B77"/>
      <c r="C77"/>
      <c r="D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2:29">
      <c r="B78"/>
      <c r="C78"/>
      <c r="D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2:29">
      <c r="B79"/>
      <c r="C79"/>
      <c r="D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2:29">
      <c r="B80"/>
      <c r="C80"/>
      <c r="D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2:29">
      <c r="B81"/>
      <c r="C81"/>
      <c r="D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2:29">
      <c r="B82"/>
      <c r="C82"/>
      <c r="D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2:29">
      <c r="B83"/>
      <c r="C83"/>
      <c r="D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2:29">
      <c r="B84"/>
      <c r="C84"/>
      <c r="D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2:29">
      <c r="B85"/>
      <c r="C85"/>
      <c r="D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2:29">
      <c r="B86"/>
      <c r="C86"/>
      <c r="D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2:29">
      <c r="B87"/>
      <c r="C87"/>
      <c r="D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2:29">
      <c r="B88"/>
      <c r="C88"/>
      <c r="D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2:29">
      <c r="B89"/>
      <c r="C89"/>
      <c r="D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2:29">
      <c r="B90"/>
      <c r="C90"/>
      <c r="D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2:29">
      <c r="B91"/>
      <c r="C91"/>
      <c r="D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2:29">
      <c r="B92"/>
      <c r="C92"/>
      <c r="D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2:29">
      <c r="B93"/>
      <c r="C93"/>
      <c r="D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2:29">
      <c r="B94"/>
      <c r="C94"/>
      <c r="D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2:29">
      <c r="B95"/>
      <c r="C95"/>
      <c r="D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2:29">
      <c r="B96"/>
      <c r="C96"/>
      <c r="D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2:29">
      <c r="B97"/>
      <c r="C97"/>
      <c r="D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2:29">
      <c r="B98"/>
      <c r="C98"/>
      <c r="D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2:29">
      <c r="B99"/>
      <c r="C99"/>
      <c r="D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2:29">
      <c r="B100"/>
      <c r="C100"/>
      <c r="D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2:29">
      <c r="B101"/>
      <c r="C101"/>
      <c r="D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2:29">
      <c r="B102"/>
      <c r="C102"/>
      <c r="D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2:29">
      <c r="B103"/>
      <c r="C103"/>
      <c r="D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2:29">
      <c r="B104"/>
      <c r="C104"/>
      <c r="D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2:29">
      <c r="B105"/>
      <c r="C105"/>
      <c r="D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2:29">
      <c r="B106"/>
      <c r="C106"/>
      <c r="D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2:29">
      <c r="B107"/>
      <c r="C107"/>
      <c r="D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2:29">
      <c r="B108"/>
      <c r="C108"/>
      <c r="D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2:29">
      <c r="B109"/>
      <c r="C109"/>
      <c r="D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2:29">
      <c r="B110"/>
      <c r="C110"/>
      <c r="D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2:29">
      <c r="B111"/>
      <c r="C111"/>
      <c r="D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2:29">
      <c r="B112"/>
      <c r="C112"/>
      <c r="D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2:29">
      <c r="B113"/>
      <c r="C113"/>
      <c r="D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2:29">
      <c r="B114"/>
      <c r="C114"/>
      <c r="D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2:29">
      <c r="B115"/>
      <c r="C115"/>
      <c r="D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2:29">
      <c r="B116"/>
      <c r="C116"/>
      <c r="D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2:29">
      <c r="B117"/>
      <c r="C117"/>
      <c r="D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2:29">
      <c r="B118"/>
      <c r="C118"/>
      <c r="D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2:29">
      <c r="B119"/>
      <c r="C119"/>
      <c r="D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2:29">
      <c r="B120"/>
      <c r="C120"/>
      <c r="D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2:29">
      <c r="B121"/>
      <c r="C121"/>
      <c r="D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2:29">
      <c r="B122"/>
      <c r="C122"/>
      <c r="D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2:29">
      <c r="B123"/>
      <c r="C123"/>
      <c r="D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2:29">
      <c r="B124"/>
      <c r="C124"/>
      <c r="D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2:29">
      <c r="B125"/>
      <c r="C125"/>
      <c r="D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2:29">
      <c r="B126"/>
      <c r="C126"/>
      <c r="D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2:29">
      <c r="B127"/>
      <c r="C127"/>
      <c r="D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2:29">
      <c r="B128"/>
      <c r="C128"/>
      <c r="D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2:29">
      <c r="B129"/>
      <c r="C129"/>
      <c r="D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2:29">
      <c r="B130"/>
      <c r="C130"/>
      <c r="D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2:29">
      <c r="B131"/>
      <c r="C131"/>
      <c r="D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2:29">
      <c r="B132"/>
      <c r="C132"/>
      <c r="D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2:29">
      <c r="B133"/>
      <c r="C133"/>
      <c r="D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2:29">
      <c r="B134"/>
      <c r="C134"/>
      <c r="D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2:29">
      <c r="B135"/>
      <c r="C135"/>
      <c r="D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2:29">
      <c r="B136"/>
      <c r="C136"/>
      <c r="D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2:29">
      <c r="B137"/>
      <c r="C137"/>
      <c r="D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2:29">
      <c r="B138"/>
      <c r="C138"/>
      <c r="D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2:29">
      <c r="B139"/>
      <c r="C139"/>
      <c r="D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2:29">
      <c r="B140"/>
      <c r="C140"/>
      <c r="D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2:29">
      <c r="B141"/>
      <c r="C141"/>
      <c r="D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2:29">
      <c r="B142"/>
      <c r="C142"/>
      <c r="D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2:29">
      <c r="B143"/>
      <c r="C143"/>
      <c r="D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2:29">
      <c r="B144"/>
      <c r="C144"/>
      <c r="D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</row>
    <row r="145" spans="2:29">
      <c r="B145"/>
      <c r="C145"/>
      <c r="D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</row>
    <row r="146" spans="2:29">
      <c r="B146"/>
      <c r="C146"/>
      <c r="D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</row>
    <row r="147" spans="2:29">
      <c r="B147"/>
      <c r="C147"/>
      <c r="D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</row>
    <row r="148" spans="2:29">
      <c r="B148"/>
      <c r="C148"/>
      <c r="D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</row>
    <row r="149" spans="2:29">
      <c r="B149"/>
      <c r="C149"/>
      <c r="D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</row>
    <row r="150" spans="2:29">
      <c r="B150"/>
      <c r="C150"/>
      <c r="D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</row>
    <row r="151" spans="2:29">
      <c r="B151"/>
      <c r="C151"/>
      <c r="D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</row>
    <row r="152" spans="2:29">
      <c r="B152"/>
      <c r="C152"/>
      <c r="D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</row>
    <row r="153" spans="2:29">
      <c r="B153"/>
      <c r="C153"/>
      <c r="D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</row>
    <row r="154" spans="2:29">
      <c r="B154"/>
      <c r="C154"/>
      <c r="D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</row>
    <row r="155" spans="2:29">
      <c r="B155"/>
      <c r="C155"/>
      <c r="D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</row>
    <row r="156" spans="2:29">
      <c r="B156"/>
      <c r="C156"/>
      <c r="D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2:29">
      <c r="B157"/>
      <c r="C157"/>
      <c r="D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</row>
    <row r="158" spans="2:29">
      <c r="B158"/>
      <c r="C158"/>
      <c r="D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</row>
    <row r="159" spans="2:29">
      <c r="B159"/>
      <c r="C159"/>
      <c r="D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</row>
    <row r="160" spans="2:29">
      <c r="B160"/>
      <c r="C160"/>
      <c r="D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</row>
    <row r="161" spans="2:29">
      <c r="B161"/>
      <c r="C161"/>
      <c r="D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</row>
    <row r="162" spans="2:29">
      <c r="B162"/>
      <c r="C162"/>
      <c r="D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</row>
    <row r="163" spans="2:29">
      <c r="B163"/>
      <c r="C163"/>
      <c r="D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</row>
    <row r="164" spans="2:29">
      <c r="B164"/>
      <c r="C164"/>
      <c r="D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</row>
    <row r="165" spans="2:29">
      <c r="B165"/>
      <c r="C165"/>
      <c r="D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</row>
    <row r="166" spans="2:29">
      <c r="B166"/>
      <c r="C166"/>
      <c r="D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</row>
    <row r="167" spans="2:29">
      <c r="B167"/>
      <c r="C167"/>
      <c r="D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</row>
    <row r="168" spans="2:29">
      <c r="B168"/>
      <c r="C168"/>
      <c r="D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</row>
    <row r="169" spans="2:29">
      <c r="B169"/>
      <c r="C169"/>
      <c r="D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</row>
    <row r="170" spans="2:29">
      <c r="B170"/>
      <c r="C170"/>
      <c r="D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</row>
    <row r="171" spans="2:29">
      <c r="B171"/>
      <c r="C171"/>
      <c r="D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</row>
    <row r="172" spans="2:29">
      <c r="B172"/>
      <c r="C172"/>
      <c r="D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</row>
    <row r="173" spans="2:29">
      <c r="B173"/>
      <c r="C173"/>
      <c r="D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</row>
    <row r="174" spans="2:29">
      <c r="B174"/>
      <c r="C174"/>
      <c r="D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</row>
    <row r="175" spans="2:29">
      <c r="B175"/>
      <c r="C175"/>
      <c r="D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</row>
    <row r="176" spans="2:29">
      <c r="B176"/>
      <c r="C176"/>
      <c r="D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</row>
    <row r="177" spans="2:29">
      <c r="B177"/>
      <c r="C177"/>
      <c r="D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</row>
    <row r="178" spans="2:29">
      <c r="B178"/>
      <c r="C178"/>
      <c r="D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</row>
    <row r="179" spans="2:29">
      <c r="B179"/>
      <c r="C179"/>
      <c r="D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</row>
    <row r="180" spans="2:29">
      <c r="B180"/>
      <c r="C180"/>
      <c r="D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</row>
    <row r="181" spans="2:29">
      <c r="B181"/>
      <c r="C181"/>
      <c r="D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</row>
    <row r="182" spans="2:29">
      <c r="B182"/>
      <c r="C182"/>
      <c r="D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</row>
    <row r="183" spans="2:29">
      <c r="B183"/>
      <c r="C183"/>
      <c r="D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</row>
    <row r="184" spans="2:29">
      <c r="B184"/>
      <c r="C184"/>
      <c r="D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</row>
    <row r="185" spans="2:29">
      <c r="B185"/>
      <c r="C185"/>
      <c r="D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</row>
    <row r="186" spans="2:29">
      <c r="B186"/>
      <c r="C186"/>
      <c r="D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</row>
    <row r="187" spans="2:29">
      <c r="B187"/>
      <c r="C187"/>
      <c r="D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</row>
    <row r="188" spans="2:29">
      <c r="B188"/>
      <c r="C188"/>
      <c r="D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</row>
    <row r="189" spans="2:29">
      <c r="B189"/>
      <c r="C189"/>
      <c r="D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</row>
    <row r="190" spans="2:29">
      <c r="B190"/>
      <c r="C190"/>
      <c r="D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</row>
    <row r="191" spans="2:29">
      <c r="B191"/>
      <c r="C191"/>
      <c r="D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</row>
    <row r="192" spans="2:29">
      <c r="B192"/>
      <c r="C192"/>
      <c r="D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</row>
    <row r="193" spans="2:29">
      <c r="B193"/>
      <c r="C193"/>
      <c r="D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</row>
    <row r="194" spans="2:29">
      <c r="B194"/>
      <c r="C194"/>
      <c r="D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</row>
    <row r="195" spans="2:29">
      <c r="B195"/>
      <c r="C195"/>
      <c r="D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</row>
    <row r="196" spans="2:29">
      <c r="B196"/>
      <c r="C196"/>
      <c r="D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</row>
    <row r="197" spans="2:29">
      <c r="B197"/>
      <c r="C197"/>
      <c r="D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</row>
    <row r="198" spans="2:29">
      <c r="B198"/>
      <c r="C198"/>
      <c r="D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</row>
    <row r="199" spans="2:29">
      <c r="B199"/>
      <c r="C199"/>
      <c r="D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</row>
    <row r="200" spans="2:29">
      <c r="B200"/>
      <c r="C200"/>
      <c r="D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</row>
    <row r="201" spans="2:29">
      <c r="B201"/>
      <c r="C201"/>
      <c r="D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</row>
    <row r="202" spans="2:29">
      <c r="B202"/>
      <c r="C202"/>
      <c r="D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</row>
    <row r="203" spans="2:29">
      <c r="B203"/>
      <c r="C203"/>
      <c r="D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</row>
    <row r="204" spans="2:29">
      <c r="B204"/>
      <c r="C204"/>
      <c r="D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</row>
    <row r="205" spans="2:29">
      <c r="B205"/>
      <c r="C205"/>
      <c r="D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</row>
    <row r="206" spans="2:29">
      <c r="B206"/>
      <c r="C206"/>
      <c r="D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</row>
    <row r="207" spans="2:29">
      <c r="B207"/>
      <c r="C207"/>
      <c r="D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</row>
    <row r="208" spans="2:29">
      <c r="B208"/>
      <c r="C208"/>
      <c r="D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</row>
    <row r="209" spans="2:29">
      <c r="B209"/>
      <c r="C209"/>
      <c r="D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</row>
    <row r="210" spans="2:29">
      <c r="B210"/>
      <c r="C210"/>
      <c r="D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</row>
    <row r="211" spans="2:29">
      <c r="B211"/>
      <c r="C211"/>
      <c r="D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</row>
    <row r="212" spans="2:29">
      <c r="B212"/>
      <c r="C212"/>
      <c r="D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</row>
    <row r="213" spans="2:29">
      <c r="B213"/>
      <c r="C213"/>
      <c r="D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</row>
    <row r="214" spans="2:29">
      <c r="B214"/>
      <c r="C214"/>
      <c r="D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</row>
    <row r="215" spans="2:29">
      <c r="B215"/>
      <c r="C215"/>
      <c r="D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</row>
    <row r="216" spans="2:29">
      <c r="B216"/>
      <c r="C216"/>
      <c r="D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</row>
    <row r="217" spans="2:29">
      <c r="B217"/>
      <c r="C217"/>
      <c r="D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</row>
    <row r="218" spans="2:29">
      <c r="B218"/>
      <c r="C218"/>
      <c r="D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</row>
    <row r="219" spans="2:29">
      <c r="B219"/>
      <c r="C219"/>
      <c r="D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</row>
    <row r="220" spans="2:29">
      <c r="B220"/>
      <c r="C220"/>
      <c r="D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</row>
    <row r="221" spans="2:29">
      <c r="B221"/>
      <c r="C221"/>
      <c r="D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</row>
    <row r="222" spans="2:29">
      <c r="B222"/>
      <c r="C222"/>
      <c r="D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</row>
    <row r="223" spans="2:29">
      <c r="B223"/>
      <c r="C223"/>
      <c r="D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</row>
    <row r="224" spans="2:29">
      <c r="B224"/>
      <c r="C224"/>
      <c r="D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</row>
    <row r="225" spans="2:29">
      <c r="B225"/>
      <c r="C225"/>
      <c r="D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</row>
    <row r="226" spans="2:29">
      <c r="B226"/>
      <c r="C226"/>
      <c r="D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</row>
    <row r="227" spans="2:29">
      <c r="B227"/>
      <c r="C227"/>
      <c r="D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</row>
    <row r="228" spans="2:29">
      <c r="B228"/>
      <c r="C228"/>
      <c r="D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</row>
    <row r="229" spans="2:29">
      <c r="B229"/>
      <c r="C229"/>
      <c r="D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</row>
    <row r="230" spans="2:29">
      <c r="B230"/>
      <c r="C230"/>
      <c r="D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</row>
    <row r="231" spans="2:29">
      <c r="B231"/>
      <c r="C231"/>
      <c r="D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</row>
    <row r="232" spans="2:29">
      <c r="B232"/>
      <c r="C232"/>
      <c r="D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</row>
    <row r="233" spans="2:29">
      <c r="B233"/>
      <c r="C233"/>
      <c r="D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</row>
    <row r="234" spans="2:29">
      <c r="B234"/>
      <c r="C234"/>
      <c r="D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</row>
    <row r="235" spans="2:29">
      <c r="B235"/>
      <c r="C235"/>
      <c r="D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</row>
    <row r="236" spans="2:29">
      <c r="B236"/>
      <c r="C236"/>
      <c r="D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</row>
    <row r="237" spans="2:29">
      <c r="B237"/>
      <c r="C237"/>
      <c r="D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</row>
    <row r="238" spans="2:29">
      <c r="B238"/>
      <c r="C238"/>
      <c r="D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</row>
    <row r="239" spans="2:29">
      <c r="B239"/>
      <c r="C239"/>
      <c r="D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</row>
    <row r="240" spans="2:29">
      <c r="B240"/>
      <c r="C240"/>
      <c r="D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</row>
    <row r="241" spans="2:29">
      <c r="B241"/>
      <c r="C241"/>
      <c r="D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</row>
    <row r="242" spans="2:29">
      <c r="B242"/>
      <c r="C242"/>
      <c r="D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</row>
    <row r="243" spans="2:29">
      <c r="B243"/>
      <c r="C243"/>
      <c r="D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</row>
    <row r="244" spans="2:29">
      <c r="B244"/>
      <c r="C244"/>
      <c r="D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</row>
    <row r="245" spans="2:29">
      <c r="B245"/>
      <c r="C245"/>
      <c r="D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</row>
    <row r="246" spans="2:29">
      <c r="B246"/>
      <c r="C246"/>
      <c r="D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</row>
    <row r="247" spans="2:29">
      <c r="B247"/>
      <c r="C247"/>
      <c r="D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</row>
    <row r="248" spans="2:29">
      <c r="B248"/>
      <c r="C248"/>
      <c r="D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</row>
    <row r="249" spans="2:29">
      <c r="B249"/>
      <c r="C249"/>
      <c r="D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</row>
    <row r="250" spans="2:29">
      <c r="B250"/>
      <c r="C250"/>
      <c r="D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</row>
    <row r="251" spans="2:29">
      <c r="B251"/>
      <c r="C251"/>
      <c r="D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</row>
    <row r="252" spans="2:29">
      <c r="B252"/>
      <c r="C252"/>
      <c r="D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</row>
    <row r="253" spans="2:29">
      <c r="B253"/>
      <c r="C253"/>
      <c r="D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</row>
    <row r="254" spans="2:29">
      <c r="B254"/>
      <c r="C254"/>
      <c r="D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</row>
    <row r="255" spans="2:29">
      <c r="B255"/>
      <c r="C255"/>
      <c r="D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</row>
    <row r="256" spans="2:29">
      <c r="B256"/>
      <c r="C256"/>
      <c r="D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</row>
    <row r="257" spans="2:29">
      <c r="B257"/>
      <c r="C257"/>
      <c r="D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</row>
    <row r="258" spans="2:29">
      <c r="B258"/>
      <c r="C258"/>
      <c r="D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</row>
    <row r="259" spans="2:29">
      <c r="B259"/>
      <c r="C259"/>
      <c r="D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</row>
    <row r="260" spans="2:29">
      <c r="B260"/>
      <c r="C260"/>
      <c r="D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</row>
    <row r="261" spans="2:29">
      <c r="B261"/>
      <c r="C261"/>
      <c r="D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</row>
    <row r="262" spans="2:29">
      <c r="B262"/>
      <c r="C262"/>
      <c r="D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</row>
    <row r="263" spans="2:29">
      <c r="B263"/>
      <c r="C263"/>
      <c r="D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</row>
    <row r="264" spans="2:29">
      <c r="B264"/>
      <c r="C264"/>
      <c r="D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</row>
    <row r="265" spans="2:29">
      <c r="B265"/>
      <c r="C265"/>
      <c r="D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</row>
    <row r="266" spans="2:29">
      <c r="B266"/>
      <c r="C266"/>
      <c r="D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</row>
    <row r="267" spans="2:29">
      <c r="B267"/>
      <c r="C267"/>
      <c r="D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</row>
    <row r="268" spans="2:29">
      <c r="B268"/>
      <c r="C268"/>
      <c r="D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</row>
    <row r="269" spans="2:29">
      <c r="B269"/>
      <c r="C269"/>
      <c r="D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</row>
    <row r="270" spans="2:29">
      <c r="B270"/>
      <c r="C270"/>
      <c r="D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</row>
    <row r="271" spans="2:29">
      <c r="B271"/>
      <c r="C271"/>
      <c r="D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</row>
    <row r="272" spans="2:29">
      <c r="B272"/>
      <c r="C272"/>
      <c r="D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</row>
    <row r="273" spans="2:29">
      <c r="B273"/>
      <c r="C273"/>
      <c r="D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</row>
    <row r="274" spans="2:29">
      <c r="B274"/>
      <c r="C274"/>
      <c r="D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</row>
    <row r="275" spans="2:29">
      <c r="B275"/>
      <c r="C275"/>
      <c r="D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</row>
    <row r="276" spans="2:29">
      <c r="B276"/>
      <c r="C276"/>
      <c r="D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</row>
    <row r="277" spans="2:29">
      <c r="B277"/>
      <c r="C277"/>
      <c r="D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</row>
    <row r="278" spans="2:29">
      <c r="B278"/>
      <c r="C278"/>
      <c r="D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</row>
    <row r="279" spans="2:29">
      <c r="B279"/>
      <c r="C279"/>
      <c r="D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</row>
    <row r="280" spans="2:29">
      <c r="B280"/>
      <c r="C280"/>
      <c r="D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</row>
    <row r="281" spans="2:29">
      <c r="B281"/>
      <c r="C281"/>
      <c r="D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</row>
    <row r="282" spans="2:29">
      <c r="B282"/>
      <c r="C282"/>
      <c r="D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</row>
    <row r="283" spans="2:29">
      <c r="B283"/>
      <c r="C283"/>
      <c r="D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</row>
    <row r="284" spans="2:29">
      <c r="B284"/>
      <c r="C284"/>
      <c r="D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</row>
    <row r="285" spans="2:29">
      <c r="B285"/>
      <c r="C285"/>
      <c r="D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</row>
    <row r="286" spans="2:29">
      <c r="B286"/>
      <c r="C286"/>
      <c r="D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</row>
    <row r="287" spans="2:29">
      <c r="B287"/>
      <c r="C287"/>
      <c r="D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</row>
    <row r="288" spans="2:29">
      <c r="B288"/>
      <c r="C288"/>
      <c r="D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</row>
    <row r="289" spans="2:29">
      <c r="B289"/>
      <c r="C289"/>
      <c r="D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</row>
    <row r="290" spans="2:29">
      <c r="B290"/>
      <c r="C290"/>
      <c r="D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</row>
    <row r="291" spans="2:29">
      <c r="B291"/>
      <c r="C291"/>
      <c r="D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</row>
    <row r="292" spans="2:29">
      <c r="B292"/>
      <c r="C292"/>
      <c r="D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</row>
    <row r="293" spans="2:29">
      <c r="B293"/>
      <c r="C293"/>
      <c r="D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</row>
    <row r="294" spans="2:29">
      <c r="B294"/>
      <c r="C294"/>
      <c r="D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</row>
    <row r="295" spans="2:29">
      <c r="B295"/>
      <c r="C295"/>
      <c r="D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</row>
    <row r="296" spans="2:29">
      <c r="B296"/>
      <c r="C296"/>
      <c r="D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</row>
    <row r="297" spans="2:29">
      <c r="B297"/>
      <c r="C297"/>
      <c r="D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</row>
    <row r="298" spans="2:29">
      <c r="B298"/>
      <c r="C298"/>
      <c r="D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</row>
    <row r="299" spans="2:29">
      <c r="B299"/>
      <c r="C299"/>
      <c r="D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</row>
    <row r="300" spans="2:29">
      <c r="B300"/>
      <c r="C300"/>
      <c r="D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</row>
  </sheetData>
  <mergeCells count="4">
    <mergeCell ref="N2:R2"/>
    <mergeCell ref="S2:Y2"/>
    <mergeCell ref="B2:G2"/>
    <mergeCell ref="H2:M2"/>
  </mergeCells>
  <phoneticPr fontId="1" type="noConversion"/>
  <hyperlinks>
    <hyperlink ref="A4" display="Select"/>
    <hyperlink ref="A5" display="Select"/>
    <hyperlink ref="A6" display="Select"/>
    <hyperlink ref="A7" display="Select"/>
    <hyperlink ref="A8" display="Select"/>
    <hyperlink ref="A9" display="Select"/>
    <hyperlink ref="A10" display="Select"/>
    <hyperlink ref="A11" display="Select"/>
    <hyperlink ref="A12" display="Select"/>
    <hyperlink ref="A13" display="Select"/>
    <hyperlink ref="A14" display="Select"/>
    <hyperlink ref="A15" display="Select"/>
    <hyperlink ref="A16" display="Select"/>
    <hyperlink ref="A17" display="Select"/>
    <hyperlink ref="A18" display="Select"/>
    <hyperlink ref="A19" display="Select"/>
    <hyperlink ref="A20" display="Select"/>
    <hyperlink ref="A21" display="Select"/>
    <hyperlink ref="A22" display="Select"/>
    <hyperlink ref="A23" display="Select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B1:K26"/>
  <sheetViews>
    <sheetView showGridLines="0" zoomScale="130" zoomScaleNormal="130" workbookViewId="0">
      <selection activeCell="D32" sqref="D32"/>
    </sheetView>
  </sheetViews>
  <sheetFormatPr defaultRowHeight="14.25"/>
  <cols>
    <col min="1" max="1" width="1.25" customWidth="1"/>
    <col min="2" max="2" width="11.375" customWidth="1"/>
    <col min="3" max="3" width="15.375" customWidth="1"/>
    <col min="4" max="4" width="13.375" customWidth="1"/>
    <col min="5" max="5" width="10.875" customWidth="1"/>
    <col min="6" max="6" width="13" customWidth="1"/>
    <col min="7" max="7" width="15.75" customWidth="1"/>
  </cols>
  <sheetData>
    <row r="1" spans="3:11">
      <c r="F1" s="13" t="s">
        <v>22</v>
      </c>
      <c r="G1" s="13" t="s">
        <v>30</v>
      </c>
      <c r="H1" s="13" t="s">
        <v>31</v>
      </c>
      <c r="I1" s="13" t="s">
        <v>23</v>
      </c>
      <c r="J1" s="13" t="s">
        <v>12</v>
      </c>
    </row>
    <row r="2" spans="3:11">
      <c r="C2" s="197" t="s">
        <v>204</v>
      </c>
      <c r="D2" s="190"/>
      <c r="E2">
        <v>8804</v>
      </c>
      <c r="G2" s="1" t="s">
        <v>32</v>
      </c>
    </row>
    <row r="3" spans="3:11">
      <c r="C3" s="197" t="s">
        <v>35</v>
      </c>
      <c r="D3" s="190"/>
      <c r="E3">
        <v>5711</v>
      </c>
    </row>
    <row r="4" spans="3:11">
      <c r="C4" s="197" t="s">
        <v>25</v>
      </c>
      <c r="D4" s="190"/>
    </row>
    <row r="5" spans="3:11">
      <c r="C5" s="197" t="s">
        <v>26</v>
      </c>
      <c r="D5" s="190"/>
    </row>
    <row r="6" spans="3:11">
      <c r="C6" s="197" t="s">
        <v>28</v>
      </c>
      <c r="D6" s="190"/>
    </row>
    <row r="7" spans="3:11">
      <c r="C7" s="197" t="s">
        <v>27</v>
      </c>
      <c r="D7" s="190"/>
    </row>
    <row r="8" spans="3:11">
      <c r="C8" s="197" t="s">
        <v>29</v>
      </c>
      <c r="D8" s="190"/>
      <c r="K8" s="1" t="s">
        <v>41</v>
      </c>
    </row>
    <row r="9" spans="3:11">
      <c r="C9" s="197" t="s">
        <v>20</v>
      </c>
      <c r="D9" s="190"/>
      <c r="K9" s="1" t="s">
        <v>42</v>
      </c>
    </row>
    <row r="10" spans="3:11">
      <c r="C10" s="197" t="s">
        <v>9</v>
      </c>
      <c r="D10" s="190"/>
      <c r="K10" s="1" t="s">
        <v>43</v>
      </c>
    </row>
    <row r="11" spans="3:11">
      <c r="K11" s="1" t="s">
        <v>24</v>
      </c>
    </row>
    <row r="16" spans="3:11">
      <c r="C16" s="14" t="s">
        <v>33</v>
      </c>
      <c r="D16" s="14" t="s">
        <v>34</v>
      </c>
      <c r="E16" s="1"/>
    </row>
    <row r="17" spans="2:8">
      <c r="C17">
        <v>333</v>
      </c>
      <c r="D17">
        <v>222</v>
      </c>
    </row>
    <row r="18" spans="2:8">
      <c r="B18" s="3"/>
      <c r="C18" s="15" t="s">
        <v>36</v>
      </c>
      <c r="D18" s="15" t="s">
        <v>37</v>
      </c>
      <c r="E18" s="15" t="s">
        <v>38</v>
      </c>
      <c r="F18" s="15" t="s">
        <v>39</v>
      </c>
      <c r="G18" s="15" t="s">
        <v>40</v>
      </c>
      <c r="H18" s="15" t="s">
        <v>0</v>
      </c>
    </row>
    <row r="19" spans="2:8">
      <c r="B19" s="16">
        <v>43737</v>
      </c>
      <c r="C19" s="3"/>
      <c r="D19" s="3"/>
      <c r="E19" s="3"/>
      <c r="F19" s="3"/>
      <c r="G19" s="3"/>
      <c r="H19" s="3"/>
    </row>
    <row r="20" spans="2:8">
      <c r="B20" s="16">
        <v>43737</v>
      </c>
      <c r="C20" s="3"/>
      <c r="D20" s="3"/>
      <c r="E20" s="3"/>
      <c r="F20" s="3"/>
      <c r="G20" s="3"/>
      <c r="H20" s="3"/>
    </row>
    <row r="21" spans="2:8">
      <c r="B21" s="17"/>
      <c r="C21" s="3"/>
      <c r="D21" s="3"/>
      <c r="E21" s="3"/>
      <c r="F21" s="3"/>
      <c r="G21" s="3"/>
      <c r="H21" s="3"/>
    </row>
    <row r="22" spans="2:8">
      <c r="B22" s="17"/>
      <c r="C22" s="3"/>
      <c r="D22" s="3"/>
      <c r="E22" s="3"/>
      <c r="F22" s="3"/>
      <c r="G22" s="3"/>
      <c r="H22" s="3"/>
    </row>
    <row r="23" spans="2:8">
      <c r="B23" s="17"/>
      <c r="C23" s="3"/>
      <c r="D23" s="3"/>
      <c r="E23" s="3"/>
      <c r="F23" s="3"/>
      <c r="G23" s="3"/>
      <c r="H23" s="3"/>
    </row>
    <row r="24" spans="2:8">
      <c r="B24" s="17"/>
      <c r="C24" s="3"/>
      <c r="D24" s="3"/>
      <c r="E24" s="3"/>
      <c r="F24" s="3"/>
      <c r="G24" s="3"/>
      <c r="H24" s="3"/>
    </row>
    <row r="25" spans="2:8">
      <c r="B25" s="17"/>
      <c r="C25" s="3"/>
      <c r="D25" s="3"/>
      <c r="E25" s="3"/>
      <c r="F25" s="3"/>
      <c r="G25" s="3"/>
      <c r="H25" s="3"/>
    </row>
    <row r="26" spans="2:8">
      <c r="B26" s="17"/>
      <c r="C26" s="3"/>
      <c r="D26" s="3"/>
      <c r="E26" s="3"/>
      <c r="F26" s="3"/>
      <c r="G26" s="3"/>
      <c r="H26" s="3"/>
    </row>
  </sheetData>
  <mergeCells count="9">
    <mergeCell ref="C8:D8"/>
    <mergeCell ref="C9:D9"/>
    <mergeCell ref="C10:D10"/>
    <mergeCell ref="C2:D2"/>
    <mergeCell ref="C3:D3"/>
    <mergeCell ref="C4:D4"/>
    <mergeCell ref="C5:D5"/>
    <mergeCell ref="C6:D6"/>
    <mergeCell ref="C7:D7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C42" sqref="C42"/>
    </sheetView>
  </sheetViews>
  <sheetFormatPr defaultRowHeight="14.25"/>
  <sheetData>
    <row r="1" spans="1:1">
      <c r="A1" s="1" t="s">
        <v>44</v>
      </c>
    </row>
    <row r="2" spans="1:1">
      <c r="A2" s="1" t="s">
        <v>45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T777"/>
  <sheetViews>
    <sheetView showGridLines="0" topLeftCell="A4" workbookViewId="0">
      <selection activeCell="U22" sqref="U22"/>
    </sheetView>
  </sheetViews>
  <sheetFormatPr defaultRowHeight="14.25"/>
  <cols>
    <col min="1" max="1" width="9.125" customWidth="1"/>
  </cols>
  <sheetData>
    <row r="1" spans="1:20" ht="22.5" customHeight="1" thickBot="1">
      <c r="A1" s="198" t="s">
        <v>489</v>
      </c>
      <c r="B1" s="198"/>
      <c r="C1" s="198"/>
    </row>
    <row r="2" spans="1:20">
      <c r="B2" s="103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5"/>
    </row>
    <row r="3" spans="1:20">
      <c r="B3" s="10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7"/>
    </row>
    <row r="4" spans="1:20">
      <c r="B4" s="106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7"/>
    </row>
    <row r="5" spans="1:20">
      <c r="B5" s="10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7"/>
    </row>
    <row r="6" spans="1:20">
      <c r="A6" s="115" t="s">
        <v>483</v>
      </c>
      <c r="B6" s="106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7"/>
    </row>
    <row r="7" spans="1:20">
      <c r="A7">
        <f>MAX(N42:N700)</f>
        <v>4.7741521817202841</v>
      </c>
      <c r="B7" s="10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7"/>
    </row>
    <row r="8" spans="1:20">
      <c r="A8" s="115" t="s">
        <v>484</v>
      </c>
      <c r="B8" s="106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7"/>
    </row>
    <row r="9" spans="1:20">
      <c r="A9">
        <f>MIN(O42:O700)</f>
        <v>3.0602592102136921</v>
      </c>
      <c r="B9" s="10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7"/>
    </row>
    <row r="10" spans="1:20">
      <c r="B10" s="106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7"/>
    </row>
    <row r="11" spans="1:20">
      <c r="B11" s="106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7"/>
    </row>
    <row r="12" spans="1:20">
      <c r="B12" s="106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7"/>
    </row>
    <row r="13" spans="1:20">
      <c r="B13" s="106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7"/>
    </row>
    <row r="14" spans="1:20">
      <c r="B14" s="106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7"/>
    </row>
    <row r="15" spans="1:20">
      <c r="B15" s="106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7"/>
    </row>
    <row r="16" spans="1:20">
      <c r="B16" s="106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7"/>
    </row>
    <row r="17" spans="2:20">
      <c r="B17" s="106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7"/>
    </row>
    <row r="18" spans="2:20">
      <c r="B18" s="106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7"/>
    </row>
    <row r="19" spans="2:20">
      <c r="B19" s="106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7"/>
    </row>
    <row r="20" spans="2:20">
      <c r="B20" s="106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7"/>
    </row>
    <row r="21" spans="2:20">
      <c r="B21" s="106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7"/>
    </row>
    <row r="22" spans="2:20">
      <c r="B22" s="106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7"/>
    </row>
    <row r="23" spans="2:20">
      <c r="B23" s="106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7"/>
    </row>
    <row r="24" spans="2:20">
      <c r="B24" s="106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7"/>
    </row>
    <row r="25" spans="2:20">
      <c r="B25" s="106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7"/>
    </row>
    <row r="26" spans="2:20">
      <c r="B26" s="106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7"/>
    </row>
    <row r="27" spans="2:20">
      <c r="B27" s="106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7"/>
    </row>
    <row r="28" spans="2:20">
      <c r="B28" s="106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7"/>
    </row>
    <row r="29" spans="2:20">
      <c r="B29" s="106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7"/>
    </row>
    <row r="30" spans="2:20">
      <c r="B30" s="106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7"/>
    </row>
    <row r="31" spans="2:20">
      <c r="B31" s="106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7"/>
    </row>
    <row r="32" spans="2:20">
      <c r="B32" s="106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7"/>
    </row>
    <row r="33" spans="1:20">
      <c r="B33" s="106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7"/>
    </row>
    <row r="34" spans="1:20">
      <c r="B34" s="106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7"/>
    </row>
    <row r="35" spans="1:20">
      <c r="B35" s="106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7"/>
    </row>
    <row r="36" spans="1:20">
      <c r="B36" s="106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7"/>
    </row>
    <row r="37" spans="1:20">
      <c r="B37" s="106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7"/>
    </row>
    <row r="38" spans="1:20" ht="15" thickBot="1">
      <c r="B38" s="108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10"/>
    </row>
    <row r="40" spans="1:20">
      <c r="A40" s="112" t="s">
        <v>346</v>
      </c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</row>
    <row r="41" spans="1:20">
      <c r="A41" s="115" t="s">
        <v>340</v>
      </c>
      <c r="B41" s="115" t="s">
        <v>487</v>
      </c>
      <c r="C41" s="115" t="s">
        <v>488</v>
      </c>
      <c r="D41" s="115" t="s">
        <v>485</v>
      </c>
      <c r="E41" s="115" t="s">
        <v>486</v>
      </c>
      <c r="F41" s="115" t="s">
        <v>341</v>
      </c>
      <c r="G41" s="115" t="s">
        <v>342</v>
      </c>
      <c r="H41" s="115" t="s">
        <v>343</v>
      </c>
      <c r="I41" s="115" t="s">
        <v>344</v>
      </c>
      <c r="J41" s="115" t="s">
        <v>345</v>
      </c>
      <c r="L41" s="115" t="s">
        <v>347</v>
      </c>
      <c r="M41" s="115" t="s">
        <v>348</v>
      </c>
      <c r="N41" s="115" t="s">
        <v>349</v>
      </c>
      <c r="O41" s="115" t="s">
        <v>350</v>
      </c>
    </row>
    <row r="42" spans="1:20">
      <c r="A42" s="19">
        <v>43795</v>
      </c>
      <c r="B42">
        <v>2385</v>
      </c>
      <c r="C42">
        <v>2356</v>
      </c>
      <c r="D42">
        <v>682</v>
      </c>
      <c r="E42">
        <v>670</v>
      </c>
      <c r="F42">
        <v>3.51641791044776</v>
      </c>
      <c r="G42">
        <v>3.2874640081855699</v>
      </c>
      <c r="H42">
        <v>9.9528789625580094E-2</v>
      </c>
      <c r="I42">
        <v>2.30037864545015</v>
      </c>
      <c r="J42">
        <v>6.51</v>
      </c>
      <c r="L42">
        <v>3.3869927978111498</v>
      </c>
      <c r="M42">
        <v>3.1879352185599901</v>
      </c>
      <c r="N42">
        <v>3.4865215874367301</v>
      </c>
      <c r="O42">
        <v>3.0884064289344098</v>
      </c>
    </row>
    <row r="43" spans="1:20">
      <c r="A43" s="19">
        <v>43794</v>
      </c>
      <c r="B43">
        <v>2371</v>
      </c>
      <c r="C43">
        <v>2381</v>
      </c>
      <c r="D43">
        <v>678</v>
      </c>
      <c r="E43">
        <v>677</v>
      </c>
      <c r="F43">
        <v>3.5169867060561302</v>
      </c>
      <c r="G43">
        <v>3.2855328987056498</v>
      </c>
      <c r="H43">
        <v>9.64244235918498E-2</v>
      </c>
      <c r="I43">
        <v>2.4003649566025498</v>
      </c>
      <c r="J43">
        <v>6.58</v>
      </c>
      <c r="L43">
        <v>3.3819573222974997</v>
      </c>
      <c r="M43">
        <v>3.1891084751137999</v>
      </c>
      <c r="N43">
        <v>3.4783817458893496</v>
      </c>
      <c r="O43">
        <v>3.09268405152195</v>
      </c>
    </row>
    <row r="44" spans="1:20">
      <c r="A44" s="19">
        <v>43791</v>
      </c>
      <c r="B44">
        <v>2370</v>
      </c>
      <c r="C44">
        <v>2362</v>
      </c>
      <c r="D44">
        <v>678</v>
      </c>
      <c r="E44">
        <v>674</v>
      </c>
      <c r="F44">
        <v>3.50445103857566</v>
      </c>
      <c r="G44">
        <v>3.28386432891332</v>
      </c>
      <c r="H44">
        <v>9.3441431194782598E-2</v>
      </c>
      <c r="I44">
        <v>2.3606948956349298</v>
      </c>
      <c r="J44">
        <v>6.29</v>
      </c>
      <c r="L44">
        <v>3.3773057601081025</v>
      </c>
      <c r="M44">
        <v>3.1904228977185376</v>
      </c>
      <c r="N44">
        <v>3.4707471913028853</v>
      </c>
      <c r="O44">
        <v>3.0969814665237547</v>
      </c>
    </row>
    <row r="45" spans="1:20">
      <c r="A45" s="19">
        <v>43790</v>
      </c>
      <c r="B45">
        <v>2356</v>
      </c>
      <c r="C45">
        <v>2367</v>
      </c>
      <c r="D45">
        <v>671</v>
      </c>
      <c r="E45">
        <v>676</v>
      </c>
      <c r="F45">
        <v>3.50147928994082</v>
      </c>
      <c r="G45">
        <v>3.2832419186692401</v>
      </c>
      <c r="H45">
        <v>9.2116108265665797E-2</v>
      </c>
      <c r="I45">
        <v>2.3691553560010998</v>
      </c>
      <c r="J45">
        <v>6.23</v>
      </c>
      <c r="L45">
        <v>3.3753580269349057</v>
      </c>
      <c r="M45">
        <v>3.1911258104035745</v>
      </c>
      <c r="N45">
        <v>3.4674741352005718</v>
      </c>
      <c r="O45">
        <v>3.0990097021379084</v>
      </c>
    </row>
    <row r="46" spans="1:20">
      <c r="A46" s="19">
        <v>43789</v>
      </c>
      <c r="B46">
        <v>2375</v>
      </c>
      <c r="C46">
        <v>2365</v>
      </c>
      <c r="D46">
        <v>674</v>
      </c>
      <c r="E46">
        <v>672</v>
      </c>
      <c r="F46">
        <v>3.5193452380952301</v>
      </c>
      <c r="G46">
        <v>3.2824888614700298</v>
      </c>
      <c r="H46">
        <v>9.0546407966395598E-2</v>
      </c>
      <c r="I46">
        <v>2.6158561332781298</v>
      </c>
      <c r="J46">
        <v>6.73</v>
      </c>
      <c r="L46">
        <v>3.3730352694364254</v>
      </c>
      <c r="M46">
        <v>3.1919424535036343</v>
      </c>
      <c r="N46">
        <v>3.463581677402821</v>
      </c>
      <c r="O46">
        <v>3.1013960455372387</v>
      </c>
    </row>
    <row r="47" spans="1:20">
      <c r="A47" s="19">
        <v>43788</v>
      </c>
      <c r="B47">
        <v>2378</v>
      </c>
      <c r="C47">
        <v>2411</v>
      </c>
      <c r="D47">
        <v>687</v>
      </c>
      <c r="E47">
        <v>680</v>
      </c>
      <c r="F47">
        <v>3.5455882352941099</v>
      </c>
      <c r="G47">
        <v>3.2807826109764702</v>
      </c>
      <c r="H47">
        <v>8.7211323185915401E-2</v>
      </c>
      <c r="I47">
        <v>3.0363674651872401</v>
      </c>
      <c r="J47">
        <v>7.47</v>
      </c>
      <c r="L47">
        <v>3.3679939341623855</v>
      </c>
      <c r="M47">
        <v>3.1935712877905549</v>
      </c>
      <c r="N47">
        <v>3.4552052573483012</v>
      </c>
      <c r="O47">
        <v>3.1063599646046391</v>
      </c>
    </row>
    <row r="48" spans="1:20">
      <c r="A48" s="19">
        <v>43787</v>
      </c>
      <c r="B48">
        <v>2366</v>
      </c>
      <c r="C48">
        <v>2377</v>
      </c>
      <c r="D48">
        <v>694</v>
      </c>
      <c r="E48">
        <v>691</v>
      </c>
      <c r="F48">
        <v>3.4399421128798799</v>
      </c>
      <c r="G48">
        <v>3.2796117047761499</v>
      </c>
      <c r="H48">
        <v>8.41851850117869E-2</v>
      </c>
      <c r="I48">
        <v>1.9044967125899801</v>
      </c>
      <c r="J48">
        <v>4.66</v>
      </c>
      <c r="L48">
        <v>3.3637968897879369</v>
      </c>
      <c r="M48">
        <v>3.195426519764363</v>
      </c>
      <c r="N48">
        <v>3.4479820747997239</v>
      </c>
      <c r="O48">
        <v>3.111241334752576</v>
      </c>
    </row>
    <row r="49" spans="1:15">
      <c r="A49" s="19">
        <v>43784</v>
      </c>
      <c r="B49">
        <v>2359</v>
      </c>
      <c r="C49">
        <v>2373</v>
      </c>
      <c r="D49">
        <v>691</v>
      </c>
      <c r="E49">
        <v>694</v>
      </c>
      <c r="F49">
        <v>3.4193083573487</v>
      </c>
      <c r="G49">
        <v>3.2796398496728498</v>
      </c>
      <c r="H49">
        <v>8.4239117748362805E-2</v>
      </c>
      <c r="I49">
        <v>1.6580005988792601</v>
      </c>
      <c r="J49">
        <v>4.08</v>
      </c>
      <c r="L49">
        <v>3.3638789674212126</v>
      </c>
      <c r="M49">
        <v>3.195400731924487</v>
      </c>
      <c r="N49">
        <v>3.4481180851695754</v>
      </c>
      <c r="O49">
        <v>3.1111616141761242</v>
      </c>
    </row>
    <row r="50" spans="1:15">
      <c r="A50" s="19">
        <v>43783</v>
      </c>
      <c r="B50">
        <v>2410</v>
      </c>
      <c r="C50">
        <v>2348</v>
      </c>
      <c r="D50">
        <v>704</v>
      </c>
      <c r="E50">
        <v>688</v>
      </c>
      <c r="F50">
        <v>3.41279069767441</v>
      </c>
      <c r="G50">
        <v>3.2806386032553099</v>
      </c>
      <c r="H50">
        <v>8.6307783246849498E-2</v>
      </c>
      <c r="I50">
        <v>1.5311723861697899</v>
      </c>
      <c r="J50">
        <v>3.87</v>
      </c>
      <c r="L50">
        <v>3.3669463865021592</v>
      </c>
      <c r="M50">
        <v>3.1943308200084606</v>
      </c>
      <c r="N50">
        <v>3.4532541697490089</v>
      </c>
      <c r="O50">
        <v>3.1080230367616108</v>
      </c>
    </row>
    <row r="51" spans="1:15">
      <c r="A51" s="19">
        <v>43782</v>
      </c>
      <c r="B51">
        <v>2431</v>
      </c>
      <c r="C51">
        <v>2407</v>
      </c>
      <c r="D51">
        <v>707</v>
      </c>
      <c r="E51">
        <v>708</v>
      </c>
      <c r="F51">
        <v>3.3997175141242901</v>
      </c>
      <c r="G51">
        <v>3.2815115388805198</v>
      </c>
      <c r="H51">
        <v>8.7955347876867596E-2</v>
      </c>
      <c r="I51">
        <v>1.34393164369322</v>
      </c>
      <c r="J51">
        <v>3.48</v>
      </c>
      <c r="L51">
        <v>3.3694668867573876</v>
      </c>
      <c r="M51">
        <v>3.1935561910036521</v>
      </c>
      <c r="N51">
        <v>3.4574222346342549</v>
      </c>
      <c r="O51">
        <v>3.1056008431267847</v>
      </c>
    </row>
    <row r="52" spans="1:15">
      <c r="A52" s="19">
        <v>43781</v>
      </c>
      <c r="B52">
        <v>2382</v>
      </c>
      <c r="C52">
        <v>2442</v>
      </c>
      <c r="D52">
        <v>699</v>
      </c>
      <c r="E52">
        <v>710</v>
      </c>
      <c r="F52">
        <v>3.4394366197182999</v>
      </c>
      <c r="G52">
        <v>3.2829378248683398</v>
      </c>
      <c r="H52">
        <v>9.0685565883902503E-2</v>
      </c>
      <c r="I52">
        <v>1.7257299254251499</v>
      </c>
      <c r="J52">
        <v>4.55</v>
      </c>
      <c r="L52">
        <v>3.3736233907522424</v>
      </c>
      <c r="M52">
        <v>3.1922522589844373</v>
      </c>
      <c r="N52">
        <v>3.4643089566361449</v>
      </c>
      <c r="O52">
        <v>3.1015666931005348</v>
      </c>
    </row>
    <row r="53" spans="1:15">
      <c r="A53" s="19">
        <v>43780</v>
      </c>
      <c r="B53">
        <v>2391</v>
      </c>
      <c r="C53">
        <v>2377</v>
      </c>
      <c r="D53">
        <v>708</v>
      </c>
      <c r="E53">
        <v>693</v>
      </c>
      <c r="F53">
        <v>3.4300144300144302</v>
      </c>
      <c r="G53">
        <v>3.2838015479601199</v>
      </c>
      <c r="H53">
        <v>9.2463075908421205E-2</v>
      </c>
      <c r="I53">
        <v>1.5813110327317801</v>
      </c>
      <c r="J53">
        <v>4.26</v>
      </c>
      <c r="L53">
        <v>3.3762646238685412</v>
      </c>
      <c r="M53">
        <v>3.1913384720516986</v>
      </c>
      <c r="N53">
        <v>3.4687276997769625</v>
      </c>
      <c r="O53">
        <v>3.0988753961432773</v>
      </c>
    </row>
    <row r="54" spans="1:15">
      <c r="A54" s="19">
        <v>43777</v>
      </c>
      <c r="B54">
        <v>2367</v>
      </c>
      <c r="C54">
        <v>2391</v>
      </c>
      <c r="D54">
        <v>715</v>
      </c>
      <c r="E54">
        <v>698</v>
      </c>
      <c r="F54">
        <v>3.4255014326647499</v>
      </c>
      <c r="G54">
        <v>3.2849373915959701</v>
      </c>
      <c r="H54">
        <v>9.4747246747239694E-2</v>
      </c>
      <c r="I54">
        <v>1.4835686090570299</v>
      </c>
      <c r="J54">
        <v>4.0999999999999996</v>
      </c>
      <c r="L54">
        <v>3.37968463834321</v>
      </c>
      <c r="M54">
        <v>3.1901901448487302</v>
      </c>
      <c r="N54">
        <v>3.4744318850904494</v>
      </c>
      <c r="O54">
        <v>3.0954428981014908</v>
      </c>
    </row>
    <row r="55" spans="1:15">
      <c r="A55" s="19">
        <v>43776</v>
      </c>
      <c r="B55">
        <v>2306</v>
      </c>
      <c r="C55">
        <v>2348</v>
      </c>
      <c r="D55">
        <v>693</v>
      </c>
      <c r="E55">
        <v>700</v>
      </c>
      <c r="F55">
        <v>3.3542857142857101</v>
      </c>
      <c r="G55">
        <v>3.2866227473495901</v>
      </c>
      <c r="H55">
        <v>9.8290553839748301E-2</v>
      </c>
      <c r="I55">
        <v>0.68839745319201595</v>
      </c>
      <c r="J55">
        <v>2.02</v>
      </c>
      <c r="L55">
        <v>3.3849133011893384</v>
      </c>
      <c r="M55">
        <v>3.1883321935098419</v>
      </c>
      <c r="N55">
        <v>3.4832038550290867</v>
      </c>
      <c r="O55">
        <v>3.0900416396700936</v>
      </c>
    </row>
    <row r="56" spans="1:15">
      <c r="A56" s="19">
        <v>43775</v>
      </c>
      <c r="B56">
        <v>2328</v>
      </c>
      <c r="C56">
        <v>2306</v>
      </c>
      <c r="D56">
        <v>700</v>
      </c>
      <c r="E56">
        <v>697</v>
      </c>
      <c r="F56">
        <v>3.3084648493543698</v>
      </c>
      <c r="G56">
        <v>3.2890115353731599</v>
      </c>
      <c r="H56">
        <v>0.102012571542099</v>
      </c>
      <c r="I56">
        <v>0.190695261251977</v>
      </c>
      <c r="J56">
        <v>0.59</v>
      </c>
      <c r="L56">
        <v>3.3910241069152591</v>
      </c>
      <c r="M56">
        <v>3.1869989638310607</v>
      </c>
      <c r="N56">
        <v>3.4930366784573579</v>
      </c>
      <c r="O56">
        <v>3.084986392288962</v>
      </c>
    </row>
    <row r="57" spans="1:15">
      <c r="A57" s="19">
        <v>43774</v>
      </c>
      <c r="B57">
        <v>2307</v>
      </c>
      <c r="C57">
        <v>2287</v>
      </c>
      <c r="D57">
        <v>684</v>
      </c>
      <c r="E57">
        <v>691</v>
      </c>
      <c r="F57">
        <v>3.3096960926193901</v>
      </c>
      <c r="G57">
        <v>3.2907485603398299</v>
      </c>
      <c r="H57">
        <v>0.103428349407443</v>
      </c>
      <c r="I57">
        <v>0.183194766116939</v>
      </c>
      <c r="J57">
        <v>0.56999999999999995</v>
      </c>
      <c r="L57">
        <v>3.3941769097472729</v>
      </c>
      <c r="M57">
        <v>3.1873202109323868</v>
      </c>
      <c r="N57">
        <v>3.497605259154716</v>
      </c>
      <c r="O57">
        <v>3.0838918615249438</v>
      </c>
    </row>
    <row r="58" spans="1:15">
      <c r="A58" s="19">
        <v>43770</v>
      </c>
      <c r="B58">
        <v>2256</v>
      </c>
      <c r="C58">
        <v>2275</v>
      </c>
      <c r="D58">
        <v>673</v>
      </c>
      <c r="E58">
        <v>673</v>
      </c>
      <c r="F58">
        <v>3.38038632986627</v>
      </c>
      <c r="G58">
        <v>3.2932749988640699</v>
      </c>
      <c r="H58">
        <v>0.106139045557092</v>
      </c>
      <c r="I58">
        <v>0.82072841850961697</v>
      </c>
      <c r="J58">
        <v>2.58</v>
      </c>
      <c r="L58">
        <v>3.399414044421162</v>
      </c>
      <c r="M58">
        <v>3.1871359533069779</v>
      </c>
      <c r="N58">
        <v>3.5055530899782541</v>
      </c>
      <c r="O58">
        <v>3.0809969077498858</v>
      </c>
    </row>
    <row r="59" spans="1:15">
      <c r="A59" s="19">
        <v>43769</v>
      </c>
      <c r="B59">
        <v>2247</v>
      </c>
      <c r="C59">
        <v>2269</v>
      </c>
      <c r="D59">
        <v>680</v>
      </c>
      <c r="E59">
        <v>682</v>
      </c>
      <c r="F59">
        <v>3.32697947214076</v>
      </c>
      <c r="G59">
        <v>3.2946961235863799</v>
      </c>
      <c r="H59">
        <v>0.107993236775179</v>
      </c>
      <c r="I59">
        <v>0.29893861429107799</v>
      </c>
      <c r="J59">
        <v>0.97</v>
      </c>
      <c r="L59">
        <v>3.4026893603615589</v>
      </c>
      <c r="M59">
        <v>3.1867028868112008</v>
      </c>
      <c r="N59">
        <v>3.5106825971367379</v>
      </c>
      <c r="O59">
        <v>3.0787096500360218</v>
      </c>
    </row>
    <row r="60" spans="1:15">
      <c r="A60" s="19">
        <v>43768</v>
      </c>
      <c r="B60">
        <v>2225</v>
      </c>
      <c r="C60">
        <v>2239</v>
      </c>
      <c r="D60">
        <v>684</v>
      </c>
      <c r="E60">
        <v>684</v>
      </c>
      <c r="F60">
        <v>3.2733918128654902</v>
      </c>
      <c r="G60">
        <v>3.2968505585112098</v>
      </c>
      <c r="H60">
        <v>0.11020490726354901</v>
      </c>
      <c r="I60">
        <v>-0.212864800925949</v>
      </c>
      <c r="J60">
        <v>-0.72</v>
      </c>
      <c r="L60">
        <v>3.4070554657747589</v>
      </c>
      <c r="M60">
        <v>3.1866456512476606</v>
      </c>
      <c r="N60">
        <v>3.5172603730383076</v>
      </c>
      <c r="O60">
        <v>3.0764407439841119</v>
      </c>
    </row>
    <row r="61" spans="1:15">
      <c r="A61" s="19">
        <v>43767</v>
      </c>
      <c r="B61">
        <v>2221</v>
      </c>
      <c r="C61">
        <v>2234</v>
      </c>
      <c r="D61">
        <v>682</v>
      </c>
      <c r="E61">
        <v>686</v>
      </c>
      <c r="F61">
        <v>3.2565597667638402</v>
      </c>
      <c r="G61">
        <v>3.29860726360012</v>
      </c>
      <c r="H61">
        <v>0.110865081672241</v>
      </c>
      <c r="I61">
        <v>-0.37926726974851399</v>
      </c>
      <c r="J61">
        <v>-1.29</v>
      </c>
      <c r="L61">
        <v>3.409472345272361</v>
      </c>
      <c r="M61">
        <v>3.1877421819278791</v>
      </c>
      <c r="N61">
        <v>3.5203374269446019</v>
      </c>
      <c r="O61">
        <v>3.0768771002556381</v>
      </c>
    </row>
    <row r="62" spans="1:15">
      <c r="A62" s="19">
        <v>43766</v>
      </c>
      <c r="B62">
        <v>2244</v>
      </c>
      <c r="C62">
        <v>2227</v>
      </c>
      <c r="D62">
        <v>695</v>
      </c>
      <c r="E62">
        <v>676</v>
      </c>
      <c r="F62">
        <v>3.29437869822485</v>
      </c>
      <c r="G62">
        <v>3.3009310348074501</v>
      </c>
      <c r="H62">
        <v>0.111782119962862</v>
      </c>
      <c r="I62">
        <v>-5.8617036291450403E-2</v>
      </c>
      <c r="J62">
        <v>-0.2</v>
      </c>
      <c r="L62">
        <v>3.4127131547703122</v>
      </c>
      <c r="M62">
        <v>3.189148914844588</v>
      </c>
      <c r="N62">
        <v>3.5244952747331739</v>
      </c>
      <c r="O62">
        <v>3.0773667948817263</v>
      </c>
    </row>
    <row r="63" spans="1:15">
      <c r="A63" s="19">
        <v>43763</v>
      </c>
      <c r="B63">
        <v>2219</v>
      </c>
      <c r="C63">
        <v>2224</v>
      </c>
      <c r="D63">
        <v>678</v>
      </c>
      <c r="E63">
        <v>682</v>
      </c>
      <c r="F63">
        <v>3.2609970674486801</v>
      </c>
      <c r="G63">
        <v>3.3023559077372799</v>
      </c>
      <c r="H63">
        <v>0.11236907626852601</v>
      </c>
      <c r="I63">
        <v>-0.36806247467740499</v>
      </c>
      <c r="J63">
        <v>-1.27</v>
      </c>
      <c r="L63">
        <v>3.4147249840058058</v>
      </c>
      <c r="M63">
        <v>3.1899868314687541</v>
      </c>
      <c r="N63">
        <v>3.5270940602743321</v>
      </c>
      <c r="O63">
        <v>3.0776177552002277</v>
      </c>
    </row>
    <row r="64" spans="1:15">
      <c r="A64" s="19">
        <v>43762</v>
      </c>
      <c r="B64">
        <v>2210</v>
      </c>
      <c r="C64">
        <v>2216</v>
      </c>
      <c r="D64">
        <v>679</v>
      </c>
      <c r="E64">
        <v>679</v>
      </c>
      <c r="F64">
        <v>3.2636229749631802</v>
      </c>
      <c r="G64">
        <v>3.3043845540367198</v>
      </c>
      <c r="H64">
        <v>0.112975857662812</v>
      </c>
      <c r="I64">
        <v>-0.36079902305496597</v>
      </c>
      <c r="J64">
        <v>-1.25</v>
      </c>
      <c r="L64">
        <v>3.4173604116995318</v>
      </c>
      <c r="M64">
        <v>3.1914086963739079</v>
      </c>
      <c r="N64">
        <v>3.5303362693623437</v>
      </c>
      <c r="O64">
        <v>3.078432838711096</v>
      </c>
    </row>
    <row r="65" spans="1:15">
      <c r="A65" s="19">
        <v>43761</v>
      </c>
      <c r="B65">
        <v>2171</v>
      </c>
      <c r="C65">
        <v>2184</v>
      </c>
      <c r="D65">
        <v>676</v>
      </c>
      <c r="E65">
        <v>673</v>
      </c>
      <c r="F65">
        <v>3.2451708766716099</v>
      </c>
      <c r="G65">
        <v>3.3064162477038699</v>
      </c>
      <c r="H65">
        <v>0.113593001492804</v>
      </c>
      <c r="I65">
        <v>-0.53916500336632101</v>
      </c>
      <c r="J65">
        <v>-1.89</v>
      </c>
      <c r="L65">
        <v>3.4200092491966738</v>
      </c>
      <c r="M65">
        <v>3.1928232462110659</v>
      </c>
      <c r="N65">
        <v>3.5336022506894778</v>
      </c>
      <c r="O65">
        <v>3.079230244718262</v>
      </c>
    </row>
    <row r="66" spans="1:15">
      <c r="A66" s="19">
        <v>43759</v>
      </c>
      <c r="B66">
        <v>2143</v>
      </c>
      <c r="C66">
        <v>2149</v>
      </c>
      <c r="D66">
        <v>658</v>
      </c>
      <c r="E66">
        <v>667</v>
      </c>
      <c r="F66">
        <v>3.2218890554722601</v>
      </c>
      <c r="G66">
        <v>3.3084383079725899</v>
      </c>
      <c r="H66">
        <v>0.11383431897882899</v>
      </c>
      <c r="I66">
        <v>-0.76030895846469404</v>
      </c>
      <c r="J66">
        <v>-2.69</v>
      </c>
      <c r="L66">
        <v>3.4222726269514188</v>
      </c>
      <c r="M66">
        <v>3.194603988993761</v>
      </c>
      <c r="N66">
        <v>3.5361069459302477</v>
      </c>
      <c r="O66">
        <v>3.0807696700149321</v>
      </c>
    </row>
    <row r="67" spans="1:15">
      <c r="A67" s="19">
        <v>43756</v>
      </c>
      <c r="B67">
        <v>2168</v>
      </c>
      <c r="C67">
        <v>2140</v>
      </c>
      <c r="D67">
        <v>659</v>
      </c>
      <c r="E67">
        <v>652</v>
      </c>
      <c r="F67">
        <v>3.28220858895705</v>
      </c>
      <c r="G67">
        <v>3.31137474971956</v>
      </c>
      <c r="H67">
        <v>0.11440296137259801</v>
      </c>
      <c r="I67">
        <v>-0.25494235824473999</v>
      </c>
      <c r="J67">
        <v>-0.89</v>
      </c>
      <c r="L67">
        <v>3.4257777110921581</v>
      </c>
      <c r="M67">
        <v>3.1969717883469619</v>
      </c>
      <c r="N67">
        <v>3.5401806724647562</v>
      </c>
      <c r="O67">
        <v>3.0825688269743639</v>
      </c>
    </row>
    <row r="68" spans="1:15">
      <c r="A68" s="19">
        <v>43755</v>
      </c>
      <c r="B68">
        <v>2148</v>
      </c>
      <c r="C68">
        <v>2157</v>
      </c>
      <c r="D68">
        <v>656</v>
      </c>
      <c r="E68">
        <v>653</v>
      </c>
      <c r="F68">
        <v>3.3032159264930998</v>
      </c>
      <c r="G68">
        <v>3.31407729291826</v>
      </c>
      <c r="H68">
        <v>0.11606407149862601</v>
      </c>
      <c r="I68">
        <v>-9.3580780726624499E-2</v>
      </c>
      <c r="J68">
        <v>-0.33</v>
      </c>
      <c r="L68">
        <v>3.4301413644168859</v>
      </c>
      <c r="M68">
        <v>3.1980132214196342</v>
      </c>
      <c r="N68">
        <v>3.5462054359155122</v>
      </c>
      <c r="O68">
        <v>3.0819491499210079</v>
      </c>
    </row>
    <row r="69" spans="1:15">
      <c r="A69" s="19">
        <v>43754</v>
      </c>
      <c r="B69">
        <v>2147</v>
      </c>
      <c r="C69">
        <v>2125</v>
      </c>
      <c r="D69">
        <v>659</v>
      </c>
      <c r="E69">
        <v>656</v>
      </c>
      <c r="F69">
        <v>3.2393292682926802</v>
      </c>
      <c r="G69">
        <v>3.3166229119441302</v>
      </c>
      <c r="H69">
        <v>0.117877495441001</v>
      </c>
      <c r="I69">
        <v>-0.65571162130892702</v>
      </c>
      <c r="J69">
        <v>-2.39</v>
      </c>
      <c r="L69">
        <v>3.4345004073851313</v>
      </c>
      <c r="M69">
        <v>3.198745416503129</v>
      </c>
      <c r="N69">
        <v>3.552377902826132</v>
      </c>
      <c r="O69">
        <v>3.0808679210621284</v>
      </c>
    </row>
    <row r="70" spans="1:15">
      <c r="A70" s="19">
        <v>43753</v>
      </c>
      <c r="B70">
        <v>2121</v>
      </c>
      <c r="C70">
        <v>2108</v>
      </c>
      <c r="D70">
        <v>644</v>
      </c>
      <c r="E70">
        <v>651</v>
      </c>
      <c r="F70">
        <v>3.2380952380952301</v>
      </c>
      <c r="G70">
        <v>3.3199503735520799</v>
      </c>
      <c r="H70">
        <v>0.119163957317394</v>
      </c>
      <c r="I70">
        <v>-0.68691185908526498</v>
      </c>
      <c r="J70">
        <v>-2.5299999999999998</v>
      </c>
      <c r="L70">
        <v>3.439114330869474</v>
      </c>
      <c r="M70">
        <v>3.2007864162346857</v>
      </c>
      <c r="N70">
        <v>3.5582782881868678</v>
      </c>
      <c r="O70">
        <v>3.081622458917292</v>
      </c>
    </row>
    <row r="71" spans="1:15">
      <c r="A71" s="19">
        <v>43749</v>
      </c>
      <c r="B71">
        <v>2025</v>
      </c>
      <c r="C71">
        <v>2050</v>
      </c>
      <c r="D71">
        <v>624</v>
      </c>
      <c r="E71">
        <v>625</v>
      </c>
      <c r="F71">
        <v>3.28</v>
      </c>
      <c r="G71">
        <v>3.3233395210921701</v>
      </c>
      <c r="H71">
        <v>0.120396005827337</v>
      </c>
      <c r="I71">
        <v>-0.35997474163995102</v>
      </c>
      <c r="J71">
        <v>-1.32</v>
      </c>
      <c r="L71">
        <v>3.4437355269195074</v>
      </c>
      <c r="M71">
        <v>3.2029435152648329</v>
      </c>
      <c r="N71">
        <v>3.5641315327468441</v>
      </c>
      <c r="O71">
        <v>3.0825475094374961</v>
      </c>
    </row>
    <row r="72" spans="1:15">
      <c r="A72" s="19">
        <v>43748</v>
      </c>
      <c r="B72">
        <v>2018</v>
      </c>
      <c r="C72">
        <v>2013</v>
      </c>
      <c r="D72">
        <v>626</v>
      </c>
      <c r="E72">
        <v>618</v>
      </c>
      <c r="F72">
        <v>3.2572815533980499</v>
      </c>
      <c r="G72">
        <v>3.3256790168904899</v>
      </c>
      <c r="H72">
        <v>0.121232968980676</v>
      </c>
      <c r="I72">
        <v>-0.564182037836093</v>
      </c>
      <c r="J72">
        <v>-2.1</v>
      </c>
      <c r="L72">
        <v>3.4469119858711661</v>
      </c>
      <c r="M72">
        <v>3.2044460479098138</v>
      </c>
      <c r="N72">
        <v>3.5681449548518418</v>
      </c>
      <c r="O72">
        <v>3.0832130789291381</v>
      </c>
    </row>
    <row r="73" spans="1:15">
      <c r="A73" s="19">
        <v>43747</v>
      </c>
      <c r="B73">
        <v>1968</v>
      </c>
      <c r="C73">
        <v>1995</v>
      </c>
      <c r="D73">
        <v>613</v>
      </c>
      <c r="E73">
        <v>624</v>
      </c>
      <c r="F73">
        <v>3.1971153846153801</v>
      </c>
      <c r="G73">
        <v>3.3284782880552699</v>
      </c>
      <c r="H73">
        <v>0.122042470817603</v>
      </c>
      <c r="I73">
        <v>-1.0763704025315499</v>
      </c>
      <c r="J73">
        <v>-4.1100000000000003</v>
      </c>
      <c r="L73">
        <v>3.450520758872873</v>
      </c>
      <c r="M73">
        <v>3.2064358172376668</v>
      </c>
      <c r="N73">
        <v>3.5725632296904761</v>
      </c>
      <c r="O73">
        <v>3.0843933464200637</v>
      </c>
    </row>
    <row r="74" spans="1:15">
      <c r="A74" s="19">
        <v>43746</v>
      </c>
      <c r="B74">
        <v>1967</v>
      </c>
      <c r="C74">
        <v>1974</v>
      </c>
      <c r="D74">
        <v>618</v>
      </c>
      <c r="E74">
        <v>621</v>
      </c>
      <c r="F74">
        <v>3.1787439613526498</v>
      </c>
      <c r="G74">
        <v>3.3327160851419002</v>
      </c>
      <c r="H74">
        <v>0.122922521985194</v>
      </c>
      <c r="I74">
        <v>-1.2525948971970799</v>
      </c>
      <c r="J74">
        <v>-4.84</v>
      </c>
      <c r="L74">
        <v>3.4556386071270944</v>
      </c>
      <c r="M74">
        <v>3.2097935631567061</v>
      </c>
      <c r="N74">
        <v>3.5785611291122881</v>
      </c>
      <c r="O74">
        <v>3.0868710411715123</v>
      </c>
    </row>
    <row r="75" spans="1:15">
      <c r="A75" s="19">
        <v>43745</v>
      </c>
      <c r="B75">
        <v>1946</v>
      </c>
      <c r="C75">
        <v>1951</v>
      </c>
      <c r="D75">
        <v>611</v>
      </c>
      <c r="E75">
        <v>611</v>
      </c>
      <c r="F75">
        <v>3.1931260229132499</v>
      </c>
      <c r="G75">
        <v>3.3371772767683101</v>
      </c>
      <c r="H75">
        <v>0.12332442250560301</v>
      </c>
      <c r="I75">
        <v>-1.16806753219147</v>
      </c>
      <c r="J75">
        <v>-4.51</v>
      </c>
      <c r="L75">
        <v>3.4605016992739133</v>
      </c>
      <c r="M75">
        <v>3.2138528542627069</v>
      </c>
      <c r="N75">
        <v>3.583826121779516</v>
      </c>
      <c r="O75">
        <v>3.0905284317571042</v>
      </c>
    </row>
    <row r="76" spans="1:15">
      <c r="A76" s="19">
        <v>43742</v>
      </c>
      <c r="B76">
        <v>1938</v>
      </c>
      <c r="C76">
        <v>1950</v>
      </c>
      <c r="D76">
        <v>604</v>
      </c>
      <c r="E76">
        <v>609</v>
      </c>
      <c r="F76">
        <v>3.20197044334975</v>
      </c>
      <c r="G76">
        <v>3.3417133742405798</v>
      </c>
      <c r="H76">
        <v>0.124196173330454</v>
      </c>
      <c r="I76">
        <v>-1.12517903847979</v>
      </c>
      <c r="J76">
        <v>-4.3600000000000003</v>
      </c>
      <c r="L76">
        <v>3.4659095475710338</v>
      </c>
      <c r="M76">
        <v>3.2175172009101258</v>
      </c>
      <c r="N76">
        <v>3.5901057209014877</v>
      </c>
      <c r="O76">
        <v>3.0933210275796719</v>
      </c>
    </row>
    <row r="77" spans="1:15">
      <c r="A77" s="19">
        <v>43741</v>
      </c>
      <c r="B77">
        <v>1970</v>
      </c>
      <c r="C77">
        <v>1952</v>
      </c>
      <c r="D77">
        <v>609</v>
      </c>
      <c r="E77">
        <v>608</v>
      </c>
      <c r="F77">
        <v>3.2105263157894699</v>
      </c>
      <c r="G77">
        <v>3.34663629205901</v>
      </c>
      <c r="H77">
        <v>0.12586581112296999</v>
      </c>
      <c r="I77">
        <v>-1.08138957716294</v>
      </c>
      <c r="J77">
        <v>-4.24</v>
      </c>
      <c r="L77">
        <v>3.4725021031819798</v>
      </c>
      <c r="M77">
        <v>3.2207704809360402</v>
      </c>
      <c r="N77">
        <v>3.5983679143049501</v>
      </c>
      <c r="O77">
        <v>3.09490466981307</v>
      </c>
    </row>
    <row r="78" spans="1:15">
      <c r="A78" s="19">
        <v>43740</v>
      </c>
      <c r="B78">
        <v>2019</v>
      </c>
      <c r="C78">
        <v>2009</v>
      </c>
      <c r="D78">
        <v>624</v>
      </c>
      <c r="E78">
        <v>628</v>
      </c>
      <c r="F78">
        <v>3.1990445859872598</v>
      </c>
      <c r="G78">
        <v>3.35194131933308</v>
      </c>
      <c r="H78">
        <v>0.128377075059741</v>
      </c>
      <c r="I78">
        <v>-1.1909971720002801</v>
      </c>
      <c r="J78">
        <v>-4.78</v>
      </c>
      <c r="L78">
        <v>3.4803183943928211</v>
      </c>
      <c r="M78">
        <v>3.223564244273339</v>
      </c>
      <c r="N78">
        <v>3.6086954694525621</v>
      </c>
      <c r="O78">
        <v>3.0951871692135979</v>
      </c>
    </row>
    <row r="79" spans="1:15">
      <c r="A79" s="19">
        <v>43739</v>
      </c>
      <c r="B79">
        <v>2026</v>
      </c>
      <c r="C79">
        <v>2042</v>
      </c>
      <c r="D79">
        <v>625</v>
      </c>
      <c r="E79">
        <v>628</v>
      </c>
      <c r="F79">
        <v>3.2515923566878899</v>
      </c>
      <c r="G79">
        <v>3.35709659839734</v>
      </c>
      <c r="H79">
        <v>0.12988808070458999</v>
      </c>
      <c r="I79">
        <v>-0.81227038799194196</v>
      </c>
      <c r="J79">
        <v>-3.24</v>
      </c>
      <c r="L79">
        <v>3.4869846791019299</v>
      </c>
      <c r="M79">
        <v>3.2272085176927501</v>
      </c>
      <c r="N79">
        <v>3.6168727598065198</v>
      </c>
      <c r="O79">
        <v>3.0973204369881602</v>
      </c>
    </row>
    <row r="80" spans="1:15">
      <c r="A80" s="19">
        <v>43738</v>
      </c>
      <c r="B80">
        <v>1990</v>
      </c>
      <c r="C80">
        <v>2010</v>
      </c>
      <c r="D80">
        <v>621</v>
      </c>
      <c r="E80">
        <v>621</v>
      </c>
      <c r="F80">
        <v>3.2367149758454099</v>
      </c>
      <c r="G80">
        <v>3.3612839029013601</v>
      </c>
      <c r="H80">
        <v>0.13147181120989601</v>
      </c>
      <c r="I80">
        <v>-0.94749532929974101</v>
      </c>
      <c r="J80">
        <v>-3.85</v>
      </c>
      <c r="L80">
        <v>3.4927557141112562</v>
      </c>
      <c r="M80">
        <v>3.2298120916914641</v>
      </c>
      <c r="N80">
        <v>3.6242275253211522</v>
      </c>
      <c r="O80">
        <v>3.0983402804815681</v>
      </c>
    </row>
    <row r="81" spans="1:15">
      <c r="A81" s="19">
        <v>43735</v>
      </c>
      <c r="B81">
        <v>2003</v>
      </c>
      <c r="C81">
        <v>2005</v>
      </c>
      <c r="D81">
        <v>631</v>
      </c>
      <c r="E81">
        <v>630</v>
      </c>
      <c r="F81">
        <v>3.1825396825396801</v>
      </c>
      <c r="G81">
        <v>3.3647201780511899</v>
      </c>
      <c r="H81">
        <v>0.13153905107168401</v>
      </c>
      <c r="I81">
        <v>-1.3849917117938599</v>
      </c>
      <c r="J81">
        <v>-5.72</v>
      </c>
      <c r="L81">
        <v>3.4962592291228738</v>
      </c>
      <c r="M81">
        <v>3.2331811269795061</v>
      </c>
      <c r="N81">
        <v>3.6277982801945581</v>
      </c>
      <c r="O81">
        <v>3.1016420759078218</v>
      </c>
    </row>
    <row r="82" spans="1:15">
      <c r="A82" s="19">
        <v>43734</v>
      </c>
      <c r="B82">
        <v>2029</v>
      </c>
      <c r="C82">
        <v>2023</v>
      </c>
      <c r="D82">
        <v>647</v>
      </c>
      <c r="E82">
        <v>634</v>
      </c>
      <c r="F82">
        <v>3.1908517350157699</v>
      </c>
      <c r="G82">
        <v>3.3682884592400502</v>
      </c>
      <c r="H82">
        <v>0.13017140298153901</v>
      </c>
      <c r="I82">
        <v>-1.36310065160353</v>
      </c>
      <c r="J82">
        <v>-5.56</v>
      </c>
      <c r="L82">
        <v>3.4984598622215892</v>
      </c>
      <c r="M82">
        <v>3.2381170562585111</v>
      </c>
      <c r="N82">
        <v>3.6286312652031283</v>
      </c>
      <c r="O82">
        <v>3.107945653276972</v>
      </c>
    </row>
    <row r="83" spans="1:15">
      <c r="A83" s="19">
        <v>43733</v>
      </c>
      <c r="B83">
        <v>1980</v>
      </c>
      <c r="C83">
        <v>2004</v>
      </c>
      <c r="D83">
        <v>626</v>
      </c>
      <c r="E83">
        <v>632</v>
      </c>
      <c r="F83">
        <v>3.17088607594936</v>
      </c>
      <c r="G83">
        <v>3.37166016815367</v>
      </c>
      <c r="H83">
        <v>0.128799562649514</v>
      </c>
      <c r="I83">
        <v>-1.5588103567606399</v>
      </c>
      <c r="J83">
        <v>-6.33</v>
      </c>
      <c r="L83">
        <v>3.500459730803184</v>
      </c>
      <c r="M83">
        <v>3.242860605504156</v>
      </c>
      <c r="N83">
        <v>3.6292592934526979</v>
      </c>
      <c r="O83">
        <v>3.114061042854642</v>
      </c>
    </row>
    <row r="84" spans="1:15">
      <c r="A84" s="19">
        <v>43732</v>
      </c>
      <c r="B84">
        <v>1998</v>
      </c>
      <c r="C84">
        <v>1978</v>
      </c>
      <c r="D84">
        <v>625</v>
      </c>
      <c r="E84">
        <v>626</v>
      </c>
      <c r="F84">
        <v>3.1597444089456799</v>
      </c>
      <c r="G84">
        <v>3.37519198524399</v>
      </c>
      <c r="H84">
        <v>0.12686287385766701</v>
      </c>
      <c r="I84">
        <v>-1.69827128888808</v>
      </c>
      <c r="J84">
        <v>-6.82</v>
      </c>
      <c r="L84">
        <v>3.5020548591016571</v>
      </c>
      <c r="M84">
        <v>3.2483291113863229</v>
      </c>
      <c r="N84">
        <v>3.6289177329593238</v>
      </c>
      <c r="O84">
        <v>3.1214662375286562</v>
      </c>
    </row>
    <row r="85" spans="1:15">
      <c r="A85" s="19">
        <v>43728</v>
      </c>
      <c r="B85">
        <v>2019</v>
      </c>
      <c r="C85">
        <v>1996</v>
      </c>
      <c r="D85">
        <v>642</v>
      </c>
      <c r="E85">
        <v>623</v>
      </c>
      <c r="F85">
        <v>3.2038523274478301</v>
      </c>
      <c r="G85">
        <v>3.3798598739990302</v>
      </c>
      <c r="H85">
        <v>0.12528055654329401</v>
      </c>
      <c r="I85">
        <v>-1.4049071253158001</v>
      </c>
      <c r="J85">
        <v>-5.49</v>
      </c>
      <c r="L85">
        <v>3.5051404305423244</v>
      </c>
      <c r="M85">
        <v>3.254579317455736</v>
      </c>
      <c r="N85">
        <v>3.6304209870856181</v>
      </c>
      <c r="O85">
        <v>3.1292987609124423</v>
      </c>
    </row>
    <row r="86" spans="1:15">
      <c r="A86" s="19">
        <v>43727</v>
      </c>
      <c r="B86">
        <v>1994</v>
      </c>
      <c r="C86">
        <v>2014</v>
      </c>
      <c r="D86">
        <v>631</v>
      </c>
      <c r="E86">
        <v>640</v>
      </c>
      <c r="F86">
        <v>3.1468750000000001</v>
      </c>
      <c r="G86">
        <v>3.3832602640190301</v>
      </c>
      <c r="H86">
        <v>0.123910715870913</v>
      </c>
      <c r="I86">
        <v>-1.90770638647014</v>
      </c>
      <c r="J86">
        <v>-7.51</v>
      </c>
      <c r="L86">
        <v>3.5071709798899433</v>
      </c>
      <c r="M86">
        <v>3.2593495481481169</v>
      </c>
      <c r="N86">
        <v>3.631081695760856</v>
      </c>
      <c r="O86">
        <v>3.1354388322772042</v>
      </c>
    </row>
    <row r="87" spans="1:15">
      <c r="A87" s="19">
        <v>43726</v>
      </c>
      <c r="B87">
        <v>2028</v>
      </c>
      <c r="C87">
        <v>1997</v>
      </c>
      <c r="D87">
        <v>634</v>
      </c>
      <c r="E87">
        <v>622</v>
      </c>
      <c r="F87">
        <v>3.21061093247588</v>
      </c>
      <c r="G87">
        <v>3.38661754530363</v>
      </c>
      <c r="H87">
        <v>0.12083344258159701</v>
      </c>
      <c r="I87">
        <v>-1.4566051340372601</v>
      </c>
      <c r="J87">
        <v>-5.48</v>
      </c>
      <c r="L87">
        <v>3.5074509878852269</v>
      </c>
      <c r="M87">
        <v>3.2657841027220331</v>
      </c>
      <c r="N87">
        <v>3.6282844304668238</v>
      </c>
      <c r="O87">
        <v>3.1449506601404362</v>
      </c>
    </row>
    <row r="88" spans="1:15">
      <c r="A88" s="19">
        <v>43725</v>
      </c>
      <c r="B88">
        <v>2005</v>
      </c>
      <c r="C88">
        <v>2027</v>
      </c>
      <c r="D88">
        <v>625</v>
      </c>
      <c r="E88">
        <v>629</v>
      </c>
      <c r="F88">
        <v>3.2225755166931598</v>
      </c>
      <c r="G88">
        <v>3.3900642687637799</v>
      </c>
      <c r="H88">
        <v>0.11944262805282101</v>
      </c>
      <c r="I88">
        <v>-1.40225273674108</v>
      </c>
      <c r="J88">
        <v>-5.2</v>
      </c>
      <c r="L88">
        <v>3.509506896816601</v>
      </c>
      <c r="M88">
        <v>3.2706216407109587</v>
      </c>
      <c r="N88">
        <v>3.6289495248694217</v>
      </c>
      <c r="O88">
        <v>3.151179012658138</v>
      </c>
    </row>
    <row r="89" spans="1:15">
      <c r="A89" s="19">
        <v>43721</v>
      </c>
      <c r="B89">
        <v>1999</v>
      </c>
      <c r="C89">
        <v>2005</v>
      </c>
      <c r="D89">
        <v>625</v>
      </c>
      <c r="E89">
        <v>629</v>
      </c>
      <c r="F89">
        <v>3.1875993640699498</v>
      </c>
      <c r="G89">
        <v>3.39389615223998</v>
      </c>
      <c r="H89">
        <v>0.118614978503187</v>
      </c>
      <c r="I89">
        <v>-1.7392136370407101</v>
      </c>
      <c r="J89">
        <v>-6.47</v>
      </c>
      <c r="L89">
        <v>3.5125111307431669</v>
      </c>
      <c r="M89">
        <v>3.2752811737367931</v>
      </c>
      <c r="N89">
        <v>3.6311261092463538</v>
      </c>
      <c r="O89">
        <v>3.1566661952336061</v>
      </c>
    </row>
    <row r="90" spans="1:15">
      <c r="A90" s="19">
        <v>43720</v>
      </c>
      <c r="B90">
        <v>1986</v>
      </c>
      <c r="C90">
        <v>1980</v>
      </c>
      <c r="D90">
        <v>618</v>
      </c>
      <c r="E90">
        <v>620</v>
      </c>
      <c r="F90">
        <v>3.19354838709677</v>
      </c>
      <c r="G90">
        <v>3.3981065390974301</v>
      </c>
      <c r="H90">
        <v>0.11680821464364</v>
      </c>
      <c r="I90">
        <v>-1.7512308755401</v>
      </c>
      <c r="J90">
        <v>-6.41</v>
      </c>
      <c r="L90">
        <v>3.5149147537410701</v>
      </c>
      <c r="M90">
        <v>3.2812983244537901</v>
      </c>
      <c r="N90">
        <v>3.6317229683847101</v>
      </c>
      <c r="O90">
        <v>3.1644901098101501</v>
      </c>
    </row>
    <row r="91" spans="1:15">
      <c r="A91" s="19">
        <v>43719</v>
      </c>
      <c r="B91">
        <v>1938</v>
      </c>
      <c r="C91">
        <v>1978</v>
      </c>
      <c r="D91">
        <v>609</v>
      </c>
      <c r="E91">
        <v>618</v>
      </c>
      <c r="F91">
        <v>3.2006472491909301</v>
      </c>
      <c r="G91">
        <v>3.40167120730275</v>
      </c>
      <c r="H91">
        <v>0.11456920495369</v>
      </c>
      <c r="I91">
        <v>-1.7546072541314199</v>
      </c>
      <c r="J91">
        <v>-6.28</v>
      </c>
      <c r="L91">
        <v>3.5162404122564399</v>
      </c>
      <c r="M91">
        <v>3.28710200234906</v>
      </c>
      <c r="N91">
        <v>3.6308096172101298</v>
      </c>
      <c r="O91">
        <v>3.1725327973953701</v>
      </c>
    </row>
    <row r="92" spans="1:15">
      <c r="A92" s="19">
        <v>43718</v>
      </c>
      <c r="B92">
        <v>1912</v>
      </c>
      <c r="C92">
        <v>1924</v>
      </c>
      <c r="D92">
        <v>590</v>
      </c>
      <c r="E92">
        <v>600</v>
      </c>
      <c r="F92">
        <v>3.2066666666666599</v>
      </c>
      <c r="G92">
        <v>3.40498050910672</v>
      </c>
      <c r="H92">
        <v>0.112276507930561</v>
      </c>
      <c r="I92">
        <v>-1.7662986326819401</v>
      </c>
      <c r="J92">
        <v>-6.18</v>
      </c>
      <c r="L92">
        <v>3.5172570170372812</v>
      </c>
      <c r="M92">
        <v>3.2927040011761588</v>
      </c>
      <c r="N92">
        <v>3.629533524967842</v>
      </c>
      <c r="O92">
        <v>3.180427493245598</v>
      </c>
    </row>
    <row r="93" spans="1:15">
      <c r="A93" s="19">
        <v>43717</v>
      </c>
      <c r="B93">
        <v>1866</v>
      </c>
      <c r="C93">
        <v>1888</v>
      </c>
      <c r="D93">
        <v>577</v>
      </c>
      <c r="E93">
        <v>583</v>
      </c>
      <c r="F93">
        <v>3.23842195540308</v>
      </c>
      <c r="G93">
        <v>3.40814600618274</v>
      </c>
      <c r="H93">
        <v>0.10996362109788201</v>
      </c>
      <c r="I93">
        <v>-1.54345636388764</v>
      </c>
      <c r="J93">
        <v>-5.24</v>
      </c>
      <c r="L93">
        <v>3.518109627280622</v>
      </c>
      <c r="M93">
        <v>3.2981823850848579</v>
      </c>
      <c r="N93">
        <v>3.6280732483785041</v>
      </c>
      <c r="O93">
        <v>3.1882187639869759</v>
      </c>
    </row>
    <row r="94" spans="1:15">
      <c r="A94" s="19">
        <v>43714</v>
      </c>
      <c r="B94">
        <v>1887</v>
      </c>
      <c r="C94">
        <v>1876</v>
      </c>
      <c r="D94">
        <v>576</v>
      </c>
      <c r="E94">
        <v>574</v>
      </c>
      <c r="F94">
        <v>3.2682926829268202</v>
      </c>
      <c r="G94">
        <v>3.4117661637751602</v>
      </c>
      <c r="H94">
        <v>0.108779374774901</v>
      </c>
      <c r="I94">
        <v>-1.3189401129140901</v>
      </c>
      <c r="J94">
        <v>-4.3899999999999997</v>
      </c>
      <c r="L94">
        <v>3.5205455385500612</v>
      </c>
      <c r="M94">
        <v>3.3029867890002591</v>
      </c>
      <c r="N94">
        <v>3.6293249133249623</v>
      </c>
      <c r="O94">
        <v>3.194207414225358</v>
      </c>
    </row>
    <row r="95" spans="1:15">
      <c r="A95" s="19">
        <v>43713</v>
      </c>
      <c r="B95">
        <v>1862</v>
      </c>
      <c r="C95">
        <v>1872</v>
      </c>
      <c r="D95">
        <v>571</v>
      </c>
      <c r="E95">
        <v>575</v>
      </c>
      <c r="F95">
        <v>3.25565217391304</v>
      </c>
      <c r="G95">
        <v>3.4147583499368901</v>
      </c>
      <c r="H95">
        <v>0.107874412269252</v>
      </c>
      <c r="I95">
        <v>-1.47492044384653</v>
      </c>
      <c r="J95">
        <v>-4.8899999999999997</v>
      </c>
      <c r="L95">
        <v>3.522632762206142</v>
      </c>
      <c r="M95">
        <v>3.3068839376676382</v>
      </c>
      <c r="N95">
        <v>3.6305071744753943</v>
      </c>
      <c r="O95">
        <v>3.1990095253983859</v>
      </c>
    </row>
    <row r="96" spans="1:15">
      <c r="A96" s="19">
        <v>43712</v>
      </c>
      <c r="B96">
        <v>1875</v>
      </c>
      <c r="C96">
        <v>1843</v>
      </c>
      <c r="D96">
        <v>570</v>
      </c>
      <c r="E96">
        <v>562</v>
      </c>
      <c r="F96">
        <v>3.27935943060498</v>
      </c>
      <c r="G96">
        <v>3.4176279714368198</v>
      </c>
      <c r="H96">
        <v>0.106457078930284</v>
      </c>
      <c r="I96">
        <v>-1.29881960148829</v>
      </c>
      <c r="J96">
        <v>-4.22</v>
      </c>
      <c r="L96">
        <v>3.5240850503671037</v>
      </c>
      <c r="M96">
        <v>3.311170892506536</v>
      </c>
      <c r="N96">
        <v>3.6305421292973881</v>
      </c>
      <c r="O96">
        <v>3.2047138135762516</v>
      </c>
    </row>
    <row r="97" spans="1:15">
      <c r="A97" s="19">
        <v>43711</v>
      </c>
      <c r="B97">
        <v>1869</v>
      </c>
      <c r="C97">
        <v>1877</v>
      </c>
      <c r="D97">
        <v>572</v>
      </c>
      <c r="E97">
        <v>576</v>
      </c>
      <c r="F97">
        <v>3.25868055555555</v>
      </c>
      <c r="G97">
        <v>3.41991376103933</v>
      </c>
      <c r="H97">
        <v>0.10529787173683799</v>
      </c>
      <c r="I97">
        <v>-1.5312104872047001</v>
      </c>
      <c r="J97">
        <v>-4.95</v>
      </c>
      <c r="L97">
        <v>3.525211632776168</v>
      </c>
      <c r="M97">
        <v>3.314615889302492</v>
      </c>
      <c r="N97">
        <v>3.630509504513006</v>
      </c>
      <c r="O97">
        <v>3.2093180175656539</v>
      </c>
    </row>
    <row r="98" spans="1:15">
      <c r="A98" s="19">
        <v>43710</v>
      </c>
      <c r="B98">
        <v>1906</v>
      </c>
      <c r="C98">
        <v>1887</v>
      </c>
      <c r="D98">
        <v>585</v>
      </c>
      <c r="E98">
        <v>577</v>
      </c>
      <c r="F98">
        <v>3.2703639514731302</v>
      </c>
      <c r="G98">
        <v>3.4226039274715898</v>
      </c>
      <c r="H98">
        <v>0.103709648249582</v>
      </c>
      <c r="I98">
        <v>-1.46794419389104</v>
      </c>
      <c r="J98">
        <v>-4.66</v>
      </c>
      <c r="L98">
        <v>3.5263135757211717</v>
      </c>
      <c r="M98">
        <v>3.318894279222008</v>
      </c>
      <c r="N98">
        <v>3.6300232239707539</v>
      </c>
      <c r="O98">
        <v>3.2151846309724257</v>
      </c>
    </row>
    <row r="99" spans="1:15">
      <c r="A99" s="19">
        <v>43707</v>
      </c>
      <c r="B99">
        <v>1919</v>
      </c>
      <c r="C99">
        <v>1900</v>
      </c>
      <c r="D99">
        <v>585</v>
      </c>
      <c r="E99">
        <v>591</v>
      </c>
      <c r="F99">
        <v>3.2148900169204699</v>
      </c>
      <c r="G99">
        <v>3.4253861715594698</v>
      </c>
      <c r="H99">
        <v>0.102378605547777</v>
      </c>
      <c r="I99">
        <v>-2.0560560823498499</v>
      </c>
      <c r="J99">
        <v>-6.55</v>
      </c>
      <c r="L99">
        <v>3.5277647771072469</v>
      </c>
      <c r="M99">
        <v>3.3230075660116927</v>
      </c>
      <c r="N99">
        <v>3.6301433826550236</v>
      </c>
      <c r="O99">
        <v>3.220628960463916</v>
      </c>
    </row>
    <row r="100" spans="1:15">
      <c r="A100" s="19">
        <v>43706</v>
      </c>
      <c r="B100">
        <v>1871</v>
      </c>
      <c r="C100">
        <v>1897</v>
      </c>
      <c r="D100">
        <v>572</v>
      </c>
      <c r="E100">
        <v>575</v>
      </c>
      <c r="F100">
        <v>3.2991304347826</v>
      </c>
      <c r="G100">
        <v>3.4278247219942002</v>
      </c>
      <c r="H100">
        <v>9.9472664504281896E-2</v>
      </c>
      <c r="I100">
        <v>-1.2937653560697699</v>
      </c>
      <c r="J100">
        <v>-3.9</v>
      </c>
      <c r="L100">
        <v>3.527297386498482</v>
      </c>
      <c r="M100">
        <v>3.3283520574899184</v>
      </c>
      <c r="N100">
        <v>3.6267700510027638</v>
      </c>
      <c r="O100">
        <v>3.2288793929856365</v>
      </c>
    </row>
    <row r="101" spans="1:15">
      <c r="A101" s="19">
        <v>43705</v>
      </c>
      <c r="B101">
        <v>1891</v>
      </c>
      <c r="C101">
        <v>1870</v>
      </c>
      <c r="D101">
        <v>569</v>
      </c>
      <c r="E101">
        <v>564</v>
      </c>
      <c r="F101">
        <v>3.3156028368794299</v>
      </c>
      <c r="G101">
        <v>3.4283146876983701</v>
      </c>
      <c r="H101">
        <v>9.8926560247600603E-2</v>
      </c>
      <c r="I101">
        <v>-1.1393487303797201</v>
      </c>
      <c r="J101">
        <v>-3.4</v>
      </c>
      <c r="L101">
        <v>3.5272412479459705</v>
      </c>
      <c r="M101">
        <v>3.3293881274507697</v>
      </c>
      <c r="N101">
        <v>3.6261678081935713</v>
      </c>
      <c r="O101">
        <v>3.2304615672031689</v>
      </c>
    </row>
    <row r="102" spans="1:15">
      <c r="A102" s="19">
        <v>43704</v>
      </c>
      <c r="B102">
        <v>1888</v>
      </c>
      <c r="C102">
        <v>1894</v>
      </c>
      <c r="D102">
        <v>571</v>
      </c>
      <c r="E102">
        <v>571</v>
      </c>
      <c r="F102">
        <v>3.3169877408056001</v>
      </c>
      <c r="G102">
        <v>3.4304925053075199</v>
      </c>
      <c r="H102">
        <v>9.8216630166900701E-2</v>
      </c>
      <c r="I102">
        <v>-1.15565728847593</v>
      </c>
      <c r="J102">
        <v>-3.42</v>
      </c>
      <c r="L102">
        <v>3.5287091354744207</v>
      </c>
      <c r="M102">
        <v>3.3322758751406192</v>
      </c>
      <c r="N102">
        <v>3.6269257656413214</v>
      </c>
      <c r="O102">
        <v>3.2340592449737184</v>
      </c>
    </row>
    <row r="103" spans="1:15">
      <c r="A103" s="19">
        <v>43703</v>
      </c>
      <c r="B103">
        <v>1848</v>
      </c>
      <c r="C103">
        <v>1871</v>
      </c>
      <c r="D103">
        <v>558</v>
      </c>
      <c r="E103">
        <v>563</v>
      </c>
      <c r="F103">
        <v>3.3232682060390699</v>
      </c>
      <c r="G103">
        <v>3.4351619011504102</v>
      </c>
      <c r="H103">
        <v>0.100994802579614</v>
      </c>
      <c r="I103">
        <v>-1.10791538032991</v>
      </c>
      <c r="J103">
        <v>-3.37</v>
      </c>
      <c r="L103">
        <v>3.5361567037300241</v>
      </c>
      <c r="M103">
        <v>3.3341670985707963</v>
      </c>
      <c r="N103">
        <v>3.637151506309638</v>
      </c>
      <c r="O103">
        <v>3.2331722959911824</v>
      </c>
    </row>
    <row r="104" spans="1:15">
      <c r="A104" s="19">
        <v>43700</v>
      </c>
      <c r="B104">
        <v>1871</v>
      </c>
      <c r="C104">
        <v>1895</v>
      </c>
      <c r="D104">
        <v>588</v>
      </c>
      <c r="E104">
        <v>578</v>
      </c>
      <c r="F104">
        <v>3.2785467128027599</v>
      </c>
      <c r="G104">
        <v>3.43879221042021</v>
      </c>
      <c r="H104">
        <v>0.101797787157138</v>
      </c>
      <c r="I104">
        <v>-1.5741550194021701</v>
      </c>
      <c r="J104">
        <v>-4.8899999999999997</v>
      </c>
      <c r="L104">
        <v>3.540589997577348</v>
      </c>
      <c r="M104">
        <v>3.3369944232630719</v>
      </c>
      <c r="N104">
        <v>3.6423877847344861</v>
      </c>
      <c r="O104">
        <v>3.2351966361059339</v>
      </c>
    </row>
    <row r="105" spans="1:15">
      <c r="A105" s="19">
        <v>43699</v>
      </c>
      <c r="B105">
        <v>1891</v>
      </c>
      <c r="C105">
        <v>1863</v>
      </c>
      <c r="D105">
        <v>582</v>
      </c>
      <c r="E105">
        <v>580</v>
      </c>
      <c r="F105">
        <v>3.2120689655172399</v>
      </c>
      <c r="G105">
        <v>3.4429635589090002</v>
      </c>
      <c r="H105">
        <v>0.101555506051382</v>
      </c>
      <c r="I105">
        <v>-2.2735802554609199</v>
      </c>
      <c r="J105">
        <v>-7.19</v>
      </c>
      <c r="L105">
        <v>3.5445190649603822</v>
      </c>
      <c r="M105">
        <v>3.3414080528576182</v>
      </c>
      <c r="N105">
        <v>3.6460745710117641</v>
      </c>
      <c r="O105">
        <v>3.2398525468062362</v>
      </c>
    </row>
    <row r="106" spans="1:15">
      <c r="A106" s="19">
        <v>43698</v>
      </c>
      <c r="B106">
        <v>1909</v>
      </c>
      <c r="C106">
        <v>1874</v>
      </c>
      <c r="D106">
        <v>572</v>
      </c>
      <c r="E106">
        <v>572</v>
      </c>
      <c r="F106">
        <v>3.27622377622377</v>
      </c>
      <c r="G106">
        <v>3.4473185123846402</v>
      </c>
      <c r="H106">
        <v>9.8518557889903005E-2</v>
      </c>
      <c r="I106">
        <v>-1.7366751993271701</v>
      </c>
      <c r="J106">
        <v>-5.22</v>
      </c>
      <c r="L106">
        <v>3.5458370702745432</v>
      </c>
      <c r="M106">
        <v>3.3487999544947371</v>
      </c>
      <c r="N106">
        <v>3.6443556281644462</v>
      </c>
      <c r="O106">
        <v>3.2502813966048341</v>
      </c>
    </row>
    <row r="107" spans="1:15">
      <c r="A107" s="19">
        <v>43697</v>
      </c>
      <c r="B107">
        <v>1854</v>
      </c>
      <c r="C107">
        <v>1869</v>
      </c>
      <c r="D107">
        <v>573</v>
      </c>
      <c r="E107">
        <v>578</v>
      </c>
      <c r="F107">
        <v>3.2335640138408301</v>
      </c>
      <c r="G107">
        <v>3.45044818076979</v>
      </c>
      <c r="H107">
        <v>9.6745974936031695E-2</v>
      </c>
      <c r="I107">
        <v>-2.2417900803869601</v>
      </c>
      <c r="J107">
        <v>-6.71</v>
      </c>
      <c r="L107">
        <v>3.5471941557058217</v>
      </c>
      <c r="M107">
        <v>3.3537022058337582</v>
      </c>
      <c r="N107">
        <v>3.6439401306418535</v>
      </c>
      <c r="O107">
        <v>3.2569562308977265</v>
      </c>
    </row>
    <row r="108" spans="1:15">
      <c r="A108" s="19">
        <v>43696</v>
      </c>
      <c r="B108">
        <v>1822</v>
      </c>
      <c r="C108">
        <v>1832</v>
      </c>
      <c r="D108">
        <v>568</v>
      </c>
      <c r="E108">
        <v>570</v>
      </c>
      <c r="F108">
        <v>3.21403508771929</v>
      </c>
      <c r="G108">
        <v>3.4536590305217998</v>
      </c>
      <c r="H108">
        <v>9.3434072333086496E-2</v>
      </c>
      <c r="I108">
        <v>-2.5646312615836702</v>
      </c>
      <c r="J108">
        <v>-7.46</v>
      </c>
      <c r="L108">
        <v>3.5470931028548862</v>
      </c>
      <c r="M108">
        <v>3.3602249581887134</v>
      </c>
      <c r="N108">
        <v>3.6405271751879726</v>
      </c>
      <c r="O108">
        <v>3.2667908858556269</v>
      </c>
    </row>
    <row r="109" spans="1:15">
      <c r="A109" s="19">
        <v>43693</v>
      </c>
      <c r="B109">
        <v>1775</v>
      </c>
      <c r="C109">
        <v>1799</v>
      </c>
      <c r="D109">
        <v>556</v>
      </c>
      <c r="E109">
        <v>560</v>
      </c>
      <c r="F109">
        <v>3.2124999999999999</v>
      </c>
      <c r="G109">
        <v>3.4576227255814702</v>
      </c>
      <c r="H109">
        <v>8.9403234880749402E-2</v>
      </c>
      <c r="I109">
        <v>-2.7417657303835798</v>
      </c>
      <c r="J109">
        <v>-7.63</v>
      </c>
      <c r="L109">
        <v>3.5470259604622196</v>
      </c>
      <c r="M109">
        <v>3.3682194907007208</v>
      </c>
      <c r="N109">
        <v>3.636429195342969</v>
      </c>
      <c r="O109">
        <v>3.2788162558199714</v>
      </c>
    </row>
    <row r="110" spans="1:15">
      <c r="A110" s="19">
        <v>43692</v>
      </c>
      <c r="B110">
        <v>1763</v>
      </c>
      <c r="C110">
        <v>1786</v>
      </c>
      <c r="D110">
        <v>553</v>
      </c>
      <c r="E110">
        <v>562</v>
      </c>
      <c r="F110">
        <v>3.1779359430604899</v>
      </c>
      <c r="G110">
        <v>3.4612689589640402</v>
      </c>
      <c r="H110">
        <v>8.4789270551122203E-2</v>
      </c>
      <c r="I110">
        <v>-3.34161402807108</v>
      </c>
      <c r="J110">
        <v>-8.92</v>
      </c>
      <c r="L110">
        <v>3.5460582295151624</v>
      </c>
      <c r="M110">
        <v>3.376479688412918</v>
      </c>
      <c r="N110">
        <v>3.6308475000662845</v>
      </c>
      <c r="O110">
        <v>3.2916904178617958</v>
      </c>
    </row>
    <row r="111" spans="1:15">
      <c r="A111" s="19">
        <v>43691</v>
      </c>
      <c r="B111">
        <v>1804</v>
      </c>
      <c r="C111">
        <v>1803</v>
      </c>
      <c r="D111">
        <v>565</v>
      </c>
      <c r="E111">
        <v>568</v>
      </c>
      <c r="F111">
        <v>3.1742957746478799</v>
      </c>
      <c r="G111">
        <v>3.4657930314473702</v>
      </c>
      <c r="H111">
        <v>7.8359156163160595E-2</v>
      </c>
      <c r="I111">
        <v>-3.7200152614268398</v>
      </c>
      <c r="J111">
        <v>-9.18</v>
      </c>
      <c r="L111">
        <v>3.5441521876105306</v>
      </c>
      <c r="M111">
        <v>3.3874338752842097</v>
      </c>
      <c r="N111">
        <v>3.6225113437736916</v>
      </c>
      <c r="O111">
        <v>3.3090747191210488</v>
      </c>
    </row>
    <row r="112" spans="1:15">
      <c r="A112" s="19">
        <v>43690</v>
      </c>
      <c r="B112">
        <v>1781</v>
      </c>
      <c r="C112">
        <v>1797</v>
      </c>
      <c r="D112">
        <v>543</v>
      </c>
      <c r="E112">
        <v>555</v>
      </c>
      <c r="F112">
        <v>3.2378378378378301</v>
      </c>
      <c r="G112">
        <v>3.4697984528647599</v>
      </c>
      <c r="H112">
        <v>7.0655716666791907E-2</v>
      </c>
      <c r="I112">
        <v>-3.2829702389240798</v>
      </c>
      <c r="J112">
        <v>-7.16</v>
      </c>
      <c r="L112">
        <v>3.5404541695315519</v>
      </c>
      <c r="M112">
        <v>3.3991427361979678</v>
      </c>
      <c r="N112">
        <v>3.6111098861983435</v>
      </c>
      <c r="O112">
        <v>3.3284870195311762</v>
      </c>
    </row>
    <row r="113" spans="1:15">
      <c r="A113" s="19">
        <v>43686</v>
      </c>
      <c r="B113">
        <v>1823</v>
      </c>
      <c r="C113">
        <v>1799</v>
      </c>
      <c r="D113">
        <v>541</v>
      </c>
      <c r="E113">
        <v>553</v>
      </c>
      <c r="F113">
        <v>3.25316455696202</v>
      </c>
      <c r="G113">
        <v>3.4727598237311801</v>
      </c>
      <c r="H113">
        <v>6.5324930699775199E-2</v>
      </c>
      <c r="I113">
        <v>-3.3615843815952702</v>
      </c>
      <c r="J113">
        <v>-6.75</v>
      </c>
      <c r="L113">
        <v>3.5380847544309555</v>
      </c>
      <c r="M113">
        <v>3.4074348930314047</v>
      </c>
      <c r="N113">
        <v>3.6034096851307305</v>
      </c>
      <c r="O113">
        <v>3.3421099623316297</v>
      </c>
    </row>
    <row r="114" spans="1:15">
      <c r="A114" s="19">
        <v>43685</v>
      </c>
      <c r="B114">
        <v>1801</v>
      </c>
      <c r="C114">
        <v>1811</v>
      </c>
      <c r="D114">
        <v>533</v>
      </c>
      <c r="E114">
        <v>531</v>
      </c>
      <c r="F114">
        <v>3.4105461393596901</v>
      </c>
      <c r="G114">
        <v>3.47509305295717</v>
      </c>
      <c r="H114">
        <v>6.03777054901515E-2</v>
      </c>
      <c r="I114">
        <v>-1.06905211242262</v>
      </c>
      <c r="J114">
        <v>-1.89</v>
      </c>
      <c r="L114">
        <v>3.5354707584473215</v>
      </c>
      <c r="M114">
        <v>3.4147153474670184</v>
      </c>
      <c r="N114">
        <v>3.595848463937473</v>
      </c>
      <c r="O114">
        <v>3.3543376419768669</v>
      </c>
    </row>
    <row r="115" spans="1:15">
      <c r="A115" s="19">
        <v>43684</v>
      </c>
      <c r="B115">
        <v>1799</v>
      </c>
      <c r="C115">
        <v>1815</v>
      </c>
      <c r="D115">
        <v>535</v>
      </c>
      <c r="E115">
        <v>536</v>
      </c>
      <c r="F115">
        <v>3.3861940298507398</v>
      </c>
      <c r="G115">
        <v>3.4754548532246501</v>
      </c>
      <c r="H115">
        <v>6.0070356226089701E-2</v>
      </c>
      <c r="I115">
        <v>-1.48593797309854</v>
      </c>
      <c r="J115">
        <v>-2.64</v>
      </c>
      <c r="L115">
        <v>3.5355252094507397</v>
      </c>
      <c r="M115">
        <v>3.4153844969985605</v>
      </c>
      <c r="N115">
        <v>3.5955955656768297</v>
      </c>
      <c r="O115">
        <v>3.3553141407724705</v>
      </c>
    </row>
    <row r="116" spans="1:15">
      <c r="A116" s="19">
        <v>43683</v>
      </c>
      <c r="B116">
        <v>1760</v>
      </c>
      <c r="C116">
        <v>1817</v>
      </c>
      <c r="D116">
        <v>529</v>
      </c>
      <c r="E116">
        <v>544</v>
      </c>
      <c r="F116">
        <v>3.3400735294117601</v>
      </c>
      <c r="G116">
        <v>3.4759206501445301</v>
      </c>
      <c r="H116">
        <v>5.95092295779713E-2</v>
      </c>
      <c r="I116">
        <v>-2.2827907821387599</v>
      </c>
      <c r="J116">
        <v>-4.07</v>
      </c>
      <c r="L116">
        <v>3.5354298797225012</v>
      </c>
      <c r="M116">
        <v>3.416411420566559</v>
      </c>
      <c r="N116">
        <v>3.5949391093004728</v>
      </c>
      <c r="O116">
        <v>3.3569021909885874</v>
      </c>
    </row>
    <row r="117" spans="1:15">
      <c r="A117" s="19">
        <v>43682</v>
      </c>
      <c r="B117">
        <v>1873</v>
      </c>
      <c r="C117">
        <v>1851</v>
      </c>
      <c r="D117">
        <v>559</v>
      </c>
      <c r="E117">
        <v>549</v>
      </c>
      <c r="F117">
        <v>3.3715846994535501</v>
      </c>
      <c r="G117">
        <v>3.47732322004823</v>
      </c>
      <c r="H117">
        <v>5.74965321706278E-2</v>
      </c>
      <c r="I117">
        <v>-1.8390417056961601</v>
      </c>
      <c r="J117">
        <v>-3.14</v>
      </c>
      <c r="L117">
        <v>3.534819752218858</v>
      </c>
      <c r="M117">
        <v>3.419826687877602</v>
      </c>
      <c r="N117">
        <v>3.5923162843894856</v>
      </c>
      <c r="O117">
        <v>3.3623301557069745</v>
      </c>
    </row>
    <row r="118" spans="1:15">
      <c r="A118" s="19">
        <v>43679</v>
      </c>
      <c r="B118">
        <v>2002</v>
      </c>
      <c r="C118">
        <v>1913</v>
      </c>
      <c r="D118">
        <v>573</v>
      </c>
      <c r="E118">
        <v>564</v>
      </c>
      <c r="F118">
        <v>3.3918439716312001</v>
      </c>
      <c r="G118">
        <v>3.4782859171521698</v>
      </c>
      <c r="H118">
        <v>5.6310256786635801E-2</v>
      </c>
      <c r="I118">
        <v>-1.53510124893411</v>
      </c>
      <c r="J118">
        <v>-2.5499999999999998</v>
      </c>
      <c r="L118">
        <v>3.5345961739388057</v>
      </c>
      <c r="M118">
        <v>3.421975660365534</v>
      </c>
      <c r="N118">
        <v>3.5909064307254415</v>
      </c>
      <c r="O118">
        <v>3.3656654035788982</v>
      </c>
    </row>
    <row r="119" spans="1:15">
      <c r="A119" s="19">
        <v>43678</v>
      </c>
      <c r="B119">
        <v>2050</v>
      </c>
      <c r="C119">
        <v>2047</v>
      </c>
      <c r="D119">
        <v>593</v>
      </c>
      <c r="E119">
        <v>592</v>
      </c>
      <c r="F119">
        <v>3.4577702702702702</v>
      </c>
      <c r="G119">
        <v>3.4784614290473499</v>
      </c>
      <c r="H119">
        <v>5.6060515226751297E-2</v>
      </c>
      <c r="I119">
        <v>-0.36908613296538201</v>
      </c>
      <c r="J119">
        <v>-0.6</v>
      </c>
      <c r="L119">
        <v>3.5345219442741014</v>
      </c>
      <c r="M119">
        <v>3.4224009138205984</v>
      </c>
      <c r="N119">
        <v>3.5905824595008524</v>
      </c>
      <c r="O119">
        <v>3.3663403985938474</v>
      </c>
    </row>
    <row r="120" spans="1:15">
      <c r="A120" s="19">
        <v>43677</v>
      </c>
      <c r="B120">
        <v>2045</v>
      </c>
      <c r="C120">
        <v>2067</v>
      </c>
      <c r="D120">
        <v>604</v>
      </c>
      <c r="E120">
        <v>600</v>
      </c>
      <c r="F120">
        <v>3.4449999999999998</v>
      </c>
      <c r="G120">
        <v>3.4780114675083902</v>
      </c>
      <c r="H120">
        <v>5.6359420307396199E-2</v>
      </c>
      <c r="I120">
        <v>-0.58573114003558802</v>
      </c>
      <c r="J120">
        <v>-0.96</v>
      </c>
      <c r="L120">
        <v>3.5343708878157862</v>
      </c>
      <c r="M120">
        <v>3.4216520472009941</v>
      </c>
      <c r="N120">
        <v>3.5907303081231827</v>
      </c>
      <c r="O120">
        <v>3.3652926268935976</v>
      </c>
    </row>
    <row r="121" spans="1:15">
      <c r="A121" s="19">
        <v>43676</v>
      </c>
      <c r="B121">
        <v>2028</v>
      </c>
      <c r="C121">
        <v>2045</v>
      </c>
      <c r="D121">
        <v>600</v>
      </c>
      <c r="E121">
        <v>603</v>
      </c>
      <c r="F121">
        <v>3.3913764510779401</v>
      </c>
      <c r="G121">
        <v>3.4784282540791298</v>
      </c>
      <c r="H121">
        <v>5.6229186389992601E-2</v>
      </c>
      <c r="I121">
        <v>-1.54816045883047</v>
      </c>
      <c r="J121">
        <v>-2.57</v>
      </c>
      <c r="L121">
        <v>3.5346574404691222</v>
      </c>
      <c r="M121">
        <v>3.4221990676891374</v>
      </c>
      <c r="N121">
        <v>3.5908866268591151</v>
      </c>
      <c r="O121">
        <v>3.3659698812991445</v>
      </c>
    </row>
    <row r="122" spans="1:15">
      <c r="A122" s="19">
        <v>43675</v>
      </c>
      <c r="B122">
        <v>2061</v>
      </c>
      <c r="C122">
        <v>2047</v>
      </c>
      <c r="D122">
        <v>601</v>
      </c>
      <c r="E122">
        <v>592</v>
      </c>
      <c r="F122">
        <v>3.4577702702702702</v>
      </c>
      <c r="G122">
        <v>3.4797999397122701</v>
      </c>
      <c r="H122">
        <v>5.5336593464768997E-2</v>
      </c>
      <c r="I122">
        <v>-0.398103100727218</v>
      </c>
      <c r="J122">
        <v>-0.64</v>
      </c>
      <c r="L122">
        <v>3.535136533177039</v>
      </c>
      <c r="M122">
        <v>3.4244633462475011</v>
      </c>
      <c r="N122">
        <v>3.590473126641808</v>
      </c>
      <c r="O122">
        <v>3.3691267527827322</v>
      </c>
    </row>
    <row r="123" spans="1:15">
      <c r="A123" s="19">
        <v>43672</v>
      </c>
      <c r="B123">
        <v>2094</v>
      </c>
      <c r="C123">
        <v>2079</v>
      </c>
      <c r="D123">
        <v>604</v>
      </c>
      <c r="E123">
        <v>604</v>
      </c>
      <c r="F123">
        <v>3.4420529801324502</v>
      </c>
      <c r="G123">
        <v>3.4805551257340301</v>
      </c>
      <c r="H123">
        <v>5.5417219508595503E-2</v>
      </c>
      <c r="I123">
        <v>-0.69476862865000899</v>
      </c>
      <c r="J123">
        <v>-1.1200000000000001</v>
      </c>
      <c r="L123">
        <v>3.5359723452426257</v>
      </c>
      <c r="M123">
        <v>3.4251379062254346</v>
      </c>
      <c r="N123">
        <v>3.5913895647512213</v>
      </c>
      <c r="O123">
        <v>3.369720686716839</v>
      </c>
    </row>
    <row r="124" spans="1:15">
      <c r="A124" s="19">
        <v>43671</v>
      </c>
      <c r="B124">
        <v>2092</v>
      </c>
      <c r="C124">
        <v>2114</v>
      </c>
      <c r="D124">
        <v>604</v>
      </c>
      <c r="E124">
        <v>605</v>
      </c>
      <c r="F124">
        <v>3.49421487603305</v>
      </c>
      <c r="G124">
        <v>3.4816725802518</v>
      </c>
      <c r="H124">
        <v>5.5474530780517901E-2</v>
      </c>
      <c r="I124">
        <v>0.226091065661706</v>
      </c>
      <c r="J124">
        <v>0.36</v>
      </c>
      <c r="L124">
        <v>3.537147111032318</v>
      </c>
      <c r="M124">
        <v>3.426198049471282</v>
      </c>
      <c r="N124">
        <v>3.5926216418128361</v>
      </c>
      <c r="O124">
        <v>3.370723518690764</v>
      </c>
    </row>
    <row r="125" spans="1:15">
      <c r="A125" s="19">
        <v>43670</v>
      </c>
      <c r="B125">
        <v>2098</v>
      </c>
      <c r="C125">
        <v>2080</v>
      </c>
      <c r="D125">
        <v>600</v>
      </c>
      <c r="E125">
        <v>598</v>
      </c>
      <c r="F125">
        <v>3.4782608695652102</v>
      </c>
      <c r="G125">
        <v>3.4826911177356301</v>
      </c>
      <c r="H125">
        <v>5.6389202325730199E-2</v>
      </c>
      <c r="I125">
        <v>-7.8565540700912595E-2</v>
      </c>
      <c r="J125">
        <v>-0.13</v>
      </c>
      <c r="L125">
        <v>3.5390803200613603</v>
      </c>
      <c r="M125">
        <v>3.4263019154098999</v>
      </c>
      <c r="N125">
        <v>3.5954695223870905</v>
      </c>
      <c r="O125">
        <v>3.3699127130841697</v>
      </c>
    </row>
    <row r="126" spans="1:15">
      <c r="A126" s="19">
        <v>43669</v>
      </c>
      <c r="B126">
        <v>2081</v>
      </c>
      <c r="C126">
        <v>2097</v>
      </c>
      <c r="D126">
        <v>590</v>
      </c>
      <c r="E126">
        <v>598</v>
      </c>
      <c r="F126">
        <v>3.5066889632107001</v>
      </c>
      <c r="G126">
        <v>3.4841731521118602</v>
      </c>
      <c r="H126">
        <v>5.7698752974366802E-2</v>
      </c>
      <c r="I126">
        <v>0.3902304631929</v>
      </c>
      <c r="J126">
        <v>0.64</v>
      </c>
      <c r="L126">
        <v>3.5418719050862268</v>
      </c>
      <c r="M126">
        <v>3.4264743991374935</v>
      </c>
      <c r="N126">
        <v>3.599570658060594</v>
      </c>
      <c r="O126">
        <v>3.3687756461631264</v>
      </c>
    </row>
    <row r="127" spans="1:15">
      <c r="A127" s="19">
        <v>43668</v>
      </c>
      <c r="B127">
        <v>2094</v>
      </c>
      <c r="C127">
        <v>2078</v>
      </c>
      <c r="D127">
        <v>595</v>
      </c>
      <c r="E127">
        <v>593</v>
      </c>
      <c r="F127">
        <v>3.5042158516020199</v>
      </c>
      <c r="G127">
        <v>3.4855153384847299</v>
      </c>
      <c r="H127">
        <v>5.9353982845845803E-2</v>
      </c>
      <c r="I127">
        <v>0.31506753583584501</v>
      </c>
      <c r="J127">
        <v>0.53</v>
      </c>
      <c r="L127">
        <v>3.5448693213305758</v>
      </c>
      <c r="M127">
        <v>3.4261613556388841</v>
      </c>
      <c r="N127">
        <v>3.6042233041764216</v>
      </c>
      <c r="O127">
        <v>3.3668073727930383</v>
      </c>
    </row>
    <row r="128" spans="1:15">
      <c r="A128" s="19">
        <v>43665</v>
      </c>
      <c r="B128">
        <v>2052</v>
      </c>
      <c r="C128">
        <v>2081</v>
      </c>
      <c r="D128">
        <v>580</v>
      </c>
      <c r="E128">
        <v>592</v>
      </c>
      <c r="F128">
        <v>3.5152027027027</v>
      </c>
      <c r="G128">
        <v>3.4873837303046402</v>
      </c>
      <c r="H128">
        <v>6.2057237793814099E-2</v>
      </c>
      <c r="I128">
        <v>0.448279256168022</v>
      </c>
      <c r="J128">
        <v>0.79</v>
      </c>
      <c r="L128">
        <v>3.5494409680984544</v>
      </c>
      <c r="M128">
        <v>3.425326492510826</v>
      </c>
      <c r="N128">
        <v>3.6114982058922682</v>
      </c>
      <c r="O128">
        <v>3.3632692547170122</v>
      </c>
    </row>
    <row r="129" spans="1:15">
      <c r="A129" s="19">
        <v>43664</v>
      </c>
      <c r="B129">
        <v>2093</v>
      </c>
      <c r="C129">
        <v>2053</v>
      </c>
      <c r="D129">
        <v>592</v>
      </c>
      <c r="E129">
        <v>578</v>
      </c>
      <c r="F129">
        <v>3.55190311418685</v>
      </c>
      <c r="G129">
        <v>3.4882889550135898</v>
      </c>
      <c r="H129">
        <v>6.2945242522655098E-2</v>
      </c>
      <c r="I129">
        <v>1.01062696120928</v>
      </c>
      <c r="J129">
        <v>1.79</v>
      </c>
      <c r="L129">
        <v>3.5512341975362451</v>
      </c>
      <c r="M129">
        <v>3.4253437124909345</v>
      </c>
      <c r="N129">
        <v>3.6141794400589</v>
      </c>
      <c r="O129">
        <v>3.3623984699682796</v>
      </c>
    </row>
    <row r="130" spans="1:15">
      <c r="A130" s="19">
        <v>43663</v>
      </c>
      <c r="B130">
        <v>2074</v>
      </c>
      <c r="C130">
        <v>2113</v>
      </c>
      <c r="D130">
        <v>601</v>
      </c>
      <c r="E130">
        <v>598</v>
      </c>
      <c r="F130">
        <v>3.5334448160535099</v>
      </c>
      <c r="G130">
        <v>3.4884450667058799</v>
      </c>
      <c r="H130">
        <v>6.3117104084343498E-2</v>
      </c>
      <c r="I130">
        <v>0.71295649571464303</v>
      </c>
      <c r="J130">
        <v>1.27</v>
      </c>
      <c r="L130">
        <v>3.5515621707902234</v>
      </c>
      <c r="M130">
        <v>3.4253279626215365</v>
      </c>
      <c r="N130">
        <v>3.6146792748745669</v>
      </c>
      <c r="O130">
        <v>3.362210858537193</v>
      </c>
    </row>
    <row r="131" spans="1:15">
      <c r="A131" s="19">
        <v>43662</v>
      </c>
      <c r="B131">
        <v>2128</v>
      </c>
      <c r="C131">
        <v>2077</v>
      </c>
      <c r="D131">
        <v>607</v>
      </c>
      <c r="E131">
        <v>604</v>
      </c>
      <c r="F131">
        <v>3.4387417218543002</v>
      </c>
      <c r="G131">
        <v>3.4898243039327501</v>
      </c>
      <c r="H131">
        <v>6.5181817566453096E-2</v>
      </c>
      <c r="I131">
        <v>-0.78369373524101604</v>
      </c>
      <c r="J131">
        <v>-1.49</v>
      </c>
      <c r="L131">
        <v>3.5550061214992033</v>
      </c>
      <c r="M131">
        <v>3.424642486366297</v>
      </c>
      <c r="N131">
        <v>3.6201879390656564</v>
      </c>
      <c r="O131">
        <v>3.3594606687998438</v>
      </c>
    </row>
    <row r="132" spans="1:15">
      <c r="A132" s="19">
        <v>43658</v>
      </c>
      <c r="B132">
        <v>2128</v>
      </c>
      <c r="C132">
        <v>2131</v>
      </c>
      <c r="D132">
        <v>613</v>
      </c>
      <c r="E132">
        <v>609</v>
      </c>
      <c r="F132">
        <v>3.4991789819375998</v>
      </c>
      <c r="G132">
        <v>3.4919557662893799</v>
      </c>
      <c r="H132">
        <v>6.6084036584175304E-2</v>
      </c>
      <c r="I132">
        <v>0.10930348721989799</v>
      </c>
      <c r="J132">
        <v>0.21</v>
      </c>
      <c r="L132">
        <v>3.5580398028735551</v>
      </c>
      <c r="M132">
        <v>3.4258717297052046</v>
      </c>
      <c r="N132">
        <v>3.6241238394577304</v>
      </c>
      <c r="O132">
        <v>3.3597876931210293</v>
      </c>
    </row>
    <row r="133" spans="1:15">
      <c r="A133" s="19">
        <v>43657</v>
      </c>
      <c r="B133">
        <v>2121</v>
      </c>
      <c r="C133">
        <v>2141</v>
      </c>
      <c r="D133">
        <v>616</v>
      </c>
      <c r="E133">
        <v>614</v>
      </c>
      <c r="F133">
        <v>3.4869706840390799</v>
      </c>
      <c r="G133">
        <v>3.4930232816868299</v>
      </c>
      <c r="H133">
        <v>6.6834506613469805E-2</v>
      </c>
      <c r="I133">
        <v>-9.0560968494144301E-2</v>
      </c>
      <c r="J133">
        <v>-0.17</v>
      </c>
      <c r="L133">
        <v>3.5598577883002998</v>
      </c>
      <c r="M133">
        <v>3.4261887750733599</v>
      </c>
      <c r="N133">
        <v>3.6266922949137697</v>
      </c>
      <c r="O133">
        <v>3.35935426845989</v>
      </c>
    </row>
    <row r="134" spans="1:15">
      <c r="A134" s="19">
        <v>43656</v>
      </c>
      <c r="B134">
        <v>2110</v>
      </c>
      <c r="C134">
        <v>2135</v>
      </c>
      <c r="D134">
        <v>615</v>
      </c>
      <c r="E134">
        <v>612</v>
      </c>
      <c r="F134">
        <v>3.48856209150326</v>
      </c>
      <c r="G134">
        <v>3.4943911760924</v>
      </c>
      <c r="H134">
        <v>6.7740361994144196E-2</v>
      </c>
      <c r="I134">
        <v>-8.6050390307035707E-2</v>
      </c>
      <c r="J134">
        <v>-0.17</v>
      </c>
      <c r="L134">
        <v>3.5621315380865441</v>
      </c>
      <c r="M134">
        <v>3.4266508140982559</v>
      </c>
      <c r="N134">
        <v>3.6298719000806883</v>
      </c>
      <c r="O134">
        <v>3.3589104521041118</v>
      </c>
    </row>
    <row r="135" spans="1:15">
      <c r="A135" s="19">
        <v>43655</v>
      </c>
      <c r="B135">
        <v>2164</v>
      </c>
      <c r="C135">
        <v>2118</v>
      </c>
      <c r="D135">
        <v>634</v>
      </c>
      <c r="E135">
        <v>622</v>
      </c>
      <c r="F135">
        <v>3.4051446945337598</v>
      </c>
      <c r="G135">
        <v>3.4957936815390198</v>
      </c>
      <c r="H135">
        <v>6.8687448565114495E-2</v>
      </c>
      <c r="I135">
        <v>-1.3197314633012101</v>
      </c>
      <c r="J135">
        <v>-2.66</v>
      </c>
      <c r="L135">
        <v>3.5644811301041344</v>
      </c>
      <c r="M135">
        <v>3.4271062329739053</v>
      </c>
      <c r="N135">
        <v>3.6331685786692489</v>
      </c>
      <c r="O135">
        <v>3.3584187844087907</v>
      </c>
    </row>
    <row r="136" spans="1:15">
      <c r="A136" s="19">
        <v>43654</v>
      </c>
      <c r="B136">
        <v>2171</v>
      </c>
      <c r="C136">
        <v>2158</v>
      </c>
      <c r="D136">
        <v>636</v>
      </c>
      <c r="E136">
        <v>629</v>
      </c>
      <c r="F136">
        <v>3.4308426073131901</v>
      </c>
      <c r="G136">
        <v>3.4987226806095002</v>
      </c>
      <c r="H136">
        <v>6.9439128912225007E-2</v>
      </c>
      <c r="I136">
        <v>-0.97754788056333897</v>
      </c>
      <c r="J136">
        <v>-1.98</v>
      </c>
      <c r="L136">
        <v>3.5681618095217251</v>
      </c>
      <c r="M136">
        <v>3.4292835516972753</v>
      </c>
      <c r="N136">
        <v>3.63760093843395</v>
      </c>
      <c r="O136">
        <v>3.3598444227850504</v>
      </c>
    </row>
    <row r="137" spans="1:15">
      <c r="A137" s="19">
        <v>43651</v>
      </c>
      <c r="B137">
        <v>2198</v>
      </c>
      <c r="C137">
        <v>2187</v>
      </c>
      <c r="D137">
        <v>649</v>
      </c>
      <c r="E137">
        <v>643</v>
      </c>
      <c r="F137">
        <v>3.4012441679626702</v>
      </c>
      <c r="G137">
        <v>3.5012247406430101</v>
      </c>
      <c r="H137">
        <v>7.0323361080024405E-2</v>
      </c>
      <c r="I137">
        <v>-1.4217263103589299</v>
      </c>
      <c r="J137">
        <v>-2.94</v>
      </c>
      <c r="L137">
        <v>3.5715481017230344</v>
      </c>
      <c r="M137">
        <v>3.4309013795629859</v>
      </c>
      <c r="N137">
        <v>3.6418714628030591</v>
      </c>
      <c r="O137">
        <v>3.3605780184829612</v>
      </c>
    </row>
    <row r="138" spans="1:15">
      <c r="A138" s="19">
        <v>43650</v>
      </c>
      <c r="B138">
        <v>2155</v>
      </c>
      <c r="C138">
        <v>2181</v>
      </c>
      <c r="D138">
        <v>635</v>
      </c>
      <c r="E138">
        <v>639</v>
      </c>
      <c r="F138">
        <v>3.4131455399060999</v>
      </c>
      <c r="G138">
        <v>3.5042612918334601</v>
      </c>
      <c r="H138">
        <v>7.0855560483190694E-2</v>
      </c>
      <c r="I138">
        <v>-1.2859365066906601</v>
      </c>
      <c r="J138">
        <v>-2.67</v>
      </c>
      <c r="L138">
        <v>3.575116852316651</v>
      </c>
      <c r="M138">
        <v>3.4334057313502693</v>
      </c>
      <c r="N138">
        <v>3.6459724127998414</v>
      </c>
      <c r="O138">
        <v>3.3625501708670789</v>
      </c>
    </row>
    <row r="139" spans="1:15">
      <c r="A139" s="19">
        <v>43649</v>
      </c>
      <c r="B139">
        <v>2127</v>
      </c>
      <c r="C139">
        <v>2135</v>
      </c>
      <c r="D139">
        <v>623</v>
      </c>
      <c r="E139">
        <v>625</v>
      </c>
      <c r="F139">
        <v>3.4159999999999999</v>
      </c>
      <c r="G139">
        <v>3.5069401547447101</v>
      </c>
      <c r="H139">
        <v>7.1157458605874704E-2</v>
      </c>
      <c r="I139">
        <v>-1.2780129662641799</v>
      </c>
      <c r="J139">
        <v>-2.66</v>
      </c>
      <c r="L139">
        <v>3.5780976133505846</v>
      </c>
      <c r="M139">
        <v>3.4357826961388356</v>
      </c>
      <c r="N139">
        <v>3.6492550719564596</v>
      </c>
      <c r="O139">
        <v>3.3646252375329606</v>
      </c>
    </row>
    <row r="140" spans="1:15">
      <c r="A140" s="19">
        <v>43648</v>
      </c>
      <c r="B140">
        <v>2143</v>
      </c>
      <c r="C140">
        <v>2140</v>
      </c>
      <c r="D140">
        <v>623</v>
      </c>
      <c r="E140">
        <v>630</v>
      </c>
      <c r="F140">
        <v>3.3968253968253901</v>
      </c>
      <c r="G140">
        <v>3.5100933903263298</v>
      </c>
      <c r="H140">
        <v>7.2288634339194496E-2</v>
      </c>
      <c r="I140">
        <v>-1.5668852308021299</v>
      </c>
      <c r="J140">
        <v>-3.33</v>
      </c>
      <c r="L140">
        <v>3.5823820246655242</v>
      </c>
      <c r="M140">
        <v>3.4378047559871354</v>
      </c>
      <c r="N140">
        <v>3.6546706590047187</v>
      </c>
      <c r="O140">
        <v>3.365516121647941</v>
      </c>
    </row>
    <row r="141" spans="1:15">
      <c r="A141" s="19">
        <v>43647</v>
      </c>
      <c r="B141">
        <v>2110</v>
      </c>
      <c r="C141">
        <v>2141</v>
      </c>
      <c r="D141">
        <v>614</v>
      </c>
      <c r="E141">
        <v>622</v>
      </c>
      <c r="F141">
        <v>3.4421221864951699</v>
      </c>
      <c r="G141">
        <v>3.5132979602565699</v>
      </c>
      <c r="H141">
        <v>7.25232521813369E-2</v>
      </c>
      <c r="I141">
        <v>-0.98142004971626495</v>
      </c>
      <c r="J141">
        <v>-2.0699999999999998</v>
      </c>
      <c r="L141">
        <v>3.585821212437907</v>
      </c>
      <c r="M141">
        <v>3.4407747080752329</v>
      </c>
      <c r="N141">
        <v>3.6583444646192436</v>
      </c>
      <c r="O141">
        <v>3.3682514558938963</v>
      </c>
    </row>
    <row r="142" spans="1:15">
      <c r="A142" s="19">
        <v>43644</v>
      </c>
      <c r="B142">
        <v>2080</v>
      </c>
      <c r="C142">
        <v>2077</v>
      </c>
      <c r="D142">
        <v>597</v>
      </c>
      <c r="E142">
        <v>596</v>
      </c>
      <c r="F142">
        <v>3.48489932885906</v>
      </c>
      <c r="G142">
        <v>3.51539150351709</v>
      </c>
      <c r="H142">
        <v>7.2704465574055396E-2</v>
      </c>
      <c r="I142">
        <v>-0.41939892436145798</v>
      </c>
      <c r="J142">
        <v>-0.87</v>
      </c>
      <c r="L142">
        <v>3.5880959690911451</v>
      </c>
      <c r="M142">
        <v>3.4426870379430348</v>
      </c>
      <c r="N142">
        <v>3.6608004346652008</v>
      </c>
      <c r="O142">
        <v>3.3699825723689791</v>
      </c>
    </row>
    <row r="143" spans="1:15">
      <c r="A143" s="19">
        <v>43643</v>
      </c>
      <c r="B143">
        <v>2061</v>
      </c>
      <c r="C143">
        <v>2086</v>
      </c>
      <c r="D143">
        <v>586</v>
      </c>
      <c r="E143">
        <v>597</v>
      </c>
      <c r="F143">
        <v>3.49413735343383</v>
      </c>
      <c r="G143">
        <v>3.51619548233381</v>
      </c>
      <c r="H143">
        <v>7.2696227225350102E-2</v>
      </c>
      <c r="I143">
        <v>-0.30342879874081402</v>
      </c>
      <c r="J143">
        <v>-0.63</v>
      </c>
      <c r="L143">
        <v>3.5888917095591601</v>
      </c>
      <c r="M143">
        <v>3.4434992551084598</v>
      </c>
      <c r="N143">
        <v>3.6615879367845103</v>
      </c>
      <c r="O143">
        <v>3.3708030278831096</v>
      </c>
    </row>
    <row r="144" spans="1:15">
      <c r="A144" s="19">
        <v>43642</v>
      </c>
      <c r="B144">
        <v>2035</v>
      </c>
      <c r="C144">
        <v>2041</v>
      </c>
      <c r="D144">
        <v>582</v>
      </c>
      <c r="E144">
        <v>585</v>
      </c>
      <c r="F144">
        <v>3.48888888888888</v>
      </c>
      <c r="G144">
        <v>3.5179426749999498</v>
      </c>
      <c r="H144">
        <v>7.3712687744026201E-2</v>
      </c>
      <c r="I144">
        <v>-0.39414905357895302</v>
      </c>
      <c r="J144">
        <v>-0.83</v>
      </c>
      <c r="L144">
        <v>3.591655362743976</v>
      </c>
      <c r="M144">
        <v>3.4442299872559237</v>
      </c>
      <c r="N144">
        <v>3.6653680504880022</v>
      </c>
      <c r="O144">
        <v>3.3705172995118975</v>
      </c>
    </row>
    <row r="145" spans="1:15">
      <c r="A145" s="19">
        <v>43641</v>
      </c>
      <c r="B145">
        <v>2066</v>
      </c>
      <c r="C145">
        <v>2036</v>
      </c>
      <c r="D145">
        <v>595</v>
      </c>
      <c r="E145">
        <v>583</v>
      </c>
      <c r="F145">
        <v>3.4922813036020499</v>
      </c>
      <c r="G145">
        <v>3.51902992124201</v>
      </c>
      <c r="H145">
        <v>7.3877322771192702E-2</v>
      </c>
      <c r="I145">
        <v>-0.36206804248714702</v>
      </c>
      <c r="J145">
        <v>-0.77</v>
      </c>
      <c r="L145">
        <v>3.5929072440132028</v>
      </c>
      <c r="M145">
        <v>3.4451525984708171</v>
      </c>
      <c r="N145">
        <v>3.6667845667843952</v>
      </c>
      <c r="O145">
        <v>3.3712752756996247</v>
      </c>
    </row>
    <row r="146" spans="1:15">
      <c r="A146" s="19">
        <v>43640</v>
      </c>
      <c r="B146">
        <v>2060</v>
      </c>
      <c r="C146">
        <v>2056</v>
      </c>
      <c r="D146">
        <v>594</v>
      </c>
      <c r="E146">
        <v>595</v>
      </c>
      <c r="F146">
        <v>3.45546218487394</v>
      </c>
      <c r="G146">
        <v>3.5212096508497401</v>
      </c>
      <c r="H146">
        <v>7.5450909061567303E-2</v>
      </c>
      <c r="I146">
        <v>-0.87139395394361396</v>
      </c>
      <c r="J146">
        <v>-1.9</v>
      </c>
      <c r="L146">
        <v>3.5966605599113075</v>
      </c>
      <c r="M146">
        <v>3.4457587417881728</v>
      </c>
      <c r="N146">
        <v>3.6721114689728749</v>
      </c>
      <c r="O146">
        <v>3.3703078327266054</v>
      </c>
    </row>
    <row r="147" spans="1:15">
      <c r="A147" s="19">
        <v>43637</v>
      </c>
      <c r="B147">
        <v>2105</v>
      </c>
      <c r="C147">
        <v>2063</v>
      </c>
      <c r="D147">
        <v>598</v>
      </c>
      <c r="E147">
        <v>595</v>
      </c>
      <c r="F147">
        <v>3.4672268907563</v>
      </c>
      <c r="G147">
        <v>3.5240005652352999</v>
      </c>
      <c r="H147">
        <v>7.6826099803131806E-2</v>
      </c>
      <c r="I147">
        <v>-0.73898941407263496</v>
      </c>
      <c r="J147">
        <v>-1.64</v>
      </c>
      <c r="L147">
        <v>3.6008266650384315</v>
      </c>
      <c r="M147">
        <v>3.4471744654321683</v>
      </c>
      <c r="N147">
        <v>3.6776527648415636</v>
      </c>
      <c r="O147">
        <v>3.3703483656290363</v>
      </c>
    </row>
    <row r="148" spans="1:15">
      <c r="A148" s="19">
        <v>43636</v>
      </c>
      <c r="B148">
        <v>2121</v>
      </c>
      <c r="C148">
        <v>2116</v>
      </c>
      <c r="D148">
        <v>601</v>
      </c>
      <c r="E148">
        <v>602</v>
      </c>
      <c r="F148">
        <v>3.5149501661129499</v>
      </c>
      <c r="G148">
        <v>3.5273739340950399</v>
      </c>
      <c r="H148">
        <v>7.9757784649558197E-2</v>
      </c>
      <c r="I148">
        <v>-0.15576871946324899</v>
      </c>
      <c r="J148">
        <v>-0.35</v>
      </c>
      <c r="L148">
        <v>3.6071317187445979</v>
      </c>
      <c r="M148">
        <v>3.4476161494454818</v>
      </c>
      <c r="N148">
        <v>3.6868895033941564</v>
      </c>
      <c r="O148">
        <v>3.3678583647959233</v>
      </c>
    </row>
    <row r="149" spans="1:15">
      <c r="A149" s="19">
        <v>43635</v>
      </c>
      <c r="B149">
        <v>2107</v>
      </c>
      <c r="C149">
        <v>2108</v>
      </c>
      <c r="D149">
        <v>594</v>
      </c>
      <c r="E149">
        <v>600</v>
      </c>
      <c r="F149">
        <v>3.5133333333333301</v>
      </c>
      <c r="G149">
        <v>3.52938417654592</v>
      </c>
      <c r="H149">
        <v>8.1304330568843106E-2</v>
      </c>
      <c r="I149">
        <v>-0.197416830078922</v>
      </c>
      <c r="J149">
        <v>-0.46</v>
      </c>
      <c r="L149">
        <v>3.6106885071147632</v>
      </c>
      <c r="M149">
        <v>3.4480798459770767</v>
      </c>
      <c r="N149">
        <v>3.691992837683606</v>
      </c>
      <c r="O149">
        <v>3.3667755154082339</v>
      </c>
    </row>
    <row r="150" spans="1:15">
      <c r="A150" s="19">
        <v>43634</v>
      </c>
      <c r="B150">
        <v>2137</v>
      </c>
      <c r="C150">
        <v>2067</v>
      </c>
      <c r="D150">
        <v>597</v>
      </c>
      <c r="E150">
        <v>585</v>
      </c>
      <c r="F150">
        <v>3.5333333333333301</v>
      </c>
      <c r="G150">
        <v>3.5307811276696</v>
      </c>
      <c r="H150">
        <v>8.1914337225110004E-2</v>
      </c>
      <c r="I150">
        <v>3.1157008042595101E-2</v>
      </c>
      <c r="J150">
        <v>7.0000000000000007E-2</v>
      </c>
      <c r="L150">
        <v>3.6126954648947098</v>
      </c>
      <c r="M150">
        <v>3.4488667904444901</v>
      </c>
      <c r="N150">
        <v>3.6946098021198202</v>
      </c>
      <c r="O150">
        <v>3.3669524532193797</v>
      </c>
    </row>
    <row r="151" spans="1:15">
      <c r="A151" s="19">
        <v>43633</v>
      </c>
      <c r="B151">
        <v>2133</v>
      </c>
      <c r="C151">
        <v>2132</v>
      </c>
      <c r="D151">
        <v>594</v>
      </c>
      <c r="E151">
        <v>597</v>
      </c>
      <c r="F151">
        <v>3.57118927973199</v>
      </c>
      <c r="G151">
        <v>3.5326555238048698</v>
      </c>
      <c r="H151">
        <v>8.3543491885451696E-2</v>
      </c>
      <c r="I151">
        <v>0.46124186405754197</v>
      </c>
      <c r="J151">
        <v>1.08</v>
      </c>
      <c r="L151">
        <v>3.6161990156903214</v>
      </c>
      <c r="M151">
        <v>3.4491120319194182</v>
      </c>
      <c r="N151">
        <v>3.6997425075757731</v>
      </c>
      <c r="O151">
        <v>3.3655685400339665</v>
      </c>
    </row>
    <row r="152" spans="1:15">
      <c r="A152" s="19">
        <v>43630</v>
      </c>
      <c r="B152">
        <v>2154</v>
      </c>
      <c r="C152">
        <v>2147</v>
      </c>
      <c r="D152">
        <v>604</v>
      </c>
      <c r="E152">
        <v>595</v>
      </c>
      <c r="F152">
        <v>3.6084033613445299</v>
      </c>
      <c r="G152">
        <v>3.5324617630590498</v>
      </c>
      <c r="H152">
        <v>8.3470716880888501E-2</v>
      </c>
      <c r="I152">
        <v>0.90979928199066695</v>
      </c>
      <c r="J152">
        <v>2.1</v>
      </c>
      <c r="L152">
        <v>3.6159324799399384</v>
      </c>
      <c r="M152">
        <v>3.4489910461781612</v>
      </c>
      <c r="N152">
        <v>3.699403196820827</v>
      </c>
      <c r="O152">
        <v>3.3655203292972726</v>
      </c>
    </row>
    <row r="153" spans="1:15">
      <c r="A153" s="19">
        <v>43629</v>
      </c>
      <c r="B153">
        <v>2180</v>
      </c>
      <c r="C153">
        <v>2155</v>
      </c>
      <c r="D153">
        <v>607</v>
      </c>
      <c r="E153">
        <v>601</v>
      </c>
      <c r="F153">
        <v>3.5856905158069798</v>
      </c>
      <c r="G153">
        <v>3.5317151573346099</v>
      </c>
      <c r="H153">
        <v>8.3037418075094002E-2</v>
      </c>
      <c r="I153">
        <v>0.65001248501681497</v>
      </c>
      <c r="J153">
        <v>1.51</v>
      </c>
      <c r="L153">
        <v>3.6147525754097041</v>
      </c>
      <c r="M153">
        <v>3.4486777392595158</v>
      </c>
      <c r="N153">
        <v>3.6977899934847978</v>
      </c>
      <c r="O153">
        <v>3.3656403211844221</v>
      </c>
    </row>
    <row r="154" spans="1:15">
      <c r="A154" s="19">
        <v>43628</v>
      </c>
      <c r="B154">
        <v>2205</v>
      </c>
      <c r="C154">
        <v>2200</v>
      </c>
      <c r="D154">
        <v>622</v>
      </c>
      <c r="E154">
        <v>617</v>
      </c>
      <c r="F154">
        <v>3.5656401944894598</v>
      </c>
      <c r="G154">
        <v>3.5309224989205399</v>
      </c>
      <c r="H154">
        <v>8.2801808562555701E-2</v>
      </c>
      <c r="I154">
        <v>0.41928668191697499</v>
      </c>
      <c r="J154">
        <v>0.97</v>
      </c>
      <c r="L154">
        <v>3.6137243074830954</v>
      </c>
      <c r="M154">
        <v>3.4481206903579844</v>
      </c>
      <c r="N154">
        <v>3.6965261160456513</v>
      </c>
      <c r="O154">
        <v>3.3653188817954285</v>
      </c>
    </row>
    <row r="155" spans="1:15">
      <c r="A155" s="19">
        <v>43627</v>
      </c>
      <c r="B155">
        <v>2157</v>
      </c>
      <c r="C155">
        <v>2198</v>
      </c>
      <c r="D155">
        <v>624</v>
      </c>
      <c r="E155">
        <v>629</v>
      </c>
      <c r="F155">
        <v>3.4944356120826701</v>
      </c>
      <c r="G155">
        <v>3.52972714566822</v>
      </c>
      <c r="H155">
        <v>8.2938989721648301E-2</v>
      </c>
      <c r="I155">
        <v>-0.42551197819012998</v>
      </c>
      <c r="J155">
        <v>-1.01</v>
      </c>
      <c r="L155">
        <v>3.6126661353898681</v>
      </c>
      <c r="M155">
        <v>3.4467881559465718</v>
      </c>
      <c r="N155">
        <v>3.6956051251115167</v>
      </c>
      <c r="O155">
        <v>3.3638491662249232</v>
      </c>
    </row>
    <row r="156" spans="1:15">
      <c r="A156" s="19">
        <v>43626</v>
      </c>
      <c r="B156">
        <v>2144</v>
      </c>
      <c r="C156">
        <v>2146</v>
      </c>
      <c r="D156">
        <v>625</v>
      </c>
      <c r="E156">
        <v>622</v>
      </c>
      <c r="F156">
        <v>3.45016077170418</v>
      </c>
      <c r="G156">
        <v>3.5300418377476102</v>
      </c>
      <c r="H156">
        <v>8.2849214755646106E-2</v>
      </c>
      <c r="I156">
        <v>-0.96417408757630596</v>
      </c>
      <c r="J156">
        <v>-2.3199999999999998</v>
      </c>
      <c r="L156">
        <v>3.6128910525032563</v>
      </c>
      <c r="M156">
        <v>3.4471926229919641</v>
      </c>
      <c r="N156">
        <v>3.6957402672589024</v>
      </c>
      <c r="O156">
        <v>3.3643434082363179</v>
      </c>
    </row>
    <row r="157" spans="1:15">
      <c r="A157" s="19">
        <v>43623</v>
      </c>
      <c r="B157">
        <v>2117</v>
      </c>
      <c r="C157">
        <v>2142</v>
      </c>
      <c r="D157">
        <v>619</v>
      </c>
      <c r="E157">
        <v>622</v>
      </c>
      <c r="F157">
        <v>3.4437299035369699</v>
      </c>
      <c r="G157">
        <v>3.53168362252354</v>
      </c>
      <c r="H157">
        <v>8.2469152935697093E-2</v>
      </c>
      <c r="I157">
        <v>-1.0665044547643501</v>
      </c>
      <c r="J157">
        <v>-2.5499999999999998</v>
      </c>
      <c r="L157">
        <v>3.6141527754592371</v>
      </c>
      <c r="M157">
        <v>3.4492144695878428</v>
      </c>
      <c r="N157">
        <v>3.6966219283949342</v>
      </c>
      <c r="O157">
        <v>3.3667453166521457</v>
      </c>
    </row>
    <row r="158" spans="1:15">
      <c r="A158" s="19">
        <v>43622</v>
      </c>
      <c r="B158">
        <v>2118</v>
      </c>
      <c r="C158">
        <v>2113</v>
      </c>
      <c r="D158">
        <v>610</v>
      </c>
      <c r="E158">
        <v>615</v>
      </c>
      <c r="F158">
        <v>3.4357723577235699</v>
      </c>
      <c r="G158">
        <v>3.5332672238097098</v>
      </c>
      <c r="H158">
        <v>8.1903422549939098E-2</v>
      </c>
      <c r="I158">
        <v>-1.19036376076582</v>
      </c>
      <c r="J158">
        <v>-2.84</v>
      </c>
      <c r="L158">
        <v>3.6151706463596489</v>
      </c>
      <c r="M158">
        <v>3.4513638012597707</v>
      </c>
      <c r="N158">
        <v>3.697074068909588</v>
      </c>
      <c r="O158">
        <v>3.3694603787098316</v>
      </c>
    </row>
    <row r="159" spans="1:15">
      <c r="A159" s="19">
        <v>43621</v>
      </c>
      <c r="B159">
        <v>2144</v>
      </c>
      <c r="C159">
        <v>2141</v>
      </c>
      <c r="D159">
        <v>613</v>
      </c>
      <c r="E159">
        <v>610</v>
      </c>
      <c r="F159">
        <v>3.5098360655737699</v>
      </c>
      <c r="G159">
        <v>3.5360717078897901</v>
      </c>
      <c r="H159">
        <v>8.2117870871324702E-2</v>
      </c>
      <c r="I159">
        <v>-0.31948761015903399</v>
      </c>
      <c r="J159">
        <v>-0.75</v>
      </c>
      <c r="L159">
        <v>3.6181895787611147</v>
      </c>
      <c r="M159">
        <v>3.4539538370184655</v>
      </c>
      <c r="N159">
        <v>3.7003074496324393</v>
      </c>
      <c r="O159">
        <v>3.3718359661471409</v>
      </c>
    </row>
    <row r="160" spans="1:15">
      <c r="A160" s="19">
        <v>43620</v>
      </c>
      <c r="B160">
        <v>2065</v>
      </c>
      <c r="C160">
        <v>2103</v>
      </c>
      <c r="D160">
        <v>609</v>
      </c>
      <c r="E160">
        <v>608</v>
      </c>
      <c r="F160">
        <v>3.4588815789473601</v>
      </c>
      <c r="G160">
        <v>3.53851676487192</v>
      </c>
      <c r="H160">
        <v>8.4008594235235406E-2</v>
      </c>
      <c r="I160">
        <v>-0.94794094163228404</v>
      </c>
      <c r="J160">
        <v>-2.2999999999999998</v>
      </c>
      <c r="L160">
        <v>3.6225253591071556</v>
      </c>
      <c r="M160">
        <v>3.4545081706366845</v>
      </c>
      <c r="N160">
        <v>3.7065339533423907</v>
      </c>
      <c r="O160">
        <v>3.3704995764014494</v>
      </c>
    </row>
    <row r="161" spans="1:15">
      <c r="A161" s="19">
        <v>43619</v>
      </c>
      <c r="B161">
        <v>2050</v>
      </c>
      <c r="C161">
        <v>2046</v>
      </c>
      <c r="D161">
        <v>589</v>
      </c>
      <c r="E161">
        <v>602</v>
      </c>
      <c r="F161">
        <v>3.39867109634551</v>
      </c>
      <c r="G161">
        <v>3.54092107109201</v>
      </c>
      <c r="H161">
        <v>8.4275026557491903E-2</v>
      </c>
      <c r="I161">
        <v>-1.6879255997559499</v>
      </c>
      <c r="J161">
        <v>-4.1900000000000004</v>
      </c>
      <c r="L161">
        <v>3.6251960976495021</v>
      </c>
      <c r="M161">
        <v>3.456646044534518</v>
      </c>
      <c r="N161">
        <v>3.7094711242069938</v>
      </c>
      <c r="O161">
        <v>3.3723710179770263</v>
      </c>
    </row>
    <row r="162" spans="1:15">
      <c r="A162" s="19">
        <v>43616</v>
      </c>
      <c r="B162">
        <v>2093</v>
      </c>
      <c r="C162">
        <v>2078</v>
      </c>
      <c r="D162">
        <v>599</v>
      </c>
      <c r="E162">
        <v>599</v>
      </c>
      <c r="F162">
        <v>3.4691151919866399</v>
      </c>
      <c r="G162">
        <v>3.5430477464094401</v>
      </c>
      <c r="H162">
        <v>8.2655456116917103E-2</v>
      </c>
      <c r="I162">
        <v>-0.89446671636800301</v>
      </c>
      <c r="J162">
        <v>-2.13</v>
      </c>
      <c r="L162">
        <v>3.6257032025263571</v>
      </c>
      <c r="M162">
        <v>3.460392290292523</v>
      </c>
      <c r="N162">
        <v>3.7083586586432742</v>
      </c>
      <c r="O162">
        <v>3.377736834175606</v>
      </c>
    </row>
    <row r="163" spans="1:15">
      <c r="A163" s="19">
        <v>43615</v>
      </c>
      <c r="B163">
        <v>2066</v>
      </c>
      <c r="C163">
        <v>2113</v>
      </c>
      <c r="D163">
        <v>591</v>
      </c>
      <c r="E163">
        <v>602</v>
      </c>
      <c r="F163">
        <v>3.5099667774086298</v>
      </c>
      <c r="G163">
        <v>3.5448337314076501</v>
      </c>
      <c r="H163">
        <v>8.2485638133932906E-2</v>
      </c>
      <c r="I163">
        <v>-0.42270333100170199</v>
      </c>
      <c r="J163">
        <v>-0.99</v>
      </c>
      <c r="L163">
        <v>3.6273193695415831</v>
      </c>
      <c r="M163">
        <v>3.4623480932737172</v>
      </c>
      <c r="N163">
        <v>3.709805007675516</v>
      </c>
      <c r="O163">
        <v>3.3798624551397842</v>
      </c>
    </row>
    <row r="164" spans="1:15">
      <c r="A164" s="19">
        <v>43614</v>
      </c>
      <c r="B164">
        <v>2045</v>
      </c>
      <c r="C164">
        <v>2074</v>
      </c>
      <c r="D164">
        <v>587</v>
      </c>
      <c r="E164">
        <v>592</v>
      </c>
      <c r="F164">
        <v>3.5033783783783701</v>
      </c>
      <c r="G164">
        <v>3.54577011114913</v>
      </c>
      <c r="H164">
        <v>8.2483130391112394E-2</v>
      </c>
      <c r="I164">
        <v>-0.51394427648105001</v>
      </c>
      <c r="J164">
        <v>-1.21</v>
      </c>
      <c r="L164">
        <v>3.6282532415402424</v>
      </c>
      <c r="M164">
        <v>3.4632869807580176</v>
      </c>
      <c r="N164">
        <v>3.7107363719313549</v>
      </c>
      <c r="O164">
        <v>3.3808038503669051</v>
      </c>
    </row>
    <row r="165" spans="1:15">
      <c r="A165" s="19">
        <v>43613</v>
      </c>
      <c r="B165">
        <v>2067</v>
      </c>
      <c r="C165">
        <v>2080</v>
      </c>
      <c r="D165">
        <v>606</v>
      </c>
      <c r="E165">
        <v>601</v>
      </c>
      <c r="F165">
        <v>3.4608985024958399</v>
      </c>
      <c r="G165">
        <v>3.5470085910083</v>
      </c>
      <c r="H165">
        <v>8.2534645933750497E-2</v>
      </c>
      <c r="I165">
        <v>-1.0433205054466399</v>
      </c>
      <c r="J165">
        <v>-2.4900000000000002</v>
      </c>
      <c r="L165">
        <v>3.6295432369420504</v>
      </c>
      <c r="M165">
        <v>3.4644739450745496</v>
      </c>
      <c r="N165">
        <v>3.7120778828758012</v>
      </c>
      <c r="O165">
        <v>3.3819392991407988</v>
      </c>
    </row>
    <row r="166" spans="1:15">
      <c r="A166" s="19">
        <v>43612</v>
      </c>
      <c r="B166">
        <v>2088</v>
      </c>
      <c r="C166">
        <v>2090</v>
      </c>
      <c r="D166">
        <v>610</v>
      </c>
      <c r="E166">
        <v>606</v>
      </c>
      <c r="F166">
        <v>3.4488448844884401</v>
      </c>
      <c r="G166">
        <v>3.54931856219453</v>
      </c>
      <c r="H166">
        <v>8.25166994129371E-2</v>
      </c>
      <c r="I166">
        <v>-1.21761629368239</v>
      </c>
      <c r="J166">
        <v>-2.91</v>
      </c>
      <c r="L166">
        <v>3.6318352616074669</v>
      </c>
      <c r="M166">
        <v>3.4668018627815931</v>
      </c>
      <c r="N166">
        <v>3.7143519610204043</v>
      </c>
      <c r="O166">
        <v>3.3842851633686557</v>
      </c>
    </row>
    <row r="167" spans="1:15">
      <c r="A167" s="19">
        <v>43609</v>
      </c>
      <c r="B167">
        <v>2081</v>
      </c>
      <c r="C167">
        <v>2094</v>
      </c>
      <c r="D167">
        <v>598</v>
      </c>
      <c r="E167">
        <v>608</v>
      </c>
      <c r="F167">
        <v>3.4440789473684199</v>
      </c>
      <c r="G167">
        <v>3.5526127161713301</v>
      </c>
      <c r="H167">
        <v>8.3367028754412598E-2</v>
      </c>
      <c r="I167">
        <v>-1.3018788173756199</v>
      </c>
      <c r="J167">
        <v>-3.15</v>
      </c>
      <c r="L167">
        <v>3.6359797449257427</v>
      </c>
      <c r="M167">
        <v>3.4692456874169175</v>
      </c>
      <c r="N167">
        <v>3.7193467736801553</v>
      </c>
      <c r="O167">
        <v>3.3858786586625049</v>
      </c>
    </row>
    <row r="168" spans="1:15">
      <c r="A168" s="19">
        <v>43608</v>
      </c>
      <c r="B168">
        <v>2137</v>
      </c>
      <c r="C168">
        <v>2120</v>
      </c>
      <c r="D168">
        <v>611</v>
      </c>
      <c r="E168">
        <v>604</v>
      </c>
      <c r="F168">
        <v>3.5099337748344301</v>
      </c>
      <c r="G168">
        <v>3.55550980150405</v>
      </c>
      <c r="H168">
        <v>8.33203934063379E-2</v>
      </c>
      <c r="I168">
        <v>-0.54699725729037696</v>
      </c>
      <c r="J168">
        <v>-1.3</v>
      </c>
      <c r="L168">
        <v>3.6388301949103878</v>
      </c>
      <c r="M168">
        <v>3.4721894080977123</v>
      </c>
      <c r="N168">
        <v>3.7221505883167261</v>
      </c>
      <c r="O168">
        <v>3.388869014691374</v>
      </c>
    </row>
    <row r="169" spans="1:15">
      <c r="A169" s="19">
        <v>43607</v>
      </c>
      <c r="B169">
        <v>2147</v>
      </c>
      <c r="C169">
        <v>2155</v>
      </c>
      <c r="D169">
        <v>622</v>
      </c>
      <c r="E169">
        <v>617</v>
      </c>
      <c r="F169">
        <v>3.4927066450567201</v>
      </c>
      <c r="G169">
        <v>3.55793844599209</v>
      </c>
      <c r="H169">
        <v>8.4601343163784995E-2</v>
      </c>
      <c r="I169">
        <v>-0.77104923510588197</v>
      </c>
      <c r="J169">
        <v>-1.87</v>
      </c>
      <c r="L169">
        <v>3.6425397891558751</v>
      </c>
      <c r="M169">
        <v>3.4733371028283049</v>
      </c>
      <c r="N169">
        <v>3.7271411323196602</v>
      </c>
      <c r="O169">
        <v>3.3887357596645198</v>
      </c>
    </row>
    <row r="170" spans="1:15">
      <c r="A170" s="19">
        <v>43606</v>
      </c>
      <c r="B170">
        <v>2163</v>
      </c>
      <c r="C170">
        <v>2145</v>
      </c>
      <c r="D170">
        <v>620</v>
      </c>
      <c r="E170">
        <v>618</v>
      </c>
      <c r="F170">
        <v>3.4708737864077599</v>
      </c>
      <c r="G170">
        <v>3.5603230807539901</v>
      </c>
      <c r="H170">
        <v>8.5247163959045497E-2</v>
      </c>
      <c r="I170">
        <v>-1.0492934919125401</v>
      </c>
      <c r="J170">
        <v>-2.58</v>
      </c>
      <c r="L170">
        <v>3.6455702447130354</v>
      </c>
      <c r="M170">
        <v>3.4750759167949448</v>
      </c>
      <c r="N170">
        <v>3.7308174086720811</v>
      </c>
      <c r="O170">
        <v>3.389828752835899</v>
      </c>
    </row>
    <row r="171" spans="1:15">
      <c r="A171" s="19">
        <v>43605</v>
      </c>
      <c r="B171">
        <v>2179</v>
      </c>
      <c r="C171">
        <v>2174</v>
      </c>
      <c r="D171">
        <v>632</v>
      </c>
      <c r="E171">
        <v>630</v>
      </c>
      <c r="F171">
        <v>3.4507936507936501</v>
      </c>
      <c r="G171">
        <v>3.5631231949744402</v>
      </c>
      <c r="H171">
        <v>8.5710850041071304E-2</v>
      </c>
      <c r="I171">
        <v>-1.3105638799167501</v>
      </c>
      <c r="J171">
        <v>-3.26</v>
      </c>
      <c r="L171">
        <v>3.6488340450155117</v>
      </c>
      <c r="M171">
        <v>3.4774123449333687</v>
      </c>
      <c r="N171">
        <v>3.7345448950565827</v>
      </c>
      <c r="O171">
        <v>3.3917014948922977</v>
      </c>
    </row>
    <row r="172" spans="1:15">
      <c r="A172" s="19">
        <v>43602</v>
      </c>
      <c r="B172">
        <v>2184</v>
      </c>
      <c r="C172">
        <v>2187</v>
      </c>
      <c r="D172">
        <v>630</v>
      </c>
      <c r="E172">
        <v>632</v>
      </c>
      <c r="F172">
        <v>3.46044303797468</v>
      </c>
      <c r="G172">
        <v>3.5657938781706702</v>
      </c>
      <c r="H172">
        <v>8.5288716539515003E-2</v>
      </c>
      <c r="I172">
        <v>-1.23522600023155</v>
      </c>
      <c r="J172">
        <v>-3.04</v>
      </c>
      <c r="L172">
        <v>3.6510825947101853</v>
      </c>
      <c r="M172">
        <v>3.4805051616311551</v>
      </c>
      <c r="N172">
        <v>3.7363713112497003</v>
      </c>
      <c r="O172">
        <v>3.39521644509164</v>
      </c>
    </row>
    <row r="173" spans="1:15">
      <c r="A173" s="19">
        <v>43601</v>
      </c>
      <c r="B173">
        <v>2147</v>
      </c>
      <c r="C173">
        <v>2157</v>
      </c>
      <c r="D173">
        <v>628</v>
      </c>
      <c r="E173">
        <v>620</v>
      </c>
      <c r="F173">
        <v>3.4790322580645099</v>
      </c>
      <c r="G173">
        <v>3.56764695274599</v>
      </c>
      <c r="H173">
        <v>8.4485660086738704E-2</v>
      </c>
      <c r="I173">
        <v>-1.0488726085645701</v>
      </c>
      <c r="J173">
        <v>-2.5499999999999998</v>
      </c>
      <c r="L173">
        <v>3.6521326128327285</v>
      </c>
      <c r="M173">
        <v>3.4831612926592515</v>
      </c>
      <c r="N173">
        <v>3.7366182729194675</v>
      </c>
      <c r="O173">
        <v>3.3986756325725125</v>
      </c>
    </row>
    <row r="174" spans="1:15">
      <c r="A174" s="19">
        <v>43600</v>
      </c>
      <c r="B174">
        <v>2176</v>
      </c>
      <c r="C174">
        <v>2144</v>
      </c>
      <c r="D174">
        <v>657</v>
      </c>
      <c r="E174">
        <v>631</v>
      </c>
      <c r="F174">
        <v>3.39778129952456</v>
      </c>
      <c r="G174">
        <v>3.5690281370734098</v>
      </c>
      <c r="H174">
        <v>8.3870184786803803E-2</v>
      </c>
      <c r="I174">
        <v>-2.0418082776871902</v>
      </c>
      <c r="J174">
        <v>-5.04</v>
      </c>
      <c r="L174">
        <v>3.6528983218602136</v>
      </c>
      <c r="M174">
        <v>3.4851579522866061</v>
      </c>
      <c r="N174">
        <v>3.7367685066470173</v>
      </c>
      <c r="O174">
        <v>3.4012877674998023</v>
      </c>
    </row>
    <row r="175" spans="1:15">
      <c r="A175" s="19">
        <v>43599</v>
      </c>
      <c r="B175">
        <v>2125</v>
      </c>
      <c r="C175">
        <v>2185</v>
      </c>
      <c r="D175">
        <v>623</v>
      </c>
      <c r="E175">
        <v>655</v>
      </c>
      <c r="F175">
        <v>3.33587786259542</v>
      </c>
      <c r="G175">
        <v>3.5711445103997299</v>
      </c>
      <c r="H175">
        <v>8.1491177963832706E-2</v>
      </c>
      <c r="I175">
        <v>-2.88701984291759</v>
      </c>
      <c r="J175">
        <v>-7.05</v>
      </c>
      <c r="L175">
        <v>3.6526356883635627</v>
      </c>
      <c r="M175">
        <v>3.4896533324358971</v>
      </c>
      <c r="N175">
        <v>3.7341268663273954</v>
      </c>
      <c r="O175">
        <v>3.4081621544720644</v>
      </c>
    </row>
    <row r="176" spans="1:15">
      <c r="A176" s="19">
        <v>43598</v>
      </c>
      <c r="B176">
        <v>2351</v>
      </c>
      <c r="C176">
        <v>2230</v>
      </c>
      <c r="D176">
        <v>635</v>
      </c>
      <c r="E176">
        <v>641</v>
      </c>
      <c r="F176">
        <v>3.4789391575663</v>
      </c>
      <c r="G176">
        <v>3.5746077447378699</v>
      </c>
      <c r="H176">
        <v>7.6803648567810398E-2</v>
      </c>
      <c r="I176">
        <v>-1.2456255523734501</v>
      </c>
      <c r="J176">
        <v>-2.75</v>
      </c>
      <c r="L176">
        <v>3.6514113933056804</v>
      </c>
      <c r="M176">
        <v>3.4978040961700594</v>
      </c>
      <c r="N176">
        <v>3.7282150418734905</v>
      </c>
      <c r="O176">
        <v>3.4210004476022493</v>
      </c>
    </row>
    <row r="177" spans="1:15">
      <c r="A177" s="19">
        <v>43595</v>
      </c>
      <c r="B177">
        <v>2259</v>
      </c>
      <c r="C177">
        <v>2325</v>
      </c>
      <c r="D177">
        <v>622</v>
      </c>
      <c r="E177">
        <v>634</v>
      </c>
      <c r="F177">
        <v>3.6671924290220801</v>
      </c>
      <c r="G177">
        <v>3.5763581423450201</v>
      </c>
      <c r="H177">
        <v>7.6096072784007096E-2</v>
      </c>
      <c r="I177">
        <v>1.1936790343292001</v>
      </c>
      <c r="J177">
        <v>2.48</v>
      </c>
      <c r="L177">
        <v>3.6524542151290271</v>
      </c>
      <c r="M177">
        <v>3.5002620695610132</v>
      </c>
      <c r="N177">
        <v>3.7285502879130341</v>
      </c>
      <c r="O177">
        <v>3.4241659967770062</v>
      </c>
    </row>
    <row r="178" spans="1:15">
      <c r="A178" s="19">
        <v>43594</v>
      </c>
      <c r="B178">
        <v>2305</v>
      </c>
      <c r="C178">
        <v>2258</v>
      </c>
      <c r="D178">
        <v>643</v>
      </c>
      <c r="E178">
        <v>628</v>
      </c>
      <c r="F178">
        <v>3.5955414012738798</v>
      </c>
      <c r="G178">
        <v>3.5748929978281598</v>
      </c>
      <c r="H178">
        <v>7.5387622092119994E-2</v>
      </c>
      <c r="I178">
        <v>0.27389646831526698</v>
      </c>
      <c r="J178">
        <v>0.56999999999999995</v>
      </c>
      <c r="L178">
        <v>3.65028061992028</v>
      </c>
      <c r="M178">
        <v>3.4995053757360397</v>
      </c>
      <c r="N178">
        <v>3.7256682420123997</v>
      </c>
      <c r="O178">
        <v>3.42411775364392</v>
      </c>
    </row>
    <row r="179" spans="1:15">
      <c r="A179" s="19">
        <v>43593</v>
      </c>
      <c r="B179">
        <v>2365</v>
      </c>
      <c r="C179">
        <v>2338</v>
      </c>
      <c r="D179">
        <v>662</v>
      </c>
      <c r="E179">
        <v>651</v>
      </c>
      <c r="F179">
        <v>3.5913978494623602</v>
      </c>
      <c r="G179">
        <v>3.57421988767164</v>
      </c>
      <c r="H179">
        <v>7.5425618880336706E-2</v>
      </c>
      <c r="I179">
        <v>0.22774704464765499</v>
      </c>
      <c r="J179">
        <v>0.48</v>
      </c>
      <c r="L179">
        <v>3.6496455065519768</v>
      </c>
      <c r="M179">
        <v>3.4987942687913032</v>
      </c>
      <c r="N179">
        <v>3.7250711254323132</v>
      </c>
      <c r="O179">
        <v>3.4233686499109668</v>
      </c>
    </row>
    <row r="180" spans="1:15">
      <c r="A180" s="19">
        <v>43592</v>
      </c>
      <c r="B180">
        <v>2405</v>
      </c>
      <c r="C180">
        <v>2378</v>
      </c>
      <c r="D180">
        <v>681</v>
      </c>
      <c r="E180">
        <v>672</v>
      </c>
      <c r="F180">
        <v>3.5386904761904701</v>
      </c>
      <c r="G180">
        <v>3.5747912835443199</v>
      </c>
      <c r="H180">
        <v>7.5715357203297903E-2</v>
      </c>
      <c r="I180">
        <v>-0.476796368495153</v>
      </c>
      <c r="J180">
        <v>-1.02</v>
      </c>
      <c r="L180">
        <v>3.6505066407476177</v>
      </c>
      <c r="M180">
        <v>3.499075926341022</v>
      </c>
      <c r="N180">
        <v>3.7262219979509155</v>
      </c>
      <c r="O180">
        <v>3.4233605691377242</v>
      </c>
    </row>
    <row r="181" spans="1:15">
      <c r="A181" s="19">
        <v>43581</v>
      </c>
      <c r="B181">
        <v>2351</v>
      </c>
      <c r="C181">
        <v>2405</v>
      </c>
      <c r="D181">
        <v>674</v>
      </c>
      <c r="E181">
        <v>685</v>
      </c>
      <c r="F181">
        <v>3.5109489051094802</v>
      </c>
      <c r="G181">
        <v>3.5765364488593501</v>
      </c>
      <c r="H181">
        <v>7.6368750867280497E-2</v>
      </c>
      <c r="I181">
        <v>-0.85882698099711896</v>
      </c>
      <c r="J181">
        <v>-1.87</v>
      </c>
      <c r="L181">
        <v>3.6529051997266304</v>
      </c>
      <c r="M181">
        <v>3.5001676979920697</v>
      </c>
      <c r="N181">
        <v>3.7292739505939112</v>
      </c>
      <c r="O181">
        <v>3.4237989471247889</v>
      </c>
    </row>
    <row r="182" spans="1:15">
      <c r="A182" s="19">
        <v>43580</v>
      </c>
      <c r="B182">
        <v>2333</v>
      </c>
      <c r="C182">
        <v>2373</v>
      </c>
      <c r="D182">
        <v>669</v>
      </c>
      <c r="E182">
        <v>683</v>
      </c>
      <c r="F182">
        <v>3.4743777452415801</v>
      </c>
      <c r="G182">
        <v>3.5783971206143299</v>
      </c>
      <c r="H182">
        <v>7.6448071806064305E-2</v>
      </c>
      <c r="I182">
        <v>-1.36065400886287</v>
      </c>
      <c r="J182">
        <v>-2.99</v>
      </c>
      <c r="L182">
        <v>3.6548451924203942</v>
      </c>
      <c r="M182">
        <v>3.5019490488082656</v>
      </c>
      <c r="N182">
        <v>3.7312932642264585</v>
      </c>
      <c r="O182">
        <v>3.4255009770022014</v>
      </c>
    </row>
    <row r="183" spans="1:15">
      <c r="A183" s="19">
        <v>43579</v>
      </c>
      <c r="B183">
        <v>2365</v>
      </c>
      <c r="C183">
        <v>2328</v>
      </c>
      <c r="D183">
        <v>678</v>
      </c>
      <c r="E183">
        <v>663</v>
      </c>
      <c r="F183">
        <v>3.5113122171945701</v>
      </c>
      <c r="G183">
        <v>3.5801402658293</v>
      </c>
      <c r="H183">
        <v>7.5541505265445202E-2</v>
      </c>
      <c r="I183">
        <v>-0.911128900501465</v>
      </c>
      <c r="J183">
        <v>-1.96</v>
      </c>
      <c r="L183">
        <v>3.6556817710947453</v>
      </c>
      <c r="M183">
        <v>3.5045987605638547</v>
      </c>
      <c r="N183">
        <v>3.7312232763601902</v>
      </c>
      <c r="O183">
        <v>3.4290572552984098</v>
      </c>
    </row>
    <row r="184" spans="1:15">
      <c r="A184" s="19">
        <v>43578</v>
      </c>
      <c r="B184">
        <v>2349</v>
      </c>
      <c r="C184">
        <v>2360</v>
      </c>
      <c r="D184">
        <v>672</v>
      </c>
      <c r="E184">
        <v>677</v>
      </c>
      <c r="F184">
        <v>3.48596750369276</v>
      </c>
      <c r="G184">
        <v>3.5809942671845798</v>
      </c>
      <c r="H184">
        <v>7.5119438758787904E-2</v>
      </c>
      <c r="I184">
        <v>-1.2650089652154299</v>
      </c>
      <c r="J184">
        <v>-2.73</v>
      </c>
      <c r="L184">
        <v>3.6561137059433677</v>
      </c>
      <c r="M184">
        <v>3.5058748284257919</v>
      </c>
      <c r="N184">
        <v>3.7312331447021556</v>
      </c>
      <c r="O184">
        <v>3.430755389667004</v>
      </c>
    </row>
    <row r="185" spans="1:15">
      <c r="A185" s="19">
        <v>43577</v>
      </c>
      <c r="B185">
        <v>2330</v>
      </c>
      <c r="C185">
        <v>2346</v>
      </c>
      <c r="D185">
        <v>670</v>
      </c>
      <c r="E185">
        <v>667</v>
      </c>
      <c r="F185">
        <v>3.5172413793103399</v>
      </c>
      <c r="G185">
        <v>3.58316387442397</v>
      </c>
      <c r="H185">
        <v>7.4692175251749995E-2</v>
      </c>
      <c r="I185">
        <v>-0.88258903816145995</v>
      </c>
      <c r="J185">
        <v>-1.87</v>
      </c>
      <c r="L185">
        <v>3.6578560496757202</v>
      </c>
      <c r="M185">
        <v>3.5084716991722198</v>
      </c>
      <c r="N185">
        <v>3.73254822492747</v>
      </c>
      <c r="O185">
        <v>3.43377952392047</v>
      </c>
    </row>
    <row r="186" spans="1:15">
      <c r="A186" s="19">
        <v>43574</v>
      </c>
      <c r="B186">
        <v>2342</v>
      </c>
      <c r="C186">
        <v>2335</v>
      </c>
      <c r="D186">
        <v>680</v>
      </c>
      <c r="E186">
        <v>672</v>
      </c>
      <c r="F186">
        <v>3.47470238095238</v>
      </c>
      <c r="G186">
        <v>3.5844575216323902</v>
      </c>
      <c r="H186">
        <v>7.4378766120953593E-2</v>
      </c>
      <c r="I186">
        <v>-1.4756246493996601</v>
      </c>
      <c r="J186">
        <v>-3.16</v>
      </c>
      <c r="L186">
        <v>3.6588362877533438</v>
      </c>
      <c r="M186">
        <v>3.5100787555114366</v>
      </c>
      <c r="N186">
        <v>3.7332150538742974</v>
      </c>
      <c r="O186">
        <v>3.4356999893904829</v>
      </c>
    </row>
    <row r="187" spans="1:15">
      <c r="A187" s="19">
        <v>43573</v>
      </c>
      <c r="B187">
        <v>2369</v>
      </c>
      <c r="C187">
        <v>2332</v>
      </c>
      <c r="D187">
        <v>685</v>
      </c>
      <c r="E187">
        <v>674</v>
      </c>
      <c r="F187">
        <v>3.45994065281899</v>
      </c>
      <c r="G187">
        <v>3.5861819867807698</v>
      </c>
      <c r="H187">
        <v>7.3305680157197198E-2</v>
      </c>
      <c r="I187">
        <v>-1.7221221287499999</v>
      </c>
      <c r="J187">
        <v>-3.65</v>
      </c>
      <c r="L187">
        <v>3.659487666937967</v>
      </c>
      <c r="M187">
        <v>3.5128763066235726</v>
      </c>
      <c r="N187">
        <v>3.7327933470951642</v>
      </c>
      <c r="O187">
        <v>3.4395706264663755</v>
      </c>
    </row>
    <row r="188" spans="1:15">
      <c r="A188" s="19">
        <v>43572</v>
      </c>
      <c r="B188">
        <v>2360</v>
      </c>
      <c r="C188">
        <v>2362</v>
      </c>
      <c r="D188">
        <v>689</v>
      </c>
      <c r="E188">
        <v>689</v>
      </c>
      <c r="F188">
        <v>3.4281567489114599</v>
      </c>
      <c r="G188">
        <v>3.5884839495355099</v>
      </c>
      <c r="H188">
        <v>7.2004482168292097E-2</v>
      </c>
      <c r="I188">
        <v>-2.2266280625326398</v>
      </c>
      <c r="J188">
        <v>-4.68</v>
      </c>
      <c r="L188">
        <v>3.660488431703802</v>
      </c>
      <c r="M188">
        <v>3.5164794673672177</v>
      </c>
      <c r="N188">
        <v>3.7324929138720941</v>
      </c>
      <c r="O188">
        <v>3.4444749851989256</v>
      </c>
    </row>
    <row r="189" spans="1:15">
      <c r="A189" s="19">
        <v>43571</v>
      </c>
      <c r="B189">
        <v>2362</v>
      </c>
      <c r="C189">
        <v>2372</v>
      </c>
      <c r="D189">
        <v>691</v>
      </c>
      <c r="E189">
        <v>690</v>
      </c>
      <c r="F189">
        <v>3.4376811594202898</v>
      </c>
      <c r="G189">
        <v>3.59102134672951</v>
      </c>
      <c r="H189">
        <v>6.9623690859089399E-2</v>
      </c>
      <c r="I189">
        <v>-2.2024139400993601</v>
      </c>
      <c r="J189">
        <v>-4.46</v>
      </c>
      <c r="L189">
        <v>3.6606450375885995</v>
      </c>
      <c r="M189">
        <v>3.5213976558704205</v>
      </c>
      <c r="N189">
        <v>3.730268728447689</v>
      </c>
      <c r="O189">
        <v>3.451773965011331</v>
      </c>
    </row>
    <row r="190" spans="1:15">
      <c r="A190" s="19">
        <v>43570</v>
      </c>
      <c r="B190">
        <v>2363</v>
      </c>
      <c r="C190">
        <v>2364</v>
      </c>
      <c r="D190">
        <v>696</v>
      </c>
      <c r="E190">
        <v>691</v>
      </c>
      <c r="F190">
        <v>3.4211287988422501</v>
      </c>
      <c r="G190">
        <v>3.5931855979372398</v>
      </c>
      <c r="H190">
        <v>6.73077983680853E-2</v>
      </c>
      <c r="I190">
        <v>-2.55626841564575</v>
      </c>
      <c r="J190">
        <v>-5.03</v>
      </c>
      <c r="L190">
        <v>3.6604933963053252</v>
      </c>
      <c r="M190">
        <v>3.5258777995691544</v>
      </c>
      <c r="N190">
        <v>3.7278011946734102</v>
      </c>
      <c r="O190">
        <v>3.4585700012010694</v>
      </c>
    </row>
    <row r="191" spans="1:15">
      <c r="A191" s="19">
        <v>43567</v>
      </c>
      <c r="B191">
        <v>2348</v>
      </c>
      <c r="C191">
        <v>2329</v>
      </c>
      <c r="D191">
        <v>682</v>
      </c>
      <c r="E191">
        <v>676</v>
      </c>
      <c r="F191">
        <v>3.4452662721893401</v>
      </c>
      <c r="G191">
        <v>3.5962071314684501</v>
      </c>
      <c r="H191">
        <v>6.4545984745906101E-2</v>
      </c>
      <c r="I191">
        <v>-2.33850114570724</v>
      </c>
      <c r="J191">
        <v>-4.38</v>
      </c>
      <c r="L191">
        <v>3.6607531162143561</v>
      </c>
      <c r="M191">
        <v>3.5316611467225441</v>
      </c>
      <c r="N191">
        <v>3.7252991009602621</v>
      </c>
      <c r="O191">
        <v>3.467115161976638</v>
      </c>
    </row>
    <row r="192" spans="1:15">
      <c r="A192" s="19">
        <v>43566</v>
      </c>
      <c r="B192">
        <v>2325</v>
      </c>
      <c r="C192">
        <v>2328</v>
      </c>
      <c r="D192">
        <v>674</v>
      </c>
      <c r="E192">
        <v>676</v>
      </c>
      <c r="F192">
        <v>3.4437869822485201</v>
      </c>
      <c r="G192">
        <v>3.5994629174776902</v>
      </c>
      <c r="H192">
        <v>6.2989939029193004E-2</v>
      </c>
      <c r="I192">
        <v>-2.4714412750427699</v>
      </c>
      <c r="J192">
        <v>-4.5199999999999996</v>
      </c>
      <c r="L192">
        <v>3.6624528565068832</v>
      </c>
      <c r="M192">
        <v>3.5364729784484972</v>
      </c>
      <c r="N192">
        <v>3.7254427955360763</v>
      </c>
      <c r="O192">
        <v>3.4734830394193041</v>
      </c>
    </row>
    <row r="193" spans="1:15">
      <c r="A193" s="19">
        <v>43565</v>
      </c>
      <c r="B193">
        <v>2344</v>
      </c>
      <c r="C193">
        <v>2312</v>
      </c>
      <c r="D193">
        <v>688</v>
      </c>
      <c r="E193">
        <v>679</v>
      </c>
      <c r="F193">
        <v>3.4050073637702498</v>
      </c>
      <c r="G193">
        <v>3.60261552515624</v>
      </c>
      <c r="H193">
        <v>6.1005272922117999E-2</v>
      </c>
      <c r="I193">
        <v>-3.23919805486761</v>
      </c>
      <c r="J193">
        <v>-5.8</v>
      </c>
      <c r="L193">
        <v>3.6636207980783579</v>
      </c>
      <c r="M193">
        <v>3.541610252234122</v>
      </c>
      <c r="N193">
        <v>3.7246260710004759</v>
      </c>
      <c r="O193">
        <v>3.480604979312004</v>
      </c>
    </row>
    <row r="194" spans="1:15">
      <c r="A194" s="19">
        <v>43564</v>
      </c>
      <c r="B194">
        <v>2413</v>
      </c>
      <c r="C194">
        <v>2366</v>
      </c>
      <c r="D194">
        <v>690</v>
      </c>
      <c r="E194">
        <v>691</v>
      </c>
      <c r="F194">
        <v>3.4240231548480402</v>
      </c>
      <c r="G194">
        <v>3.6052968223214701</v>
      </c>
      <c r="H194">
        <v>5.6515158590708499E-2</v>
      </c>
      <c r="I194">
        <v>-3.2075229370980298</v>
      </c>
      <c r="J194">
        <v>-5.29</v>
      </c>
      <c r="L194">
        <v>3.6618119809121787</v>
      </c>
      <c r="M194">
        <v>3.5487816637307614</v>
      </c>
      <c r="N194">
        <v>3.718327139502887</v>
      </c>
      <c r="O194">
        <v>3.4922665051400532</v>
      </c>
    </row>
    <row r="195" spans="1:15">
      <c r="A195" s="19">
        <v>43563</v>
      </c>
      <c r="B195">
        <v>2433</v>
      </c>
      <c r="C195">
        <v>2416</v>
      </c>
      <c r="D195">
        <v>702</v>
      </c>
      <c r="E195">
        <v>695</v>
      </c>
      <c r="F195">
        <v>3.4762589928057501</v>
      </c>
      <c r="G195">
        <v>3.6080148277664099</v>
      </c>
      <c r="H195">
        <v>5.2490346602059201E-2</v>
      </c>
      <c r="I195">
        <v>-2.5100964937330099</v>
      </c>
      <c r="J195">
        <v>-3.79</v>
      </c>
      <c r="L195">
        <v>3.6605051743684691</v>
      </c>
      <c r="M195">
        <v>3.5555244811643507</v>
      </c>
      <c r="N195">
        <v>3.7129955209705283</v>
      </c>
      <c r="O195">
        <v>3.5030341345622915</v>
      </c>
    </row>
    <row r="196" spans="1:15">
      <c r="A196" s="19">
        <v>43560</v>
      </c>
      <c r="B196">
        <v>2450</v>
      </c>
      <c r="C196">
        <v>2432</v>
      </c>
      <c r="D196">
        <v>688</v>
      </c>
      <c r="E196">
        <v>696</v>
      </c>
      <c r="F196">
        <v>3.4942528735632101</v>
      </c>
      <c r="G196">
        <v>3.6090264308187701</v>
      </c>
      <c r="H196">
        <v>5.0639850821360799E-2</v>
      </c>
      <c r="I196">
        <v>-2.2664671280418101</v>
      </c>
      <c r="J196">
        <v>-3.28</v>
      </c>
      <c r="L196">
        <v>3.6596662816401309</v>
      </c>
      <c r="M196">
        <v>3.5583865799974093</v>
      </c>
      <c r="N196">
        <v>3.7103061324614917</v>
      </c>
      <c r="O196">
        <v>3.5077467291760485</v>
      </c>
    </row>
    <row r="197" spans="1:15">
      <c r="A197" s="19">
        <v>43559</v>
      </c>
      <c r="B197">
        <v>2465</v>
      </c>
      <c r="C197">
        <v>2439</v>
      </c>
      <c r="D197">
        <v>697</v>
      </c>
      <c r="E197">
        <v>694</v>
      </c>
      <c r="F197">
        <v>3.5144092219020102</v>
      </c>
      <c r="G197">
        <v>3.6112915090192899</v>
      </c>
      <c r="H197">
        <v>4.9235304314775498E-2</v>
      </c>
      <c r="I197">
        <v>-1.9677401910197601</v>
      </c>
      <c r="J197">
        <v>-2.76</v>
      </c>
      <c r="L197">
        <v>3.6605268133340654</v>
      </c>
      <c r="M197">
        <v>3.5620562047045143</v>
      </c>
      <c r="N197">
        <v>3.7097621176488409</v>
      </c>
      <c r="O197">
        <v>3.5128209003897388</v>
      </c>
    </row>
    <row r="198" spans="1:15">
      <c r="A198" s="19">
        <v>43558</v>
      </c>
      <c r="B198">
        <v>2473</v>
      </c>
      <c r="C198">
        <v>2454</v>
      </c>
      <c r="D198">
        <v>693</v>
      </c>
      <c r="E198">
        <v>696</v>
      </c>
      <c r="F198">
        <v>3.5258620689655098</v>
      </c>
      <c r="G198">
        <v>3.6119934579750699</v>
      </c>
      <c r="H198">
        <v>4.8213738118086102E-2</v>
      </c>
      <c r="I198">
        <v>-1.78644909877354</v>
      </c>
      <c r="J198">
        <v>-2.44</v>
      </c>
      <c r="L198">
        <v>3.6602071960931561</v>
      </c>
      <c r="M198">
        <v>3.5637797198569836</v>
      </c>
      <c r="N198">
        <v>3.708420934211242</v>
      </c>
      <c r="O198">
        <v>3.5155659817388978</v>
      </c>
    </row>
    <row r="199" spans="1:15">
      <c r="A199" s="19">
        <v>43557</v>
      </c>
      <c r="B199">
        <v>2523</v>
      </c>
      <c r="C199">
        <v>2478</v>
      </c>
      <c r="D199">
        <v>709</v>
      </c>
      <c r="E199">
        <v>694</v>
      </c>
      <c r="F199">
        <v>3.5706051873198801</v>
      </c>
      <c r="G199">
        <v>3.6123115091767399</v>
      </c>
      <c r="H199">
        <v>4.7720663718315501E-2</v>
      </c>
      <c r="I199">
        <v>-0.87396776589376401</v>
      </c>
      <c r="J199">
        <v>-1.17</v>
      </c>
      <c r="L199">
        <v>3.6600321728950553</v>
      </c>
      <c r="M199">
        <v>3.5645908454584245</v>
      </c>
      <c r="N199">
        <v>3.7077528366133707</v>
      </c>
      <c r="O199">
        <v>3.5168701817401091</v>
      </c>
    </row>
    <row r="200" spans="1:15">
      <c r="A200" s="19">
        <v>43556</v>
      </c>
      <c r="B200">
        <v>2490</v>
      </c>
      <c r="C200">
        <v>2509</v>
      </c>
      <c r="D200">
        <v>694</v>
      </c>
      <c r="E200">
        <v>699</v>
      </c>
      <c r="F200">
        <v>3.5894134477825399</v>
      </c>
      <c r="G200">
        <v>3.6115000973940901</v>
      </c>
      <c r="H200">
        <v>4.8925091105111798E-2</v>
      </c>
      <c r="I200">
        <v>-0.45143808856892798</v>
      </c>
      <c r="J200">
        <v>-0.62</v>
      </c>
      <c r="L200">
        <v>3.6604251884992021</v>
      </c>
      <c r="M200">
        <v>3.5625750062889781</v>
      </c>
      <c r="N200">
        <v>3.7093502796043136</v>
      </c>
      <c r="O200">
        <v>3.5136499151838665</v>
      </c>
    </row>
    <row r="201" spans="1:15">
      <c r="A201" s="19">
        <v>43553</v>
      </c>
      <c r="B201">
        <v>2468</v>
      </c>
      <c r="C201">
        <v>2453</v>
      </c>
      <c r="D201">
        <v>680</v>
      </c>
      <c r="E201">
        <v>680</v>
      </c>
      <c r="F201">
        <v>3.6073529411764702</v>
      </c>
      <c r="G201">
        <v>3.6094904793982301</v>
      </c>
      <c r="H201">
        <v>5.27379348183796E-2</v>
      </c>
      <c r="I201">
        <v>-4.0531322076306199E-2</v>
      </c>
      <c r="J201">
        <v>-0.06</v>
      </c>
      <c r="L201">
        <v>3.6622284142166097</v>
      </c>
      <c r="M201">
        <v>3.5567525445798505</v>
      </c>
      <c r="N201">
        <v>3.7149663490349893</v>
      </c>
      <c r="O201">
        <v>3.5040146097614708</v>
      </c>
    </row>
    <row r="202" spans="1:15">
      <c r="A202" s="19">
        <v>43552</v>
      </c>
      <c r="B202">
        <v>2500</v>
      </c>
      <c r="C202">
        <v>2449</v>
      </c>
      <c r="D202">
        <v>683</v>
      </c>
      <c r="E202">
        <v>672</v>
      </c>
      <c r="F202">
        <v>3.6443452380952301</v>
      </c>
      <c r="G202">
        <v>3.6071871722442999</v>
      </c>
      <c r="H202">
        <v>5.6424490672200199E-2</v>
      </c>
      <c r="I202">
        <v>0.65854499364113595</v>
      </c>
      <c r="J202">
        <v>1.02</v>
      </c>
      <c r="L202">
        <v>3.6636116629164999</v>
      </c>
      <c r="M202">
        <v>3.5507626815720998</v>
      </c>
      <c r="N202">
        <v>3.7200361535887003</v>
      </c>
      <c r="O202">
        <v>3.4943381908998994</v>
      </c>
    </row>
    <row r="203" spans="1:15">
      <c r="A203" s="19">
        <v>43551</v>
      </c>
      <c r="B203">
        <v>2505</v>
      </c>
      <c r="C203">
        <v>2501</v>
      </c>
      <c r="D203">
        <v>711</v>
      </c>
      <c r="E203">
        <v>698</v>
      </c>
      <c r="F203">
        <v>3.5830945558739198</v>
      </c>
      <c r="G203">
        <v>3.60460284684748</v>
      </c>
      <c r="H203">
        <v>5.90414487886297E-2</v>
      </c>
      <c r="I203">
        <v>-0.36429138198418498</v>
      </c>
      <c r="J203">
        <v>-0.6</v>
      </c>
      <c r="L203">
        <v>3.6636442956361095</v>
      </c>
      <c r="M203">
        <v>3.5455613980588505</v>
      </c>
      <c r="N203">
        <v>3.7226857444247394</v>
      </c>
      <c r="O203">
        <v>3.4865199492702206</v>
      </c>
    </row>
    <row r="204" spans="1:15">
      <c r="A204" s="19">
        <v>43550</v>
      </c>
      <c r="B204">
        <v>2561</v>
      </c>
      <c r="C204">
        <v>2605</v>
      </c>
      <c r="D204">
        <v>704</v>
      </c>
      <c r="E204">
        <v>731</v>
      </c>
      <c r="F204">
        <v>3.5636114911080701</v>
      </c>
      <c r="G204">
        <v>3.6025176070448999</v>
      </c>
      <c r="H204">
        <v>6.2428849232082299E-2</v>
      </c>
      <c r="I204">
        <v>-0.623207321861734</v>
      </c>
      <c r="J204">
        <v>-1.0900000000000001</v>
      </c>
      <c r="L204">
        <v>3.664946456276982</v>
      </c>
      <c r="M204">
        <v>3.5400887578128177</v>
      </c>
      <c r="N204">
        <v>3.7273753055090646</v>
      </c>
      <c r="O204">
        <v>3.4776599085807351</v>
      </c>
    </row>
    <row r="205" spans="1:15">
      <c r="A205" s="19">
        <v>43549</v>
      </c>
      <c r="B205">
        <v>2540</v>
      </c>
      <c r="C205">
        <v>2524</v>
      </c>
      <c r="D205">
        <v>710</v>
      </c>
      <c r="E205">
        <v>694</v>
      </c>
      <c r="F205">
        <v>3.6368876080691601</v>
      </c>
      <c r="G205">
        <v>3.6001255941810002</v>
      </c>
      <c r="H205">
        <v>6.7133425103223301E-2</v>
      </c>
      <c r="I205">
        <v>0.54759628056560194</v>
      </c>
      <c r="J205">
        <v>1.01</v>
      </c>
      <c r="L205">
        <v>3.6672590192842236</v>
      </c>
      <c r="M205">
        <v>3.5329921690777768</v>
      </c>
      <c r="N205">
        <v>3.734392444387447</v>
      </c>
      <c r="O205">
        <v>3.4658587439745534</v>
      </c>
    </row>
    <row r="206" spans="1:15">
      <c r="A206" s="19">
        <v>43546</v>
      </c>
      <c r="B206">
        <v>2560</v>
      </c>
      <c r="C206">
        <v>2573</v>
      </c>
      <c r="D206">
        <v>718</v>
      </c>
      <c r="E206">
        <v>715</v>
      </c>
      <c r="F206">
        <v>3.5986013986013901</v>
      </c>
      <c r="G206">
        <v>3.5972562493665898</v>
      </c>
      <c r="H206">
        <v>7.0037013881178806E-2</v>
      </c>
      <c r="I206">
        <v>1.9206261950105601E-2</v>
      </c>
      <c r="J206">
        <v>0.04</v>
      </c>
      <c r="L206">
        <v>3.6672932632477688</v>
      </c>
      <c r="M206">
        <v>3.5272192354854108</v>
      </c>
      <c r="N206">
        <v>3.7373302771289474</v>
      </c>
      <c r="O206">
        <v>3.4571822216042323</v>
      </c>
    </row>
    <row r="207" spans="1:15">
      <c r="A207" s="19">
        <v>43544</v>
      </c>
      <c r="B207">
        <v>2544</v>
      </c>
      <c r="C207">
        <v>2552</v>
      </c>
      <c r="D207">
        <v>708</v>
      </c>
      <c r="E207">
        <v>713</v>
      </c>
      <c r="F207">
        <v>3.5792426367461401</v>
      </c>
      <c r="G207">
        <v>3.5961041656779198</v>
      </c>
      <c r="H207">
        <v>7.0712826485083799E-2</v>
      </c>
      <c r="I207">
        <v>-0.23845078424829</v>
      </c>
      <c r="J207">
        <v>-0.47</v>
      </c>
      <c r="L207">
        <v>3.6668169921630036</v>
      </c>
      <c r="M207">
        <v>3.525391339192836</v>
      </c>
      <c r="N207">
        <v>3.7375298186480874</v>
      </c>
      <c r="O207">
        <v>3.4546785127077522</v>
      </c>
    </row>
    <row r="208" spans="1:15">
      <c r="A208" s="19">
        <v>43543</v>
      </c>
      <c r="B208">
        <v>2543</v>
      </c>
      <c r="C208">
        <v>2545</v>
      </c>
      <c r="D208">
        <v>704</v>
      </c>
      <c r="E208">
        <v>709</v>
      </c>
      <c r="F208">
        <v>3.5895627644569799</v>
      </c>
      <c r="G208">
        <v>3.5948202211079301</v>
      </c>
      <c r="H208">
        <v>7.1872055607777999E-2</v>
      </c>
      <c r="I208">
        <v>-7.31502196020231E-2</v>
      </c>
      <c r="J208">
        <v>-0.15</v>
      </c>
      <c r="L208">
        <v>3.666692276715708</v>
      </c>
      <c r="M208">
        <v>3.5229481655001522</v>
      </c>
      <c r="N208">
        <v>3.7385643323234863</v>
      </c>
      <c r="O208">
        <v>3.4510761098923739</v>
      </c>
    </row>
    <row r="209" spans="1:15">
      <c r="A209" s="19">
        <v>43542</v>
      </c>
      <c r="B209">
        <v>2523</v>
      </c>
      <c r="C209">
        <v>2530</v>
      </c>
      <c r="D209">
        <v>702</v>
      </c>
      <c r="E209">
        <v>704</v>
      </c>
      <c r="F209">
        <v>3.59375</v>
      </c>
      <c r="G209">
        <v>3.5945118318009599</v>
      </c>
      <c r="H209">
        <v>7.1943538677899502E-2</v>
      </c>
      <c r="I209">
        <v>-1.0589301207042399E-2</v>
      </c>
      <c r="J209">
        <v>-0.02</v>
      </c>
      <c r="L209">
        <v>3.6664553704788596</v>
      </c>
      <c r="M209">
        <v>3.5225682931230602</v>
      </c>
      <c r="N209">
        <v>3.7383989091567589</v>
      </c>
      <c r="O209">
        <v>3.4506247544451609</v>
      </c>
    </row>
    <row r="210" spans="1:15">
      <c r="A210" s="19">
        <v>43539</v>
      </c>
      <c r="B210">
        <v>2511</v>
      </c>
      <c r="C210">
        <v>2512</v>
      </c>
      <c r="D210">
        <v>693</v>
      </c>
      <c r="E210">
        <v>693</v>
      </c>
      <c r="F210">
        <v>3.6248196248196201</v>
      </c>
      <c r="G210">
        <v>3.5935890875279299</v>
      </c>
      <c r="H210">
        <v>7.2389823365392403E-2</v>
      </c>
      <c r="I210">
        <v>0.43142165348367401</v>
      </c>
      <c r="J210">
        <v>0.86</v>
      </c>
      <c r="L210">
        <v>3.6659789108933225</v>
      </c>
      <c r="M210">
        <v>3.5211992641625374</v>
      </c>
      <c r="N210">
        <v>3.7383687342587146</v>
      </c>
      <c r="O210">
        <v>3.4488094407971452</v>
      </c>
    </row>
    <row r="211" spans="1:15">
      <c r="A211" s="19">
        <v>43538</v>
      </c>
      <c r="B211">
        <v>2524</v>
      </c>
      <c r="C211">
        <v>2504</v>
      </c>
      <c r="D211">
        <v>693</v>
      </c>
      <c r="E211">
        <v>692</v>
      </c>
      <c r="F211">
        <v>3.6184971098265799</v>
      </c>
      <c r="G211">
        <v>3.5910190287622199</v>
      </c>
      <c r="H211">
        <v>7.4622669792800703E-2</v>
      </c>
      <c r="I211">
        <v>0.36822698974267098</v>
      </c>
      <c r="J211">
        <v>0.76</v>
      </c>
      <c r="L211">
        <v>3.6656416985550204</v>
      </c>
      <c r="M211">
        <v>3.5163963589694194</v>
      </c>
      <c r="N211">
        <v>3.7402643683478214</v>
      </c>
      <c r="O211">
        <v>3.4417736891766184</v>
      </c>
    </row>
    <row r="212" spans="1:15">
      <c r="A212" s="19">
        <v>43537</v>
      </c>
      <c r="B212">
        <v>2525</v>
      </c>
      <c r="C212">
        <v>2504</v>
      </c>
      <c r="D212">
        <v>698</v>
      </c>
      <c r="E212">
        <v>690</v>
      </c>
      <c r="F212">
        <v>3.6289855072463699</v>
      </c>
      <c r="G212">
        <v>3.5885885871881298</v>
      </c>
      <c r="H212">
        <v>7.6629606079839097E-2</v>
      </c>
      <c r="I212">
        <v>0.52717118258649298</v>
      </c>
      <c r="J212">
        <v>1.1100000000000001</v>
      </c>
      <c r="L212">
        <v>3.665218193267969</v>
      </c>
      <c r="M212">
        <v>3.5119589811082905</v>
      </c>
      <c r="N212">
        <v>3.7418477993478079</v>
      </c>
      <c r="O212">
        <v>3.4353293750284517</v>
      </c>
    </row>
    <row r="213" spans="1:15">
      <c r="A213" s="19">
        <v>43536</v>
      </c>
      <c r="B213">
        <v>2519</v>
      </c>
      <c r="C213">
        <v>2519</v>
      </c>
      <c r="D213">
        <v>692</v>
      </c>
      <c r="E213">
        <v>697</v>
      </c>
      <c r="F213">
        <v>3.6140602582496402</v>
      </c>
      <c r="G213">
        <v>3.5868324498163</v>
      </c>
      <c r="H213">
        <v>7.7190859644095194E-2</v>
      </c>
      <c r="I213">
        <v>0.352733582173758</v>
      </c>
      <c r="J213">
        <v>0.75</v>
      </c>
      <c r="L213">
        <v>3.6640233094603953</v>
      </c>
      <c r="M213">
        <v>3.5096415901722047</v>
      </c>
      <c r="N213">
        <v>3.7412141691044902</v>
      </c>
      <c r="O213">
        <v>3.4324507305281098</v>
      </c>
    </row>
    <row r="214" spans="1:15">
      <c r="A214" s="19">
        <v>43535</v>
      </c>
      <c r="B214">
        <v>2482</v>
      </c>
      <c r="C214">
        <v>2491</v>
      </c>
      <c r="D214">
        <v>680</v>
      </c>
      <c r="E214">
        <v>682</v>
      </c>
      <c r="F214">
        <v>3.6524926686216999</v>
      </c>
      <c r="G214">
        <v>3.58673630390722</v>
      </c>
      <c r="H214">
        <v>7.7161371076839999E-2</v>
      </c>
      <c r="I214">
        <v>0.85219279798686298</v>
      </c>
      <c r="J214">
        <v>1.8</v>
      </c>
      <c r="L214">
        <v>3.6638976749840602</v>
      </c>
      <c r="M214">
        <v>3.5095749328303798</v>
      </c>
      <c r="N214">
        <v>3.7410590460608999</v>
      </c>
      <c r="O214">
        <v>3.4324135617535401</v>
      </c>
    </row>
    <row r="215" spans="1:15">
      <c r="A215" s="19">
        <v>43532</v>
      </c>
      <c r="B215">
        <v>2485</v>
      </c>
      <c r="C215">
        <v>2466</v>
      </c>
      <c r="D215">
        <v>686</v>
      </c>
      <c r="E215">
        <v>678</v>
      </c>
      <c r="F215">
        <v>3.63716814159292</v>
      </c>
      <c r="G215">
        <v>3.5857841494066802</v>
      </c>
      <c r="H215">
        <v>7.6783754893390399E-2</v>
      </c>
      <c r="I215">
        <v>0.66920395150744205</v>
      </c>
      <c r="J215">
        <v>1.41</v>
      </c>
      <c r="L215">
        <v>3.6625679043000705</v>
      </c>
      <c r="M215">
        <v>3.5090003945132899</v>
      </c>
      <c r="N215">
        <v>3.7393516591934608</v>
      </c>
      <c r="O215">
        <v>3.4322166396198996</v>
      </c>
    </row>
    <row r="216" spans="1:15">
      <c r="A216" s="19">
        <v>43531</v>
      </c>
      <c r="B216">
        <v>2500</v>
      </c>
      <c r="C216">
        <v>2505</v>
      </c>
      <c r="D216">
        <v>698</v>
      </c>
      <c r="E216">
        <v>696</v>
      </c>
      <c r="F216">
        <v>3.59913793103448</v>
      </c>
      <c r="G216">
        <v>3.5860114879706</v>
      </c>
      <c r="H216">
        <v>7.6960591671241502E-2</v>
      </c>
      <c r="I216">
        <v>0.17056057884735901</v>
      </c>
      <c r="J216">
        <v>0.36</v>
      </c>
      <c r="L216">
        <v>3.6629720796418415</v>
      </c>
      <c r="M216">
        <v>3.5090508962993585</v>
      </c>
      <c r="N216">
        <v>3.7399326713130829</v>
      </c>
      <c r="O216">
        <v>3.432090304628117</v>
      </c>
    </row>
    <row r="217" spans="1:15">
      <c r="A217" s="19">
        <v>43530</v>
      </c>
      <c r="B217">
        <v>2530</v>
      </c>
      <c r="C217">
        <v>2510</v>
      </c>
      <c r="D217">
        <v>708</v>
      </c>
      <c r="E217">
        <v>708</v>
      </c>
      <c r="F217">
        <v>3.5451977401129899</v>
      </c>
      <c r="G217">
        <v>3.5858567576434499</v>
      </c>
      <c r="H217">
        <v>7.6945709573794693E-2</v>
      </c>
      <c r="I217">
        <v>-0.52841175623272596</v>
      </c>
      <c r="J217">
        <v>-1.1499999999999999</v>
      </c>
      <c r="L217">
        <v>3.6628024672172446</v>
      </c>
      <c r="M217">
        <v>3.5089110480696553</v>
      </c>
      <c r="N217">
        <v>3.7397481767910392</v>
      </c>
      <c r="O217">
        <v>3.4319653384958606</v>
      </c>
    </row>
    <row r="218" spans="1:15">
      <c r="A218" s="19">
        <v>43529</v>
      </c>
      <c r="B218">
        <v>2533</v>
      </c>
      <c r="C218">
        <v>2563</v>
      </c>
      <c r="D218">
        <v>710</v>
      </c>
      <c r="E218">
        <v>707</v>
      </c>
      <c r="F218">
        <v>3.6251768033946199</v>
      </c>
      <c r="G218">
        <v>3.5851250888505501</v>
      </c>
      <c r="H218">
        <v>7.7587081352728599E-2</v>
      </c>
      <c r="I218">
        <v>0.51621628041385603</v>
      </c>
      <c r="J218">
        <v>1.1000000000000001</v>
      </c>
      <c r="L218">
        <v>3.6627121702032785</v>
      </c>
      <c r="M218">
        <v>3.5075380074978217</v>
      </c>
      <c r="N218">
        <v>3.7402992515560074</v>
      </c>
      <c r="O218">
        <v>3.4299509261450929</v>
      </c>
    </row>
    <row r="219" spans="1:15">
      <c r="A219" s="19">
        <v>43528</v>
      </c>
      <c r="B219">
        <v>2604</v>
      </c>
      <c r="C219">
        <v>2560</v>
      </c>
      <c r="D219">
        <v>710</v>
      </c>
      <c r="E219">
        <v>717</v>
      </c>
      <c r="F219">
        <v>3.5704323570432299</v>
      </c>
      <c r="G219">
        <v>3.58363764716586</v>
      </c>
      <c r="H219">
        <v>7.7873806494603195E-2</v>
      </c>
      <c r="I219">
        <v>-0.16957293751321501</v>
      </c>
      <c r="J219">
        <v>-0.37</v>
      </c>
      <c r="L219">
        <v>3.6615114536604634</v>
      </c>
      <c r="M219">
        <v>3.5057638406712566</v>
      </c>
      <c r="N219">
        <v>3.7393852601550663</v>
      </c>
      <c r="O219">
        <v>3.4278900341766536</v>
      </c>
    </row>
    <row r="220" spans="1:15">
      <c r="A220" s="19">
        <v>43525</v>
      </c>
      <c r="B220">
        <v>2579</v>
      </c>
      <c r="C220">
        <v>2570</v>
      </c>
      <c r="D220">
        <v>703</v>
      </c>
      <c r="E220">
        <v>703</v>
      </c>
      <c r="F220">
        <v>3.6557610241820702</v>
      </c>
      <c r="G220">
        <v>3.5825262837834</v>
      </c>
      <c r="H220">
        <v>7.8645285960281794E-2</v>
      </c>
      <c r="I220">
        <v>0.93120318025997095</v>
      </c>
      <c r="J220">
        <v>2</v>
      </c>
      <c r="L220">
        <v>3.661171569743682</v>
      </c>
      <c r="M220">
        <v>3.503880997823118</v>
      </c>
      <c r="N220">
        <v>3.7398168557039635</v>
      </c>
      <c r="O220">
        <v>3.4252357118628365</v>
      </c>
    </row>
    <row r="221" spans="1:15">
      <c r="A221" s="19">
        <v>43524</v>
      </c>
      <c r="B221">
        <v>2609</v>
      </c>
      <c r="C221">
        <v>2591</v>
      </c>
      <c r="D221">
        <v>702</v>
      </c>
      <c r="E221">
        <v>707</v>
      </c>
      <c r="F221">
        <v>3.66478076379066</v>
      </c>
      <c r="G221">
        <v>3.5803043570247799</v>
      </c>
      <c r="H221">
        <v>7.8898488424047397E-2</v>
      </c>
      <c r="I221">
        <v>1.0706974043894399</v>
      </c>
      <c r="J221">
        <v>2.31</v>
      </c>
      <c r="L221">
        <v>3.6592028454488275</v>
      </c>
      <c r="M221">
        <v>3.5014058686007323</v>
      </c>
      <c r="N221">
        <v>3.7381013338728746</v>
      </c>
      <c r="O221">
        <v>3.4225073801766852</v>
      </c>
    </row>
    <row r="222" spans="1:15">
      <c r="A222" s="19">
        <v>43523</v>
      </c>
      <c r="B222">
        <v>2574</v>
      </c>
      <c r="C222">
        <v>2593</v>
      </c>
      <c r="D222">
        <v>698</v>
      </c>
      <c r="E222">
        <v>697</v>
      </c>
      <c r="F222">
        <v>3.7202295552367199</v>
      </c>
      <c r="G222">
        <v>3.5777906349025201</v>
      </c>
      <c r="H222">
        <v>7.9169831184573297E-2</v>
      </c>
      <c r="I222">
        <v>1.79915654995049</v>
      </c>
      <c r="J222">
        <v>3.83</v>
      </c>
      <c r="L222">
        <v>3.6569604660870936</v>
      </c>
      <c r="M222">
        <v>3.4986208037179467</v>
      </c>
      <c r="N222">
        <v>3.7361302972716666</v>
      </c>
      <c r="O222">
        <v>3.4194509725333737</v>
      </c>
    </row>
    <row r="223" spans="1:15">
      <c r="A223" s="19">
        <v>43522</v>
      </c>
      <c r="B223">
        <v>2573</v>
      </c>
      <c r="C223">
        <v>2577</v>
      </c>
      <c r="D223">
        <v>710</v>
      </c>
      <c r="E223">
        <v>703</v>
      </c>
      <c r="F223">
        <v>3.6657183499288699</v>
      </c>
      <c r="G223">
        <v>3.5744305486580399</v>
      </c>
      <c r="H223">
        <v>7.8397202400429702E-2</v>
      </c>
      <c r="I223">
        <v>1.16442677130957</v>
      </c>
      <c r="J223">
        <v>2.4900000000000002</v>
      </c>
      <c r="L223">
        <v>3.6528277510584695</v>
      </c>
      <c r="M223">
        <v>3.4960333462576103</v>
      </c>
      <c r="N223">
        <v>3.7312249534588995</v>
      </c>
      <c r="O223">
        <v>3.4176361438571803</v>
      </c>
    </row>
    <row r="224" spans="1:15">
      <c r="A224" s="19">
        <v>43521</v>
      </c>
      <c r="B224">
        <v>2547</v>
      </c>
      <c r="C224">
        <v>2558</v>
      </c>
      <c r="D224">
        <v>700</v>
      </c>
      <c r="E224">
        <v>707</v>
      </c>
      <c r="F224">
        <v>3.61810466760961</v>
      </c>
      <c r="G224">
        <v>3.5711847012289302</v>
      </c>
      <c r="H224">
        <v>7.9581013335659395E-2</v>
      </c>
      <c r="I224">
        <v>0.58958744572376498</v>
      </c>
      <c r="J224">
        <v>1.3</v>
      </c>
      <c r="L224">
        <v>3.6507657145645895</v>
      </c>
      <c r="M224">
        <v>3.4916036878932708</v>
      </c>
      <c r="N224">
        <v>3.7303467279002489</v>
      </c>
      <c r="O224">
        <v>3.4120226745576114</v>
      </c>
    </row>
    <row r="225" spans="1:15">
      <c r="A225" s="19">
        <v>43518</v>
      </c>
      <c r="B225">
        <v>2500</v>
      </c>
      <c r="C225">
        <v>2535</v>
      </c>
      <c r="D225">
        <v>696</v>
      </c>
      <c r="E225">
        <v>690</v>
      </c>
      <c r="F225">
        <v>3.6739130434782599</v>
      </c>
      <c r="G225">
        <v>3.5689704629100398</v>
      </c>
      <c r="H225">
        <v>8.0549144670812506E-2</v>
      </c>
      <c r="I225">
        <v>1.3028391672822299</v>
      </c>
      <c r="J225">
        <v>2.86</v>
      </c>
      <c r="L225">
        <v>3.6495196075808525</v>
      </c>
      <c r="M225">
        <v>3.4884213182392272</v>
      </c>
      <c r="N225">
        <v>3.7300687522516647</v>
      </c>
      <c r="O225">
        <v>3.407872173568415</v>
      </c>
    </row>
    <row r="226" spans="1:15">
      <c r="A226" s="19">
        <v>43517</v>
      </c>
      <c r="B226">
        <v>2521</v>
      </c>
      <c r="C226">
        <v>2511</v>
      </c>
      <c r="D226">
        <v>710</v>
      </c>
      <c r="E226">
        <v>706</v>
      </c>
      <c r="F226">
        <v>3.5566572237960301</v>
      </c>
      <c r="G226">
        <v>3.5662141770109899</v>
      </c>
      <c r="H226">
        <v>8.0447793518397398E-2</v>
      </c>
      <c r="I226">
        <v>-0.118796958834907</v>
      </c>
      <c r="J226">
        <v>-0.27</v>
      </c>
      <c r="L226">
        <v>3.6466619705293875</v>
      </c>
      <c r="M226">
        <v>3.4857663834925923</v>
      </c>
      <c r="N226">
        <v>3.7271097640477846</v>
      </c>
      <c r="O226">
        <v>3.4053185899741951</v>
      </c>
    </row>
    <row r="227" spans="1:15">
      <c r="A227" s="19">
        <v>43516</v>
      </c>
      <c r="B227">
        <v>2498</v>
      </c>
      <c r="C227">
        <v>2508</v>
      </c>
      <c r="D227">
        <v>705</v>
      </c>
      <c r="E227">
        <v>706</v>
      </c>
      <c r="F227">
        <v>3.55240793201133</v>
      </c>
      <c r="G227">
        <v>3.5638009933496799</v>
      </c>
      <c r="H227">
        <v>8.3360113645775794E-2</v>
      </c>
      <c r="I227">
        <v>-0.13667281437223899</v>
      </c>
      <c r="J227">
        <v>-0.32</v>
      </c>
      <c r="L227">
        <v>3.6471611069954557</v>
      </c>
      <c r="M227">
        <v>3.4804408797039041</v>
      </c>
      <c r="N227">
        <v>3.7305212206412315</v>
      </c>
      <c r="O227">
        <v>3.3970807660581284</v>
      </c>
    </row>
    <row r="228" spans="1:15">
      <c r="A228" s="19">
        <v>43515</v>
      </c>
      <c r="B228">
        <v>2470</v>
      </c>
      <c r="C228">
        <v>2486</v>
      </c>
      <c r="D228">
        <v>707</v>
      </c>
      <c r="E228">
        <v>705</v>
      </c>
      <c r="F228">
        <v>3.5262411347517699</v>
      </c>
      <c r="G228">
        <v>3.5602166487835598</v>
      </c>
      <c r="H228">
        <v>8.9338114955031703E-2</v>
      </c>
      <c r="I228">
        <v>-0.38030256233743798</v>
      </c>
      <c r="J228">
        <v>-0.96</v>
      </c>
      <c r="L228">
        <v>3.6495547637385917</v>
      </c>
      <c r="M228">
        <v>3.470878533828528</v>
      </c>
      <c r="N228">
        <v>3.7388928786936231</v>
      </c>
      <c r="O228">
        <v>3.3815404188734965</v>
      </c>
    </row>
    <row r="229" spans="1:15">
      <c r="A229" s="19">
        <v>43514</v>
      </c>
      <c r="B229">
        <v>2479</v>
      </c>
      <c r="C229">
        <v>2461</v>
      </c>
      <c r="D229">
        <v>703</v>
      </c>
      <c r="E229">
        <v>708</v>
      </c>
      <c r="F229">
        <v>3.4759887005649701</v>
      </c>
      <c r="G229">
        <v>3.55775428413365</v>
      </c>
      <c r="H229">
        <v>9.2721619532147595E-2</v>
      </c>
      <c r="I229">
        <v>-0.881839467227306</v>
      </c>
      <c r="J229">
        <v>-2.35</v>
      </c>
      <c r="L229">
        <v>3.6504759036657974</v>
      </c>
      <c r="M229">
        <v>3.4650326646015026</v>
      </c>
      <c r="N229">
        <v>3.7431975231979453</v>
      </c>
      <c r="O229">
        <v>3.3723110450693548</v>
      </c>
    </row>
    <row r="230" spans="1:15">
      <c r="A230" s="19">
        <v>43511</v>
      </c>
      <c r="B230">
        <v>2450</v>
      </c>
      <c r="C230">
        <v>2438</v>
      </c>
      <c r="D230">
        <v>690</v>
      </c>
      <c r="E230">
        <v>693</v>
      </c>
      <c r="F230">
        <v>3.5180375180375099</v>
      </c>
      <c r="G230">
        <v>3.5584553871737299</v>
      </c>
      <c r="H230">
        <v>9.2298542216137106E-2</v>
      </c>
      <c r="I230">
        <v>-0.437903656610031</v>
      </c>
      <c r="J230">
        <v>-1.1499999999999999</v>
      </c>
      <c r="L230">
        <v>3.6507539293898672</v>
      </c>
      <c r="M230">
        <v>3.4661568449575926</v>
      </c>
      <c r="N230">
        <v>3.7430524716060041</v>
      </c>
      <c r="O230">
        <v>3.3738583027414557</v>
      </c>
    </row>
    <row r="231" spans="1:15">
      <c r="A231" s="19">
        <v>43510</v>
      </c>
      <c r="B231">
        <v>2460</v>
      </c>
      <c r="C231">
        <v>2462</v>
      </c>
      <c r="D231">
        <v>686</v>
      </c>
      <c r="E231">
        <v>689</v>
      </c>
      <c r="F231">
        <v>3.5732946298983999</v>
      </c>
      <c r="G231">
        <v>3.5590148869332299</v>
      </c>
      <c r="H231">
        <v>9.2178947041538506E-2</v>
      </c>
      <c r="I231">
        <v>0.154913279262447</v>
      </c>
      <c r="J231">
        <v>0.4</v>
      </c>
      <c r="L231">
        <v>3.6511938339747685</v>
      </c>
      <c r="M231">
        <v>3.4668359398916913</v>
      </c>
      <c r="N231">
        <v>3.7433727810163067</v>
      </c>
      <c r="O231">
        <v>3.3746569928501531</v>
      </c>
    </row>
    <row r="232" spans="1:15">
      <c r="A232" s="19">
        <v>43509</v>
      </c>
      <c r="B232">
        <v>2485</v>
      </c>
      <c r="C232">
        <v>2451</v>
      </c>
      <c r="D232">
        <v>686</v>
      </c>
      <c r="E232">
        <v>688</v>
      </c>
      <c r="F232">
        <v>3.5625</v>
      </c>
      <c r="G232">
        <v>3.5574709585345898</v>
      </c>
      <c r="H232">
        <v>9.2893806999814907E-2</v>
      </c>
      <c r="I232">
        <v>5.41375321760275E-2</v>
      </c>
      <c r="J232">
        <v>0.14000000000000001</v>
      </c>
      <c r="L232">
        <v>3.6503647655344049</v>
      </c>
      <c r="M232">
        <v>3.4645771515347747</v>
      </c>
      <c r="N232">
        <v>3.7432585725342196</v>
      </c>
      <c r="O232">
        <v>3.3716833445349601</v>
      </c>
    </row>
    <row r="233" spans="1:15">
      <c r="A233" s="19">
        <v>43508</v>
      </c>
      <c r="B233">
        <v>2484</v>
      </c>
      <c r="C233">
        <v>2483</v>
      </c>
      <c r="D233">
        <v>684</v>
      </c>
      <c r="E233">
        <v>681</v>
      </c>
      <c r="F233">
        <v>3.6461086637297999</v>
      </c>
      <c r="G233">
        <v>3.5563185655874898</v>
      </c>
      <c r="H233">
        <v>9.3359205322364899E-2</v>
      </c>
      <c r="I233">
        <v>0.96177016323433695</v>
      </c>
      <c r="J233">
        <v>2.46</v>
      </c>
      <c r="L233">
        <v>3.6496777709098547</v>
      </c>
      <c r="M233">
        <v>3.462959360265125</v>
      </c>
      <c r="N233">
        <v>3.7430369762322195</v>
      </c>
      <c r="O233">
        <v>3.3696001549427601</v>
      </c>
    </row>
    <row r="234" spans="1:15">
      <c r="A234" s="19">
        <v>43504</v>
      </c>
      <c r="B234">
        <v>2504</v>
      </c>
      <c r="C234">
        <v>2504</v>
      </c>
      <c r="D234">
        <v>689</v>
      </c>
      <c r="E234">
        <v>678</v>
      </c>
      <c r="F234">
        <v>3.69321533923303</v>
      </c>
      <c r="G234">
        <v>3.5546742475394399</v>
      </c>
      <c r="H234">
        <v>9.2847908522445705E-2</v>
      </c>
      <c r="I234">
        <v>1.4921293747839099</v>
      </c>
      <c r="J234">
        <v>3.75</v>
      </c>
      <c r="L234">
        <v>3.6475221560618856</v>
      </c>
      <c r="M234">
        <v>3.4618263390169943</v>
      </c>
      <c r="N234">
        <v>3.7403700645843312</v>
      </c>
      <c r="O234">
        <v>3.3689784304945487</v>
      </c>
    </row>
    <row r="235" spans="1:15">
      <c r="A235" s="19">
        <v>43503</v>
      </c>
      <c r="B235">
        <v>2597</v>
      </c>
      <c r="C235">
        <v>2562</v>
      </c>
      <c r="D235">
        <v>722</v>
      </c>
      <c r="E235">
        <v>704</v>
      </c>
      <c r="F235">
        <v>3.6392045454545401</v>
      </c>
      <c r="G235">
        <v>3.5521226432623401</v>
      </c>
      <c r="H235">
        <v>9.1627073932248407E-2</v>
      </c>
      <c r="I235">
        <v>0.95039488281153495</v>
      </c>
      <c r="J235">
        <v>2.39</v>
      </c>
      <c r="L235">
        <v>3.6437497171945883</v>
      </c>
      <c r="M235">
        <v>3.4604955693300918</v>
      </c>
      <c r="N235">
        <v>3.735376791126837</v>
      </c>
      <c r="O235">
        <v>3.3688684953978432</v>
      </c>
    </row>
    <row r="236" spans="1:15">
      <c r="A236" s="19">
        <v>43502</v>
      </c>
      <c r="B236">
        <v>2608</v>
      </c>
      <c r="C236">
        <v>2569</v>
      </c>
      <c r="D236">
        <v>725</v>
      </c>
      <c r="E236">
        <v>722</v>
      </c>
      <c r="F236">
        <v>3.5581717451523498</v>
      </c>
      <c r="G236">
        <v>3.5499050862292099</v>
      </c>
      <c r="H236">
        <v>9.1505201428663002E-2</v>
      </c>
      <c r="I236">
        <v>9.0340863623890599E-2</v>
      </c>
      <c r="J236">
        <v>0.23</v>
      </c>
      <c r="L236">
        <v>3.6414102876578727</v>
      </c>
      <c r="M236">
        <v>3.4583998848005471</v>
      </c>
      <c r="N236">
        <v>3.7329154890865359</v>
      </c>
      <c r="O236">
        <v>3.3668946833718838</v>
      </c>
    </row>
    <row r="237" spans="1:15">
      <c r="A237" s="19">
        <v>43501</v>
      </c>
      <c r="B237">
        <v>2568</v>
      </c>
      <c r="C237">
        <v>2587</v>
      </c>
      <c r="D237">
        <v>719</v>
      </c>
      <c r="E237">
        <v>718</v>
      </c>
      <c r="F237">
        <v>3.6030640668523599</v>
      </c>
      <c r="G237">
        <v>3.5490780490787599</v>
      </c>
      <c r="H237">
        <v>9.1706834606747403E-2</v>
      </c>
      <c r="I237">
        <v>0.58868041847810704</v>
      </c>
      <c r="J237">
        <v>1.5</v>
      </c>
      <c r="L237">
        <v>3.6407848836855075</v>
      </c>
      <c r="M237">
        <v>3.4573712144720123</v>
      </c>
      <c r="N237">
        <v>3.7324917182922546</v>
      </c>
      <c r="O237">
        <v>3.3656643798652652</v>
      </c>
    </row>
    <row r="238" spans="1:15">
      <c r="A238" s="19">
        <v>43500</v>
      </c>
      <c r="B238">
        <v>2511</v>
      </c>
      <c r="C238">
        <v>2567</v>
      </c>
      <c r="D238">
        <v>703</v>
      </c>
      <c r="E238">
        <v>717</v>
      </c>
      <c r="F238">
        <v>3.5801952580195202</v>
      </c>
      <c r="G238">
        <v>3.54747801459476</v>
      </c>
      <c r="H238">
        <v>9.1797781559827707E-2</v>
      </c>
      <c r="I238">
        <v>0.35640560010093603</v>
      </c>
      <c r="J238">
        <v>0.91</v>
      </c>
      <c r="L238">
        <v>3.6392757961545876</v>
      </c>
      <c r="M238">
        <v>3.4556802330349323</v>
      </c>
      <c r="N238">
        <v>3.7310735777144153</v>
      </c>
      <c r="O238">
        <v>3.3638824514751047</v>
      </c>
    </row>
    <row r="239" spans="1:15">
      <c r="A239" s="19">
        <v>43497</v>
      </c>
      <c r="B239">
        <v>2527</v>
      </c>
      <c r="C239">
        <v>2503</v>
      </c>
      <c r="D239">
        <v>695</v>
      </c>
      <c r="E239">
        <v>696</v>
      </c>
      <c r="F239">
        <v>3.5962643678160902</v>
      </c>
      <c r="G239">
        <v>3.5466030833133502</v>
      </c>
      <c r="H239">
        <v>9.1794495320635605E-2</v>
      </c>
      <c r="I239">
        <v>0.541005038801885</v>
      </c>
      <c r="J239">
        <v>1.38</v>
      </c>
      <c r="L239">
        <v>3.6383975786339859</v>
      </c>
      <c r="M239">
        <v>3.4548085879927144</v>
      </c>
      <c r="N239">
        <v>3.7301920739546213</v>
      </c>
      <c r="O239">
        <v>3.3630140926720791</v>
      </c>
    </row>
    <row r="240" spans="1:15">
      <c r="A240" s="19">
        <v>43496</v>
      </c>
      <c r="B240">
        <v>2564</v>
      </c>
      <c r="C240">
        <v>2533</v>
      </c>
      <c r="D240">
        <v>694</v>
      </c>
      <c r="E240">
        <v>697</v>
      </c>
      <c r="F240">
        <v>3.6341463414634099</v>
      </c>
      <c r="G240">
        <v>3.5453195584091302</v>
      </c>
      <c r="H240">
        <v>9.1764136009673203E-2</v>
      </c>
      <c r="I240">
        <v>0.96799018567465001</v>
      </c>
      <c r="J240">
        <v>2.44</v>
      </c>
      <c r="L240">
        <v>3.6370836944188034</v>
      </c>
      <c r="M240">
        <v>3.4535554223994569</v>
      </c>
      <c r="N240">
        <v>3.7288478304284767</v>
      </c>
      <c r="O240">
        <v>3.3617912863897836</v>
      </c>
    </row>
    <row r="241" spans="1:15">
      <c r="A241" s="19">
        <v>43495</v>
      </c>
      <c r="B241">
        <v>2546</v>
      </c>
      <c r="C241">
        <v>2528</v>
      </c>
      <c r="D241">
        <v>683</v>
      </c>
      <c r="E241">
        <v>684</v>
      </c>
      <c r="F241">
        <v>3.6959064327485298</v>
      </c>
      <c r="G241">
        <v>3.5431271498348602</v>
      </c>
      <c r="H241">
        <v>9.1579801006550401E-2</v>
      </c>
      <c r="I241">
        <v>1.66826397561994</v>
      </c>
      <c r="J241">
        <v>4.13</v>
      </c>
      <c r="L241">
        <v>3.6347069508414105</v>
      </c>
      <c r="M241">
        <v>3.4515473488283099</v>
      </c>
      <c r="N241">
        <v>3.7262867518479612</v>
      </c>
      <c r="O241">
        <v>3.3599675478217592</v>
      </c>
    </row>
    <row r="242" spans="1:15">
      <c r="A242" s="19">
        <v>43494</v>
      </c>
      <c r="B242">
        <v>2501</v>
      </c>
      <c r="C242">
        <v>2530</v>
      </c>
      <c r="D242">
        <v>680</v>
      </c>
      <c r="E242">
        <v>691</v>
      </c>
      <c r="F242">
        <v>3.6613603473227201</v>
      </c>
      <c r="G242">
        <v>3.5406043860299601</v>
      </c>
      <c r="H242">
        <v>8.9927575393680195E-2</v>
      </c>
      <c r="I242">
        <v>1.3428134892340999</v>
      </c>
      <c r="J242">
        <v>3.3</v>
      </c>
      <c r="L242">
        <v>3.6305319614236402</v>
      </c>
      <c r="M242">
        <v>3.45067681063628</v>
      </c>
      <c r="N242">
        <v>3.7204595368173203</v>
      </c>
      <c r="O242">
        <v>3.3607492352425998</v>
      </c>
    </row>
    <row r="243" spans="1:15">
      <c r="A243" s="19">
        <v>43493</v>
      </c>
      <c r="B243">
        <v>2515</v>
      </c>
      <c r="C243">
        <v>2518</v>
      </c>
      <c r="D243">
        <v>685</v>
      </c>
      <c r="E243">
        <v>682</v>
      </c>
      <c r="F243">
        <v>3.69208211143695</v>
      </c>
      <c r="G243">
        <v>3.5379376168257299</v>
      </c>
      <c r="H243">
        <v>8.9270235519688004E-2</v>
      </c>
      <c r="I243">
        <v>1.72671768718727</v>
      </c>
      <c r="J243">
        <v>4.18</v>
      </c>
      <c r="L243">
        <v>3.6272078523454181</v>
      </c>
      <c r="M243">
        <v>3.4486673813060418</v>
      </c>
      <c r="N243">
        <v>3.7164780878651058</v>
      </c>
      <c r="O243">
        <v>3.3593971457863541</v>
      </c>
    </row>
    <row r="244" spans="1:15">
      <c r="A244" s="19">
        <v>43490</v>
      </c>
      <c r="B244">
        <v>2497</v>
      </c>
      <c r="C244">
        <v>2504</v>
      </c>
      <c r="D244">
        <v>674</v>
      </c>
      <c r="E244">
        <v>682</v>
      </c>
      <c r="F244">
        <v>3.6715542521994098</v>
      </c>
      <c r="G244">
        <v>3.5355403221703701</v>
      </c>
      <c r="H244">
        <v>8.7495114187896003E-2</v>
      </c>
      <c r="I244">
        <v>1.5545317163304799</v>
      </c>
      <c r="J244">
        <v>3.7</v>
      </c>
      <c r="L244">
        <v>3.6230354363582662</v>
      </c>
      <c r="M244">
        <v>3.4480452079824739</v>
      </c>
      <c r="N244">
        <v>3.7105305505461619</v>
      </c>
      <c r="O244">
        <v>3.3605500937945783</v>
      </c>
    </row>
    <row r="245" spans="1:15">
      <c r="A245" s="19">
        <v>43489</v>
      </c>
      <c r="B245">
        <v>2500</v>
      </c>
      <c r="C245">
        <v>2503</v>
      </c>
      <c r="D245">
        <v>678</v>
      </c>
      <c r="E245">
        <v>680</v>
      </c>
      <c r="F245">
        <v>3.6808823529411701</v>
      </c>
      <c r="G245">
        <v>3.53371270225598</v>
      </c>
      <c r="H245">
        <v>8.6054667910875599E-2</v>
      </c>
      <c r="I245">
        <v>1.7101878870488001</v>
      </c>
      <c r="J245">
        <v>4</v>
      </c>
      <c r="L245">
        <v>3.6197673701668558</v>
      </c>
      <c r="M245">
        <v>3.4476580343451042</v>
      </c>
      <c r="N245">
        <v>3.7058220380777311</v>
      </c>
      <c r="O245">
        <v>3.3616033664342289</v>
      </c>
    </row>
    <row r="246" spans="1:15">
      <c r="A246" s="19">
        <v>43488</v>
      </c>
      <c r="B246">
        <v>2480</v>
      </c>
      <c r="C246">
        <v>2501</v>
      </c>
      <c r="D246">
        <v>690</v>
      </c>
      <c r="E246">
        <v>685</v>
      </c>
      <c r="F246">
        <v>3.6510948905109402</v>
      </c>
      <c r="G246">
        <v>3.5320361709247399</v>
      </c>
      <c r="H246">
        <v>8.4379694530323901E-2</v>
      </c>
      <c r="I246">
        <v>1.41098780042889</v>
      </c>
      <c r="J246">
        <v>3.26</v>
      </c>
      <c r="L246">
        <v>3.616415865455064</v>
      </c>
      <c r="M246">
        <v>3.4476564763944157</v>
      </c>
      <c r="N246">
        <v>3.7007955599853877</v>
      </c>
      <c r="O246">
        <v>3.3632767818640921</v>
      </c>
    </row>
    <row r="247" spans="1:15">
      <c r="A247" s="19">
        <v>43487</v>
      </c>
      <c r="B247">
        <v>2510</v>
      </c>
      <c r="C247">
        <v>2498</v>
      </c>
      <c r="D247">
        <v>707</v>
      </c>
      <c r="E247">
        <v>694</v>
      </c>
      <c r="F247">
        <v>3.5994236311239098</v>
      </c>
      <c r="G247">
        <v>3.5301191333601998</v>
      </c>
      <c r="H247">
        <v>8.3279080309105899E-2</v>
      </c>
      <c r="I247">
        <v>0.83219576280709895</v>
      </c>
      <c r="J247">
        <v>1.93</v>
      </c>
      <c r="L247">
        <v>3.6133982136693055</v>
      </c>
      <c r="M247">
        <v>3.4468400530510941</v>
      </c>
      <c r="N247">
        <v>3.6966772939784116</v>
      </c>
      <c r="O247">
        <v>3.363560972741988</v>
      </c>
    </row>
    <row r="248" spans="1:15">
      <c r="A248" s="19">
        <v>43486</v>
      </c>
      <c r="B248">
        <v>2515</v>
      </c>
      <c r="C248">
        <v>2515</v>
      </c>
      <c r="D248">
        <v>706</v>
      </c>
      <c r="E248">
        <v>702</v>
      </c>
      <c r="F248">
        <v>3.5826210826210798</v>
      </c>
      <c r="G248">
        <v>3.5294808555456298</v>
      </c>
      <c r="H248">
        <v>8.2928171717817398E-2</v>
      </c>
      <c r="I248">
        <v>0.64079824714171596</v>
      </c>
      <c r="J248">
        <v>1.48</v>
      </c>
      <c r="L248">
        <v>3.612409027263447</v>
      </c>
      <c r="M248">
        <v>3.4465526838278127</v>
      </c>
      <c r="N248">
        <v>3.6953371989812647</v>
      </c>
      <c r="O248">
        <v>3.363624512109995</v>
      </c>
    </row>
    <row r="249" spans="1:15">
      <c r="A249" s="19">
        <v>43483</v>
      </c>
      <c r="B249">
        <v>2482</v>
      </c>
      <c r="C249">
        <v>2486</v>
      </c>
      <c r="D249">
        <v>686</v>
      </c>
      <c r="E249">
        <v>699</v>
      </c>
      <c r="F249">
        <v>3.5565092989985598</v>
      </c>
      <c r="G249">
        <v>3.5283872443119702</v>
      </c>
      <c r="H249">
        <v>8.2760830681736106E-2</v>
      </c>
      <c r="I249">
        <v>0.339799086777473</v>
      </c>
      <c r="J249">
        <v>0.79</v>
      </c>
      <c r="L249">
        <v>3.6111480749937064</v>
      </c>
      <c r="M249">
        <v>3.4456264136302339</v>
      </c>
      <c r="N249">
        <v>3.6939089056754422</v>
      </c>
      <c r="O249">
        <v>3.3628655829484981</v>
      </c>
    </row>
    <row r="250" spans="1:15">
      <c r="A250" s="19">
        <v>43482</v>
      </c>
      <c r="B250">
        <v>2519</v>
      </c>
      <c r="C250">
        <v>2463</v>
      </c>
      <c r="D250">
        <v>688</v>
      </c>
      <c r="E250">
        <v>685</v>
      </c>
      <c r="F250">
        <v>3.5956204379562</v>
      </c>
      <c r="G250">
        <v>3.5275052729357599</v>
      </c>
      <c r="H250">
        <v>8.2808888654592405E-2</v>
      </c>
      <c r="I250">
        <v>0.822558618128022</v>
      </c>
      <c r="J250">
        <v>1.89</v>
      </c>
      <c r="L250">
        <v>3.6103141615903525</v>
      </c>
      <c r="M250">
        <v>3.4446963842811673</v>
      </c>
      <c r="N250">
        <v>3.6931230502449446</v>
      </c>
      <c r="O250">
        <v>3.3618874956265752</v>
      </c>
    </row>
    <row r="251" spans="1:15">
      <c r="A251" s="19">
        <v>43481</v>
      </c>
      <c r="B251">
        <v>2499</v>
      </c>
      <c r="C251">
        <v>2473</v>
      </c>
      <c r="D251">
        <v>704</v>
      </c>
      <c r="E251">
        <v>685</v>
      </c>
      <c r="F251">
        <v>3.6102189781021798</v>
      </c>
      <c r="G251">
        <v>3.5265251740578498</v>
      </c>
      <c r="H251">
        <v>8.2431042626997394E-2</v>
      </c>
      <c r="I251">
        <v>1.01531900334015</v>
      </c>
      <c r="J251">
        <v>2.3199999999999998</v>
      </c>
      <c r="L251">
        <v>3.608956216684847</v>
      </c>
      <c r="M251">
        <v>3.4440941314308526</v>
      </c>
      <c r="N251">
        <v>3.6913872593118446</v>
      </c>
      <c r="O251">
        <v>3.361663088803855</v>
      </c>
    </row>
    <row r="252" spans="1:15">
      <c r="A252" s="19">
        <v>43480</v>
      </c>
      <c r="B252">
        <v>2440</v>
      </c>
      <c r="C252">
        <v>2483</v>
      </c>
      <c r="D252">
        <v>680</v>
      </c>
      <c r="E252">
        <v>698</v>
      </c>
      <c r="F252">
        <v>3.5573065902578702</v>
      </c>
      <c r="G252">
        <v>3.5249471187636701</v>
      </c>
      <c r="H252">
        <v>8.1945158595853301E-2</v>
      </c>
      <c r="I252">
        <v>0.394891803844022</v>
      </c>
      <c r="J252">
        <v>0.91</v>
      </c>
      <c r="L252">
        <v>3.6068922773595236</v>
      </c>
      <c r="M252">
        <v>3.4430019601678166</v>
      </c>
      <c r="N252">
        <v>3.6888374359553766</v>
      </c>
      <c r="O252">
        <v>3.3610568015719635</v>
      </c>
    </row>
    <row r="253" spans="1:15">
      <c r="A253" s="19">
        <v>43476</v>
      </c>
      <c r="B253">
        <v>2471</v>
      </c>
      <c r="C253">
        <v>2439</v>
      </c>
      <c r="D253">
        <v>693</v>
      </c>
      <c r="E253">
        <v>688</v>
      </c>
      <c r="F253">
        <v>3.5450581395348801</v>
      </c>
      <c r="G253">
        <v>3.5234144427565601</v>
      </c>
      <c r="H253">
        <v>8.2399326035723294E-2</v>
      </c>
      <c r="I253">
        <v>0.26266837144925897</v>
      </c>
      <c r="J253">
        <v>0.61</v>
      </c>
      <c r="L253">
        <v>3.6058137687922835</v>
      </c>
      <c r="M253">
        <v>3.4410151167208367</v>
      </c>
      <c r="N253">
        <v>3.6882130948280065</v>
      </c>
      <c r="O253">
        <v>3.3586157906851137</v>
      </c>
    </row>
    <row r="254" spans="1:15">
      <c r="A254" s="19">
        <v>43475</v>
      </c>
      <c r="B254">
        <v>2491</v>
      </c>
      <c r="C254">
        <v>2504</v>
      </c>
      <c r="D254">
        <v>686</v>
      </c>
      <c r="E254">
        <v>689</v>
      </c>
      <c r="F254">
        <v>3.63425253991291</v>
      </c>
      <c r="G254">
        <v>3.52222444197354</v>
      </c>
      <c r="H254">
        <v>8.2721994879355998E-2</v>
      </c>
      <c r="I254">
        <v>1.35427219934386</v>
      </c>
      <c r="J254">
        <v>3.08</v>
      </c>
      <c r="L254">
        <v>3.6049464368528961</v>
      </c>
      <c r="M254">
        <v>3.439502447094184</v>
      </c>
      <c r="N254">
        <v>3.6876684317322521</v>
      </c>
      <c r="O254">
        <v>3.3567804522148279</v>
      </c>
    </row>
    <row r="255" spans="1:15">
      <c r="A255" s="19">
        <v>43474</v>
      </c>
      <c r="B255">
        <v>2554</v>
      </c>
      <c r="C255">
        <v>2521</v>
      </c>
      <c r="D255">
        <v>703</v>
      </c>
      <c r="E255">
        <v>687</v>
      </c>
      <c r="F255">
        <v>3.6695778748180401</v>
      </c>
      <c r="G255">
        <v>3.5196460619212302</v>
      </c>
      <c r="H255">
        <v>8.2202078101085596E-2</v>
      </c>
      <c r="I255">
        <v>1.82394188030677</v>
      </c>
      <c r="J255">
        <v>4.09</v>
      </c>
      <c r="L255">
        <v>3.6018481400223159</v>
      </c>
      <c r="M255">
        <v>3.4374439838201445</v>
      </c>
      <c r="N255">
        <v>3.6840502181234012</v>
      </c>
      <c r="O255">
        <v>3.3552419057190592</v>
      </c>
    </row>
    <row r="256" spans="1:15">
      <c r="A256" s="19">
        <v>43473</v>
      </c>
      <c r="B256">
        <v>2533</v>
      </c>
      <c r="C256">
        <v>2559</v>
      </c>
      <c r="D256">
        <v>698</v>
      </c>
      <c r="E256">
        <v>701</v>
      </c>
      <c r="F256">
        <v>3.65049928673323</v>
      </c>
      <c r="G256">
        <v>3.5162522955315199</v>
      </c>
      <c r="H256">
        <v>8.1190028157449995E-2</v>
      </c>
      <c r="I256">
        <v>1.6534911275233199</v>
      </c>
      <c r="J256">
        <v>3.68</v>
      </c>
      <c r="L256">
        <v>3.5974423236889699</v>
      </c>
      <c r="M256">
        <v>3.4350622673740698</v>
      </c>
      <c r="N256">
        <v>3.6786323518464199</v>
      </c>
      <c r="O256">
        <v>3.3538722392166198</v>
      </c>
    </row>
    <row r="257" spans="1:15">
      <c r="A257" s="19">
        <v>43472</v>
      </c>
      <c r="B257">
        <v>2542</v>
      </c>
      <c r="C257">
        <v>2538</v>
      </c>
      <c r="D257">
        <v>714</v>
      </c>
      <c r="E257">
        <v>704</v>
      </c>
      <c r="F257">
        <v>3.60511363636363</v>
      </c>
      <c r="G257">
        <v>3.5128309610983299</v>
      </c>
      <c r="H257">
        <v>8.08666935986775E-2</v>
      </c>
      <c r="I257">
        <v>1.1411703775509501</v>
      </c>
      <c r="J257">
        <v>2.56</v>
      </c>
      <c r="L257">
        <v>3.5936976546970074</v>
      </c>
      <c r="M257">
        <v>3.4319642674996524</v>
      </c>
      <c r="N257">
        <v>3.6745643482956849</v>
      </c>
      <c r="O257">
        <v>3.351097573900975</v>
      </c>
    </row>
    <row r="258" spans="1:15">
      <c r="A258" s="19">
        <v>43469</v>
      </c>
      <c r="B258">
        <v>2454</v>
      </c>
      <c r="C258">
        <v>2467</v>
      </c>
      <c r="D258">
        <v>676</v>
      </c>
      <c r="E258">
        <v>690</v>
      </c>
      <c r="F258">
        <v>3.5753623188405799</v>
      </c>
      <c r="G258">
        <v>3.5105199536730902</v>
      </c>
      <c r="H258">
        <v>8.0672833913958603E-2</v>
      </c>
      <c r="I258">
        <v>0.803769522174553</v>
      </c>
      <c r="J258">
        <v>1.81</v>
      </c>
      <c r="L258">
        <v>3.5911927875870489</v>
      </c>
      <c r="M258">
        <v>3.4298471197591316</v>
      </c>
      <c r="N258">
        <v>3.6718656215010075</v>
      </c>
      <c r="O258">
        <v>3.349174285845173</v>
      </c>
    </row>
    <row r="259" spans="1:15">
      <c r="A259" s="19">
        <v>43462</v>
      </c>
      <c r="B259">
        <v>2477</v>
      </c>
      <c r="C259">
        <v>2503</v>
      </c>
      <c r="D259">
        <v>683</v>
      </c>
      <c r="E259">
        <v>686</v>
      </c>
      <c r="F259">
        <v>3.64868804664723</v>
      </c>
      <c r="G259">
        <v>3.508886526031</v>
      </c>
      <c r="H259">
        <v>8.0583583081212606E-2</v>
      </c>
      <c r="I259">
        <v>1.7348635450391401</v>
      </c>
      <c r="J259">
        <v>3.83</v>
      </c>
      <c r="L259">
        <v>3.5894701091122125</v>
      </c>
      <c r="M259">
        <v>3.4283029429497875</v>
      </c>
      <c r="N259">
        <v>3.6700536921934255</v>
      </c>
      <c r="O259">
        <v>3.3477193598685746</v>
      </c>
    </row>
    <row r="260" spans="1:15">
      <c r="A260" s="19">
        <v>43461</v>
      </c>
      <c r="B260">
        <v>2408</v>
      </c>
      <c r="C260">
        <v>2483</v>
      </c>
      <c r="D260">
        <v>664</v>
      </c>
      <c r="E260">
        <v>687</v>
      </c>
      <c r="F260">
        <v>3.6142649199417698</v>
      </c>
      <c r="G260">
        <v>3.5061593378913001</v>
      </c>
      <c r="H260">
        <v>7.9256311076042404E-2</v>
      </c>
      <c r="I260">
        <v>1.3639996687045699</v>
      </c>
      <c r="J260">
        <v>2.99</v>
      </c>
      <c r="L260">
        <v>3.5854156489673423</v>
      </c>
      <c r="M260">
        <v>3.4269030268152578</v>
      </c>
      <c r="N260">
        <v>3.664671960043385</v>
      </c>
      <c r="O260">
        <v>3.3476467157392151</v>
      </c>
    </row>
    <row r="261" spans="1:15">
      <c r="A261" s="19">
        <v>43460</v>
      </c>
      <c r="B261">
        <v>2274</v>
      </c>
      <c r="C261">
        <v>2321</v>
      </c>
      <c r="D261">
        <v>636</v>
      </c>
      <c r="E261">
        <v>644</v>
      </c>
      <c r="F261">
        <v>3.6040372670807401</v>
      </c>
      <c r="G261">
        <v>3.50508263314999</v>
      </c>
      <c r="H261">
        <v>7.8323399755548806E-2</v>
      </c>
      <c r="I261">
        <v>1.26341086111679</v>
      </c>
      <c r="J261">
        <v>2.75</v>
      </c>
      <c r="L261">
        <v>3.5834060329055388</v>
      </c>
      <c r="M261">
        <v>3.4267592333944412</v>
      </c>
      <c r="N261">
        <v>3.6617294326610876</v>
      </c>
      <c r="O261">
        <v>3.3484358336388924</v>
      </c>
    </row>
    <row r="262" spans="1:15">
      <c r="A262" s="19">
        <v>43459</v>
      </c>
      <c r="B262">
        <v>2302</v>
      </c>
      <c r="C262">
        <v>2274</v>
      </c>
      <c r="D262">
        <v>639</v>
      </c>
      <c r="E262">
        <v>626</v>
      </c>
      <c r="F262">
        <v>3.6325878594249201</v>
      </c>
      <c r="G262">
        <v>3.50295276401862</v>
      </c>
      <c r="H262">
        <v>7.7773539556056703E-2</v>
      </c>
      <c r="I262">
        <v>1.6668277687536499</v>
      </c>
      <c r="J262">
        <v>3.57</v>
      </c>
      <c r="L262">
        <v>3.5807263035746768</v>
      </c>
      <c r="M262">
        <v>3.4251792244625632</v>
      </c>
      <c r="N262">
        <v>3.6584998431307332</v>
      </c>
      <c r="O262">
        <v>3.3474056849065068</v>
      </c>
    </row>
    <row r="263" spans="1:15">
      <c r="A263" s="19">
        <v>43455</v>
      </c>
      <c r="B263">
        <v>2400</v>
      </c>
      <c r="C263">
        <v>2352</v>
      </c>
      <c r="D263">
        <v>669</v>
      </c>
      <c r="E263">
        <v>650</v>
      </c>
      <c r="F263">
        <v>3.61846153846153</v>
      </c>
      <c r="G263">
        <v>3.50054492589295</v>
      </c>
      <c r="H263">
        <v>7.6507982938426894E-2</v>
      </c>
      <c r="I263">
        <v>1.5412327974125</v>
      </c>
      <c r="J263">
        <v>3.26</v>
      </c>
      <c r="L263">
        <v>3.5770529088313769</v>
      </c>
      <c r="M263">
        <v>3.424036942954523</v>
      </c>
      <c r="N263">
        <v>3.6535608917698039</v>
      </c>
      <c r="O263">
        <v>3.347528960016096</v>
      </c>
    </row>
    <row r="264" spans="1:15">
      <c r="A264" s="19">
        <v>43454</v>
      </c>
      <c r="B264">
        <v>2491</v>
      </c>
      <c r="C264">
        <v>2412</v>
      </c>
      <c r="D264">
        <v>686</v>
      </c>
      <c r="E264">
        <v>670</v>
      </c>
      <c r="F264">
        <v>3.6</v>
      </c>
      <c r="G264">
        <v>3.49842680736689</v>
      </c>
      <c r="H264">
        <v>7.5405200488931998E-2</v>
      </c>
      <c r="I264">
        <v>1.3470316632606201</v>
      </c>
      <c r="J264">
        <v>2.82</v>
      </c>
      <c r="L264">
        <v>3.5738320078558221</v>
      </c>
      <c r="M264">
        <v>3.423021606877958</v>
      </c>
      <c r="N264">
        <v>3.6492372083447542</v>
      </c>
      <c r="O264">
        <v>3.3476164063890259</v>
      </c>
    </row>
    <row r="265" spans="1:15">
      <c r="A265" s="19">
        <v>43453</v>
      </c>
      <c r="B265">
        <v>2495</v>
      </c>
      <c r="C265">
        <v>2506</v>
      </c>
      <c r="D265">
        <v>672</v>
      </c>
      <c r="E265">
        <v>687</v>
      </c>
      <c r="F265">
        <v>3.6477438136826699</v>
      </c>
      <c r="G265">
        <v>3.4963853565896899</v>
      </c>
      <c r="H265">
        <v>7.4696904146645995E-2</v>
      </c>
      <c r="I265">
        <v>2.02630160944606</v>
      </c>
      <c r="J265">
        <v>4.1500000000000004</v>
      </c>
      <c r="L265">
        <v>3.5710822607363357</v>
      </c>
      <c r="M265">
        <v>3.421688452443044</v>
      </c>
      <c r="N265">
        <v>3.645779164882982</v>
      </c>
      <c r="O265">
        <v>3.3469915482963977</v>
      </c>
    </row>
    <row r="266" spans="1:15">
      <c r="A266" s="19">
        <v>43452</v>
      </c>
      <c r="B266">
        <v>2472</v>
      </c>
      <c r="C266">
        <v>2483</v>
      </c>
      <c r="D266">
        <v>679</v>
      </c>
      <c r="E266">
        <v>673</v>
      </c>
      <c r="F266">
        <v>3.68945022288261</v>
      </c>
      <c r="G266">
        <v>3.4938484287646401</v>
      </c>
      <c r="H266">
        <v>7.2718090822059697E-2</v>
      </c>
      <c r="I266">
        <v>2.6898642677048099</v>
      </c>
      <c r="J266">
        <v>5.3</v>
      </c>
      <c r="L266">
        <v>3.5665665195866998</v>
      </c>
      <c r="M266">
        <v>3.4211303379425804</v>
      </c>
      <c r="N266">
        <v>3.6392846104087595</v>
      </c>
      <c r="O266">
        <v>3.3484122471205207</v>
      </c>
    </row>
    <row r="267" spans="1:15">
      <c r="A267" s="19">
        <v>43451</v>
      </c>
      <c r="B267">
        <v>2490</v>
      </c>
      <c r="C267">
        <v>2532</v>
      </c>
      <c r="D267">
        <v>688</v>
      </c>
      <c r="E267">
        <v>688</v>
      </c>
      <c r="F267">
        <v>3.6802325581395299</v>
      </c>
      <c r="G267">
        <v>3.4910996323052998</v>
      </c>
      <c r="H267">
        <v>6.9077615482314197E-2</v>
      </c>
      <c r="I267">
        <v>2.7379770496371201</v>
      </c>
      <c r="J267">
        <v>5.14</v>
      </c>
      <c r="L267">
        <v>3.5601772477876139</v>
      </c>
      <c r="M267">
        <v>3.4220220168229858</v>
      </c>
      <c r="N267">
        <v>3.6292548632699284</v>
      </c>
      <c r="O267">
        <v>3.3529444013406713</v>
      </c>
    </row>
    <row r="268" spans="1:15">
      <c r="A268" s="19">
        <v>43448</v>
      </c>
      <c r="B268">
        <v>2563</v>
      </c>
      <c r="C268">
        <v>2481</v>
      </c>
      <c r="D268">
        <v>701</v>
      </c>
      <c r="E268">
        <v>688</v>
      </c>
      <c r="F268">
        <v>3.6061046511627901</v>
      </c>
      <c r="G268">
        <v>3.4891121159456899</v>
      </c>
      <c r="H268">
        <v>6.5667524446629696E-2</v>
      </c>
      <c r="I268">
        <v>1.7815889391747</v>
      </c>
      <c r="J268">
        <v>3.24</v>
      </c>
      <c r="L268">
        <v>3.5547796403923195</v>
      </c>
      <c r="M268">
        <v>3.4234445914990603</v>
      </c>
      <c r="N268">
        <v>3.6204471648389491</v>
      </c>
      <c r="O268">
        <v>3.3577770670524307</v>
      </c>
    </row>
    <row r="269" spans="1:15">
      <c r="A269" s="19">
        <v>43447</v>
      </c>
      <c r="B269">
        <v>2446</v>
      </c>
      <c r="C269">
        <v>2525</v>
      </c>
      <c r="D269">
        <v>687</v>
      </c>
      <c r="E269">
        <v>696</v>
      </c>
      <c r="F269">
        <v>3.6278735632183898</v>
      </c>
      <c r="G269">
        <v>3.4876544872206199</v>
      </c>
      <c r="H269">
        <v>6.4252523981998794E-2</v>
      </c>
      <c r="I269">
        <v>2.1823123405557499</v>
      </c>
      <c r="J269">
        <v>3.87</v>
      </c>
      <c r="L269">
        <v>3.5519070112026188</v>
      </c>
      <c r="M269">
        <v>3.423401963238621</v>
      </c>
      <c r="N269">
        <v>3.6161595351846176</v>
      </c>
      <c r="O269">
        <v>3.3591494392566221</v>
      </c>
    </row>
    <row r="270" spans="1:15">
      <c r="A270" s="19">
        <v>43446</v>
      </c>
      <c r="B270">
        <v>2380</v>
      </c>
      <c r="C270">
        <v>2419</v>
      </c>
      <c r="D270">
        <v>668</v>
      </c>
      <c r="E270">
        <v>681</v>
      </c>
      <c r="F270">
        <v>3.55212922173274</v>
      </c>
      <c r="G270">
        <v>3.4857333369008301</v>
      </c>
      <c r="H270">
        <v>6.2150973970330703E-2</v>
      </c>
      <c r="I270">
        <v>1.0682999893710901</v>
      </c>
      <c r="J270">
        <v>1.87</v>
      </c>
      <c r="L270">
        <v>3.5478843108711606</v>
      </c>
      <c r="M270">
        <v>3.4235823629304996</v>
      </c>
      <c r="N270">
        <v>3.6100352848414916</v>
      </c>
      <c r="O270">
        <v>3.3614313889601686</v>
      </c>
    </row>
    <row r="271" spans="1:15">
      <c r="A271" s="19">
        <v>43445</v>
      </c>
      <c r="B271">
        <v>2434</v>
      </c>
      <c r="C271">
        <v>2411</v>
      </c>
      <c r="D271">
        <v>685</v>
      </c>
      <c r="E271">
        <v>658</v>
      </c>
      <c r="F271">
        <v>3.6641337386018198</v>
      </c>
      <c r="G271">
        <v>3.4850032849855199</v>
      </c>
      <c r="H271">
        <v>6.1686618393372999E-2</v>
      </c>
      <c r="I271">
        <v>2.9038786414582498</v>
      </c>
      <c r="J271">
        <v>4.8899999999999997</v>
      </c>
      <c r="L271">
        <v>3.5466899033788928</v>
      </c>
      <c r="M271">
        <v>3.4233166665921471</v>
      </c>
      <c r="N271">
        <v>3.6083765217722661</v>
      </c>
      <c r="O271">
        <v>3.3616300481987738</v>
      </c>
    </row>
    <row r="272" spans="1:15">
      <c r="A272" s="19">
        <v>43444</v>
      </c>
      <c r="B272">
        <v>2468</v>
      </c>
      <c r="C272">
        <v>2447</v>
      </c>
      <c r="D272">
        <v>690</v>
      </c>
      <c r="E272">
        <v>686</v>
      </c>
      <c r="F272">
        <v>3.5670553935860001</v>
      </c>
      <c r="G272">
        <v>3.4825219841469699</v>
      </c>
      <c r="H272">
        <v>5.8068003102194503E-2</v>
      </c>
      <c r="I272">
        <v>1.45576573884007</v>
      </c>
      <c r="J272">
        <v>2.37</v>
      </c>
      <c r="L272">
        <v>3.5405899872491644</v>
      </c>
      <c r="M272">
        <v>3.4244539810447754</v>
      </c>
      <c r="N272">
        <v>3.5986579903513589</v>
      </c>
      <c r="O272">
        <v>3.3663859779425809</v>
      </c>
    </row>
    <row r="273" spans="1:15">
      <c r="A273" s="19">
        <v>43441</v>
      </c>
      <c r="B273">
        <v>2507</v>
      </c>
      <c r="C273">
        <v>2499</v>
      </c>
      <c r="D273">
        <v>711</v>
      </c>
      <c r="E273">
        <v>704</v>
      </c>
      <c r="F273">
        <v>3.5497159090908998</v>
      </c>
      <c r="G273">
        <v>3.4816105057921001</v>
      </c>
      <c r="H273">
        <v>5.7264918623062502E-2</v>
      </c>
      <c r="I273">
        <v>1.1893041138693199</v>
      </c>
      <c r="J273">
        <v>1.92</v>
      </c>
      <c r="L273">
        <v>3.5388754244151626</v>
      </c>
      <c r="M273">
        <v>3.4243455871690376</v>
      </c>
      <c r="N273">
        <v>3.5961403430382251</v>
      </c>
      <c r="O273">
        <v>3.3670806685459751</v>
      </c>
    </row>
    <row r="274" spans="1:15">
      <c r="A274" s="19">
        <v>43440</v>
      </c>
      <c r="B274">
        <v>2500</v>
      </c>
      <c r="C274">
        <v>2520</v>
      </c>
      <c r="D274">
        <v>728</v>
      </c>
      <c r="E274">
        <v>718</v>
      </c>
      <c r="F274">
        <v>3.50974930362116</v>
      </c>
      <c r="G274">
        <v>3.4809908608995999</v>
      </c>
      <c r="H274">
        <v>5.6773951764533301E-2</v>
      </c>
      <c r="I274">
        <v>0.50654290969281601</v>
      </c>
      <c r="J274">
        <v>0.82</v>
      </c>
      <c r="L274">
        <v>3.537764812664133</v>
      </c>
      <c r="M274">
        <v>3.4242169091350667</v>
      </c>
      <c r="N274">
        <v>3.5945387644286666</v>
      </c>
      <c r="O274">
        <v>3.3674429573705331</v>
      </c>
    </row>
    <row r="275" spans="1:15">
      <c r="A275" s="19">
        <v>43439</v>
      </c>
      <c r="B275">
        <v>2496</v>
      </c>
      <c r="C275">
        <v>2524</v>
      </c>
      <c r="D275">
        <v>719</v>
      </c>
      <c r="E275">
        <v>734</v>
      </c>
      <c r="F275">
        <v>3.4386920980926399</v>
      </c>
      <c r="G275">
        <v>3.48076697347103</v>
      </c>
      <c r="H275">
        <v>5.6693152887718201E-2</v>
      </c>
      <c r="I275">
        <v>-0.74215091656176502</v>
      </c>
      <c r="J275">
        <v>-1.22</v>
      </c>
      <c r="L275">
        <v>3.5374601263587482</v>
      </c>
      <c r="M275">
        <v>3.4240738205833119</v>
      </c>
      <c r="N275">
        <v>3.5941532792464663</v>
      </c>
      <c r="O275">
        <v>3.3673806676955937</v>
      </c>
    </row>
    <row r="276" spans="1:15">
      <c r="A276" s="19">
        <v>43438</v>
      </c>
      <c r="B276">
        <v>2615</v>
      </c>
      <c r="C276">
        <v>2521</v>
      </c>
      <c r="D276">
        <v>767</v>
      </c>
      <c r="E276">
        <v>734</v>
      </c>
      <c r="F276">
        <v>3.4346049046321498</v>
      </c>
      <c r="G276">
        <v>3.48136880198633</v>
      </c>
      <c r="H276">
        <v>5.6482497150574303E-2</v>
      </c>
      <c r="I276">
        <v>-0.827936081323002</v>
      </c>
      <c r="J276">
        <v>-1.36</v>
      </c>
      <c r="L276">
        <v>3.5378512991369044</v>
      </c>
      <c r="M276">
        <v>3.4248863048357556</v>
      </c>
      <c r="N276">
        <v>3.5943337962874788</v>
      </c>
      <c r="O276">
        <v>3.3684038076851812</v>
      </c>
    </row>
    <row r="277" spans="1:15">
      <c r="A277" s="19">
        <v>43437</v>
      </c>
      <c r="B277">
        <v>2660</v>
      </c>
      <c r="C277">
        <v>2650</v>
      </c>
      <c r="D277">
        <v>774</v>
      </c>
      <c r="E277">
        <v>768</v>
      </c>
      <c r="F277">
        <v>3.4505208333333299</v>
      </c>
      <c r="G277">
        <v>3.4819330442835401</v>
      </c>
      <c r="H277">
        <v>5.6223300152183103E-2</v>
      </c>
      <c r="I277">
        <v>-0.55870450267398997</v>
      </c>
      <c r="J277">
        <v>-0.91</v>
      </c>
      <c r="L277">
        <v>3.5381563444357234</v>
      </c>
      <c r="M277">
        <v>3.4257097441313569</v>
      </c>
      <c r="N277">
        <v>3.5943796445879062</v>
      </c>
      <c r="O277">
        <v>3.3694864439791741</v>
      </c>
    </row>
    <row r="278" spans="1:15">
      <c r="A278" s="19">
        <v>43434</v>
      </c>
      <c r="B278">
        <v>2590</v>
      </c>
      <c r="C278">
        <v>2618</v>
      </c>
      <c r="D278">
        <v>752</v>
      </c>
      <c r="E278">
        <v>764</v>
      </c>
      <c r="F278">
        <v>3.4267015706806201</v>
      </c>
      <c r="G278">
        <v>3.4815260998391002</v>
      </c>
      <c r="H278">
        <v>5.6558643983517197E-2</v>
      </c>
      <c r="I278">
        <v>-0.96933952614660301</v>
      </c>
      <c r="J278">
        <v>-1.6</v>
      </c>
      <c r="L278">
        <v>3.5380847438226173</v>
      </c>
      <c r="M278">
        <v>3.4249674558555832</v>
      </c>
      <c r="N278">
        <v>3.5946433878061348</v>
      </c>
      <c r="O278">
        <v>3.3684088118720656</v>
      </c>
    </row>
    <row r="279" spans="1:15">
      <c r="A279" s="19">
        <v>43433</v>
      </c>
      <c r="B279">
        <v>2604</v>
      </c>
      <c r="C279">
        <v>2572</v>
      </c>
      <c r="D279">
        <v>761</v>
      </c>
      <c r="E279">
        <v>760</v>
      </c>
      <c r="F279">
        <v>3.3842105263157798</v>
      </c>
      <c r="G279">
        <v>3.4809571511400401</v>
      </c>
      <c r="H279">
        <v>5.7316829050264799E-2</v>
      </c>
      <c r="I279">
        <v>-1.6879270264482</v>
      </c>
      <c r="J279">
        <v>-2.86</v>
      </c>
      <c r="L279">
        <v>3.5382739801903047</v>
      </c>
      <c r="M279">
        <v>3.4236403220897755</v>
      </c>
      <c r="N279">
        <v>3.5955908092405697</v>
      </c>
      <c r="O279">
        <v>3.3663234930395105</v>
      </c>
    </row>
    <row r="280" spans="1:15">
      <c r="A280" s="19">
        <v>43432</v>
      </c>
      <c r="B280">
        <v>2580</v>
      </c>
      <c r="C280">
        <v>2556</v>
      </c>
      <c r="D280">
        <v>751</v>
      </c>
      <c r="E280">
        <v>747</v>
      </c>
      <c r="F280">
        <v>3.4216867469879499</v>
      </c>
      <c r="G280">
        <v>3.4792150708207599</v>
      </c>
      <c r="H280">
        <v>6.2023206290686902E-2</v>
      </c>
      <c r="I280">
        <v>-0.92752902136645798</v>
      </c>
      <c r="J280">
        <v>-1.68</v>
      </c>
      <c r="L280">
        <v>3.5412382771114466</v>
      </c>
      <c r="M280">
        <v>3.4171918645300732</v>
      </c>
      <c r="N280">
        <v>3.6032614834021337</v>
      </c>
      <c r="O280">
        <v>3.355168658239386</v>
      </c>
    </row>
    <row r="281" spans="1:15">
      <c r="A281" s="19">
        <v>43431</v>
      </c>
      <c r="B281">
        <v>2571</v>
      </c>
      <c r="C281">
        <v>2592</v>
      </c>
      <c r="D281">
        <v>738</v>
      </c>
      <c r="E281">
        <v>738</v>
      </c>
      <c r="F281">
        <v>3.5121951219512102</v>
      </c>
      <c r="G281">
        <v>3.4760042552080801</v>
      </c>
      <c r="H281">
        <v>7.0563409283734099E-2</v>
      </c>
      <c r="I281">
        <v>0.512884327876168</v>
      </c>
      <c r="J281">
        <v>1.03</v>
      </c>
      <c r="L281">
        <v>3.546567664491814</v>
      </c>
      <c r="M281">
        <v>3.4054408459243461</v>
      </c>
      <c r="N281">
        <v>3.6171310737755484</v>
      </c>
      <c r="O281">
        <v>3.3348774366406118</v>
      </c>
    </row>
    <row r="282" spans="1:15">
      <c r="A282" s="19">
        <v>43430</v>
      </c>
      <c r="B282">
        <v>2547</v>
      </c>
      <c r="C282">
        <v>2553</v>
      </c>
      <c r="D282">
        <v>717</v>
      </c>
      <c r="E282">
        <v>733</v>
      </c>
      <c r="F282">
        <v>3.4829467939972698</v>
      </c>
      <c r="G282">
        <v>3.4709213802335399</v>
      </c>
      <c r="H282">
        <v>8.0765853926601794E-2</v>
      </c>
      <c r="I282">
        <v>0.14889230013781199</v>
      </c>
      <c r="J282">
        <v>0.35</v>
      </c>
      <c r="L282">
        <v>3.5516872341601418</v>
      </c>
      <c r="M282">
        <v>3.3901555263069381</v>
      </c>
      <c r="N282">
        <v>3.6324530880867436</v>
      </c>
      <c r="O282">
        <v>3.3093896723803362</v>
      </c>
    </row>
    <row r="283" spans="1:15">
      <c r="A283" s="19">
        <v>43426</v>
      </c>
      <c r="B283">
        <v>2519</v>
      </c>
      <c r="C283">
        <v>2550</v>
      </c>
      <c r="D283">
        <v>703</v>
      </c>
      <c r="E283">
        <v>715</v>
      </c>
      <c r="F283">
        <v>3.56643356643356</v>
      </c>
      <c r="G283">
        <v>3.4656995447257501</v>
      </c>
      <c r="H283">
        <v>9.1735127320611204E-2</v>
      </c>
      <c r="I283">
        <v>1.0980964942224101</v>
      </c>
      <c r="J283">
        <v>2.82</v>
      </c>
      <c r="L283">
        <v>3.5574346720463614</v>
      </c>
      <c r="M283">
        <v>3.3739644174051389</v>
      </c>
      <c r="N283">
        <v>3.6491697993669727</v>
      </c>
      <c r="O283">
        <v>3.2822292900845276</v>
      </c>
    </row>
    <row r="284" spans="1:15">
      <c r="A284" s="19">
        <v>43425</v>
      </c>
      <c r="B284">
        <v>2485</v>
      </c>
      <c r="C284">
        <v>2513</v>
      </c>
      <c r="D284">
        <v>713</v>
      </c>
      <c r="E284">
        <v>713</v>
      </c>
      <c r="F284">
        <v>3.52454417952314</v>
      </c>
      <c r="G284">
        <v>3.4603693193955301</v>
      </c>
      <c r="H284">
        <v>9.7179729725576494E-2</v>
      </c>
      <c r="I284">
        <v>0.66037290192957099</v>
      </c>
      <c r="J284">
        <v>1.82</v>
      </c>
      <c r="L284">
        <v>3.5575490491211066</v>
      </c>
      <c r="M284">
        <v>3.3631895896699535</v>
      </c>
      <c r="N284">
        <v>3.6547287788466831</v>
      </c>
      <c r="O284">
        <v>3.266009859944377</v>
      </c>
    </row>
    <row r="285" spans="1:15">
      <c r="A285" s="19">
        <v>43424</v>
      </c>
      <c r="B285">
        <v>2490</v>
      </c>
      <c r="C285">
        <v>2526</v>
      </c>
      <c r="D285">
        <v>722</v>
      </c>
      <c r="E285">
        <v>736</v>
      </c>
      <c r="F285">
        <v>3.4320652173913002</v>
      </c>
      <c r="G285">
        <v>3.4563907596313999</v>
      </c>
      <c r="H285">
        <v>0.100521610779731</v>
      </c>
      <c r="I285">
        <v>-0.24199315999222401</v>
      </c>
      <c r="J285">
        <v>-0.71</v>
      </c>
      <c r="L285">
        <v>3.5569123704111307</v>
      </c>
      <c r="M285">
        <v>3.355869148851669</v>
      </c>
      <c r="N285">
        <v>3.657433981190862</v>
      </c>
      <c r="O285">
        <v>3.2553475380719377</v>
      </c>
    </row>
    <row r="286" spans="1:15">
      <c r="A286" s="19">
        <v>43423</v>
      </c>
      <c r="B286">
        <v>2552</v>
      </c>
      <c r="C286">
        <v>2505</v>
      </c>
      <c r="D286">
        <v>730</v>
      </c>
      <c r="E286">
        <v>729</v>
      </c>
      <c r="F286">
        <v>3.4362139917695398</v>
      </c>
      <c r="G286">
        <v>3.45430077614213</v>
      </c>
      <c r="H286">
        <v>0.10261339332646</v>
      </c>
      <c r="I286">
        <v>-0.176261439040832</v>
      </c>
      <c r="J286">
        <v>-0.53</v>
      </c>
      <c r="L286">
        <v>3.5569141694685902</v>
      </c>
      <c r="M286">
        <v>3.3516873828156699</v>
      </c>
      <c r="N286">
        <v>3.6595275627950499</v>
      </c>
      <c r="O286">
        <v>3.2490739894892102</v>
      </c>
    </row>
    <row r="287" spans="1:15">
      <c r="A287" s="19">
        <v>43420</v>
      </c>
      <c r="B287">
        <v>2599</v>
      </c>
      <c r="C287">
        <v>2567</v>
      </c>
      <c r="D287">
        <v>728</v>
      </c>
      <c r="E287">
        <v>734</v>
      </c>
      <c r="F287">
        <v>3.4972752043596702</v>
      </c>
      <c r="G287">
        <v>3.4516421214707602</v>
      </c>
      <c r="H287">
        <v>0.105587624381145</v>
      </c>
      <c r="I287">
        <v>0.43218211562546899</v>
      </c>
      <c r="J287">
        <v>1.3</v>
      </c>
      <c r="L287">
        <v>3.5572297458519051</v>
      </c>
      <c r="M287">
        <v>3.3460544970896153</v>
      </c>
      <c r="N287">
        <v>3.66281737023305</v>
      </c>
      <c r="O287">
        <v>3.2404668727084704</v>
      </c>
    </row>
    <row r="288" spans="1:15">
      <c r="A288" s="19">
        <v>43419</v>
      </c>
      <c r="B288">
        <v>2615</v>
      </c>
      <c r="C288">
        <v>2633</v>
      </c>
      <c r="D288">
        <v>731</v>
      </c>
      <c r="E288">
        <v>730</v>
      </c>
      <c r="F288">
        <v>3.6068493150684899</v>
      </c>
      <c r="G288">
        <v>3.4484781791349102</v>
      </c>
      <c r="H288">
        <v>0.107706846757566</v>
      </c>
      <c r="I288">
        <v>1.47039060840814</v>
      </c>
      <c r="J288">
        <v>4.3899999999999997</v>
      </c>
      <c r="L288">
        <v>3.5561850258924763</v>
      </c>
      <c r="M288">
        <v>3.340771332377344</v>
      </c>
      <c r="N288">
        <v>3.663891872650042</v>
      </c>
      <c r="O288">
        <v>3.2330644856197783</v>
      </c>
    </row>
    <row r="289" spans="1:15">
      <c r="A289" s="19">
        <v>43418</v>
      </c>
      <c r="B289">
        <v>2620</v>
      </c>
      <c r="C289">
        <v>2650</v>
      </c>
      <c r="D289">
        <v>729</v>
      </c>
      <c r="E289">
        <v>740</v>
      </c>
      <c r="F289">
        <v>3.5810810810810798</v>
      </c>
      <c r="G289">
        <v>3.4434367874576099</v>
      </c>
      <c r="H289">
        <v>0.109016969360134</v>
      </c>
      <c r="I289">
        <v>1.2625951210289099</v>
      </c>
      <c r="J289">
        <v>3.84</v>
      </c>
      <c r="L289">
        <v>3.5524537568177439</v>
      </c>
      <c r="M289">
        <v>3.334419818097476</v>
      </c>
      <c r="N289">
        <v>3.6614707261778778</v>
      </c>
      <c r="O289">
        <v>3.2254028487373421</v>
      </c>
    </row>
    <row r="290" spans="1:15">
      <c r="A290" s="19">
        <v>43417</v>
      </c>
      <c r="B290">
        <v>2655</v>
      </c>
      <c r="C290">
        <v>2642</v>
      </c>
      <c r="D290">
        <v>729</v>
      </c>
      <c r="E290">
        <v>723</v>
      </c>
      <c r="F290">
        <v>3.65421853388658</v>
      </c>
      <c r="G290">
        <v>3.4398156995668598</v>
      </c>
      <c r="H290">
        <v>0.10889519720655599</v>
      </c>
      <c r="I290">
        <v>1.9688915564662599</v>
      </c>
      <c r="J290">
        <v>5.87</v>
      </c>
      <c r="L290">
        <v>3.5487108967734158</v>
      </c>
      <c r="M290">
        <v>3.3309205023603039</v>
      </c>
      <c r="N290">
        <v>3.6576060939799717</v>
      </c>
      <c r="O290">
        <v>3.222025305153748</v>
      </c>
    </row>
    <row r="291" spans="1:15">
      <c r="A291" s="19">
        <v>43416</v>
      </c>
      <c r="B291">
        <v>2680</v>
      </c>
      <c r="C291">
        <v>2705</v>
      </c>
      <c r="D291">
        <v>753</v>
      </c>
      <c r="E291">
        <v>754</v>
      </c>
      <c r="F291">
        <v>3.5875331564986701</v>
      </c>
      <c r="G291">
        <v>3.4354919711177598</v>
      </c>
      <c r="H291">
        <v>0.10671235709110501</v>
      </c>
      <c r="I291">
        <v>1.42477581346187</v>
      </c>
      <c r="J291">
        <v>4.24</v>
      </c>
      <c r="L291">
        <v>3.5422043282088649</v>
      </c>
      <c r="M291">
        <v>3.3287796140266548</v>
      </c>
      <c r="N291">
        <v>3.6489166852999699</v>
      </c>
      <c r="O291">
        <v>3.2220672569355497</v>
      </c>
    </row>
    <row r="292" spans="1:15">
      <c r="A292" s="19">
        <v>43413</v>
      </c>
      <c r="B292">
        <v>2715</v>
      </c>
      <c r="C292">
        <v>2705</v>
      </c>
      <c r="D292">
        <v>765</v>
      </c>
      <c r="E292">
        <v>775</v>
      </c>
      <c r="F292">
        <v>3.4903225806451599</v>
      </c>
      <c r="G292">
        <v>3.4323583351677902</v>
      </c>
      <c r="H292">
        <v>0.105647052031383</v>
      </c>
      <c r="I292">
        <v>0.54865937442486601</v>
      </c>
      <c r="J292">
        <v>1.66</v>
      </c>
      <c r="L292">
        <v>3.5380053871991732</v>
      </c>
      <c r="M292">
        <v>3.3267112831364072</v>
      </c>
      <c r="N292">
        <v>3.6436524392305563</v>
      </c>
      <c r="O292">
        <v>3.2210642311050242</v>
      </c>
    </row>
    <row r="293" spans="1:15">
      <c r="A293" s="19">
        <v>43412</v>
      </c>
      <c r="B293">
        <v>2734</v>
      </c>
      <c r="C293">
        <v>2709</v>
      </c>
      <c r="D293">
        <v>795</v>
      </c>
      <c r="E293">
        <v>771</v>
      </c>
      <c r="F293">
        <v>3.5136186770428002</v>
      </c>
      <c r="G293">
        <v>3.4311736008290699</v>
      </c>
      <c r="H293">
        <v>0.105488488482863</v>
      </c>
      <c r="I293">
        <v>0.78155519525834405</v>
      </c>
      <c r="J293">
        <v>2.35</v>
      </c>
      <c r="L293">
        <v>3.5366620893119327</v>
      </c>
      <c r="M293">
        <v>3.325685112346207</v>
      </c>
      <c r="N293">
        <v>3.642150577794796</v>
      </c>
      <c r="O293">
        <v>3.2201966238633437</v>
      </c>
    </row>
    <row r="294" spans="1:15">
      <c r="A294" s="19">
        <v>43411</v>
      </c>
      <c r="B294">
        <v>2721</v>
      </c>
      <c r="C294">
        <v>2699</v>
      </c>
      <c r="D294">
        <v>772</v>
      </c>
      <c r="E294">
        <v>774</v>
      </c>
      <c r="F294">
        <v>3.4870801033591698</v>
      </c>
      <c r="G294">
        <v>3.4290069597705202</v>
      </c>
      <c r="H294">
        <v>0.10544166209457299</v>
      </c>
      <c r="I294">
        <v>0.55076088933953804</v>
      </c>
      <c r="J294">
        <v>1.67</v>
      </c>
      <c r="L294">
        <v>3.534448621865093</v>
      </c>
      <c r="M294">
        <v>3.3235652976759473</v>
      </c>
      <c r="N294">
        <v>3.6398902839596663</v>
      </c>
      <c r="O294">
        <v>3.218123635581374</v>
      </c>
    </row>
    <row r="295" spans="1:15">
      <c r="A295" s="19">
        <v>43410</v>
      </c>
      <c r="B295">
        <v>2708</v>
      </c>
      <c r="C295">
        <v>2725</v>
      </c>
      <c r="D295">
        <v>773</v>
      </c>
      <c r="E295">
        <v>781</v>
      </c>
      <c r="F295">
        <v>3.4891165172855301</v>
      </c>
      <c r="G295">
        <v>3.42679274142654</v>
      </c>
      <c r="H295">
        <v>0.105941376800329</v>
      </c>
      <c r="I295">
        <v>0.58828550035220994</v>
      </c>
      <c r="J295">
        <v>1.79</v>
      </c>
      <c r="L295">
        <v>3.5327341182268688</v>
      </c>
      <c r="M295">
        <v>3.3208513646262112</v>
      </c>
      <c r="N295">
        <v>3.638675495027198</v>
      </c>
      <c r="O295">
        <v>3.214909987825882</v>
      </c>
    </row>
    <row r="296" spans="1:15">
      <c r="A296" s="19">
        <v>43409</v>
      </c>
      <c r="B296">
        <v>2696</v>
      </c>
      <c r="C296">
        <v>2708</v>
      </c>
      <c r="D296">
        <v>757</v>
      </c>
      <c r="E296">
        <v>779</v>
      </c>
      <c r="F296">
        <v>3.4762516046213001</v>
      </c>
      <c r="G296">
        <v>3.42473904876895</v>
      </c>
      <c r="H296">
        <v>0.106205903404451</v>
      </c>
      <c r="I296">
        <v>0.48502535359246601</v>
      </c>
      <c r="J296">
        <v>1.48</v>
      </c>
      <c r="L296">
        <v>3.5309449521734009</v>
      </c>
      <c r="M296">
        <v>3.3185331453644991</v>
      </c>
      <c r="N296">
        <v>3.6371508555778518</v>
      </c>
      <c r="O296">
        <v>3.2123272419600482</v>
      </c>
    </row>
    <row r="297" spans="1:15">
      <c r="A297" s="19">
        <v>43406</v>
      </c>
      <c r="B297">
        <v>2652</v>
      </c>
      <c r="C297">
        <v>2674</v>
      </c>
      <c r="D297">
        <v>772</v>
      </c>
      <c r="E297">
        <v>771</v>
      </c>
      <c r="F297">
        <v>3.4682230869001298</v>
      </c>
      <c r="G297">
        <v>3.4229727960957002</v>
      </c>
      <c r="H297">
        <v>0.106435800031859</v>
      </c>
      <c r="I297">
        <v>0.42514164210611599</v>
      </c>
      <c r="J297">
        <v>1.3</v>
      </c>
      <c r="L297">
        <v>3.529408596127559</v>
      </c>
      <c r="M297">
        <v>3.3165369960638413</v>
      </c>
      <c r="N297">
        <v>3.6358443961594182</v>
      </c>
      <c r="O297">
        <v>3.2101011960319821</v>
      </c>
    </row>
    <row r="298" spans="1:15">
      <c r="A298" s="19">
        <v>43405</v>
      </c>
      <c r="B298">
        <v>2623</v>
      </c>
      <c r="C298">
        <v>2642</v>
      </c>
      <c r="D298">
        <v>758</v>
      </c>
      <c r="E298">
        <v>772</v>
      </c>
      <c r="F298">
        <v>3.4222797927461102</v>
      </c>
      <c r="G298">
        <v>3.4209174966737299</v>
      </c>
      <c r="H298">
        <v>0.10702882162383399</v>
      </c>
      <c r="I298">
        <v>1.27283104841567E-2</v>
      </c>
      <c r="J298">
        <v>0.04</v>
      </c>
      <c r="L298">
        <v>3.5279463182975639</v>
      </c>
      <c r="M298">
        <v>3.3138886750498959</v>
      </c>
      <c r="N298">
        <v>3.6349751399213979</v>
      </c>
      <c r="O298">
        <v>3.2068598534260619</v>
      </c>
    </row>
    <row r="299" spans="1:15">
      <c r="A299" s="19">
        <v>43404</v>
      </c>
      <c r="B299">
        <v>2609</v>
      </c>
      <c r="C299">
        <v>2627</v>
      </c>
      <c r="D299">
        <v>766</v>
      </c>
      <c r="E299">
        <v>761</v>
      </c>
      <c r="F299">
        <v>3.45203679369251</v>
      </c>
      <c r="G299">
        <v>3.41982640929126</v>
      </c>
      <c r="H299">
        <v>0.107425745490141</v>
      </c>
      <c r="I299">
        <v>0.299838593200208</v>
      </c>
      <c r="J299">
        <v>0.93</v>
      </c>
      <c r="L299">
        <v>3.5272521547814009</v>
      </c>
      <c r="M299">
        <v>3.3124006638011192</v>
      </c>
      <c r="N299">
        <v>3.6346779002715421</v>
      </c>
      <c r="O299">
        <v>3.2049749183109779</v>
      </c>
    </row>
    <row r="300" spans="1:15">
      <c r="A300" s="19">
        <v>43403</v>
      </c>
      <c r="B300">
        <v>2532</v>
      </c>
      <c r="C300">
        <v>2642</v>
      </c>
      <c r="D300">
        <v>749</v>
      </c>
      <c r="E300">
        <v>762</v>
      </c>
      <c r="F300">
        <v>3.4671916010498598</v>
      </c>
      <c r="G300">
        <v>3.4182672619395098</v>
      </c>
      <c r="H300">
        <v>0.107794892816896</v>
      </c>
      <c r="I300">
        <v>0.45386509352955401</v>
      </c>
      <c r="J300">
        <v>1.41</v>
      </c>
      <c r="L300">
        <v>3.5260621547564059</v>
      </c>
      <c r="M300">
        <v>3.3104723691226137</v>
      </c>
      <c r="N300">
        <v>3.6338570475733016</v>
      </c>
      <c r="O300">
        <v>3.202677476305718</v>
      </c>
    </row>
    <row r="301" spans="1:15">
      <c r="A301" s="19">
        <v>43402</v>
      </c>
      <c r="B301">
        <v>2458</v>
      </c>
      <c r="C301">
        <v>2525</v>
      </c>
      <c r="D301">
        <v>748</v>
      </c>
      <c r="E301">
        <v>748</v>
      </c>
      <c r="F301">
        <v>3.3756684491978599</v>
      </c>
      <c r="G301">
        <v>3.4164356521130799</v>
      </c>
      <c r="H301">
        <v>0.10811462950978799</v>
      </c>
      <c r="I301">
        <v>-0.37707388075112303</v>
      </c>
      <c r="J301">
        <v>-1.21</v>
      </c>
      <c r="L301">
        <v>3.5245502816228678</v>
      </c>
      <c r="M301">
        <v>3.308321022603292</v>
      </c>
      <c r="N301">
        <v>3.6326649111326557</v>
      </c>
      <c r="O301">
        <v>3.2002063930935041</v>
      </c>
    </row>
    <row r="302" spans="1:15">
      <c r="A302" s="19">
        <v>43399</v>
      </c>
      <c r="B302">
        <v>2465</v>
      </c>
      <c r="C302">
        <v>2420</v>
      </c>
      <c r="D302">
        <v>739</v>
      </c>
      <c r="E302">
        <v>737</v>
      </c>
      <c r="F302">
        <v>3.2835820895522301</v>
      </c>
      <c r="G302">
        <v>3.41500841137037</v>
      </c>
      <c r="H302">
        <v>0.10934295374719</v>
      </c>
      <c r="I302">
        <v>-1.20196425388324</v>
      </c>
      <c r="J302">
        <v>-4</v>
      </c>
      <c r="L302">
        <v>3.52435136511756</v>
      </c>
      <c r="M302">
        <v>3.3056654576231801</v>
      </c>
      <c r="N302">
        <v>3.6336943188647499</v>
      </c>
      <c r="O302">
        <v>3.1963225038759902</v>
      </c>
    </row>
    <row r="303" spans="1:15">
      <c r="A303" s="19">
        <v>43398</v>
      </c>
      <c r="B303">
        <v>2571</v>
      </c>
      <c r="C303">
        <v>2436</v>
      </c>
      <c r="D303">
        <v>742</v>
      </c>
      <c r="E303">
        <v>729</v>
      </c>
      <c r="F303">
        <v>3.3415637860082299</v>
      </c>
      <c r="G303">
        <v>3.4148331868639699</v>
      </c>
      <c r="H303">
        <v>0.109563734088167</v>
      </c>
      <c r="I303">
        <v>-0.66873771203144305</v>
      </c>
      <c r="J303">
        <v>-2.19</v>
      </c>
      <c r="L303">
        <v>3.5243969209521371</v>
      </c>
      <c r="M303">
        <v>3.3052694527758026</v>
      </c>
      <c r="N303">
        <v>3.6339606550403039</v>
      </c>
      <c r="O303">
        <v>3.1957057186876359</v>
      </c>
    </row>
    <row r="304" spans="1:15">
      <c r="A304" s="19">
        <v>43397</v>
      </c>
      <c r="B304">
        <v>2677</v>
      </c>
      <c r="C304">
        <v>2717</v>
      </c>
      <c r="D304">
        <v>762</v>
      </c>
      <c r="E304">
        <v>770</v>
      </c>
      <c r="F304">
        <v>3.52857142857142</v>
      </c>
      <c r="G304">
        <v>3.41443670914372</v>
      </c>
      <c r="H304">
        <v>0.109881497971635</v>
      </c>
      <c r="I304">
        <v>1.0387073486854901</v>
      </c>
      <c r="J304">
        <v>3.23</v>
      </c>
      <c r="L304">
        <v>3.5243182071153552</v>
      </c>
      <c r="M304">
        <v>3.3045552111720848</v>
      </c>
      <c r="N304">
        <v>3.6341997050869899</v>
      </c>
      <c r="O304">
        <v>3.1946737132004501</v>
      </c>
    </row>
    <row r="305" spans="1:15">
      <c r="A305" s="19">
        <v>43396</v>
      </c>
      <c r="B305">
        <v>2741</v>
      </c>
      <c r="C305">
        <v>2670</v>
      </c>
      <c r="D305">
        <v>787</v>
      </c>
      <c r="E305">
        <v>750</v>
      </c>
      <c r="F305">
        <v>3.56</v>
      </c>
      <c r="G305">
        <v>3.4111841838911898</v>
      </c>
      <c r="H305">
        <v>0.110065124360938</v>
      </c>
      <c r="I305">
        <v>1.35207057615082</v>
      </c>
      <c r="J305">
        <v>4.18</v>
      </c>
      <c r="L305">
        <v>3.5212493082521279</v>
      </c>
      <c r="M305">
        <v>3.3011190595302518</v>
      </c>
      <c r="N305">
        <v>3.631314432613066</v>
      </c>
      <c r="O305">
        <v>3.1910539351693137</v>
      </c>
    </row>
    <row r="306" spans="1:15">
      <c r="A306" s="19">
        <v>43395</v>
      </c>
      <c r="B306">
        <v>2746</v>
      </c>
      <c r="C306">
        <v>2766</v>
      </c>
      <c r="D306">
        <v>785</v>
      </c>
      <c r="E306">
        <v>800</v>
      </c>
      <c r="F306">
        <v>3.4575</v>
      </c>
      <c r="G306">
        <v>3.4074275385464801</v>
      </c>
      <c r="H306">
        <v>0.109729447046714</v>
      </c>
      <c r="I306">
        <v>0.45632656320771903</v>
      </c>
      <c r="J306">
        <v>1.45</v>
      </c>
      <c r="L306">
        <v>3.5171569855931941</v>
      </c>
      <c r="M306">
        <v>3.297698091499766</v>
      </c>
      <c r="N306">
        <v>3.6268864326399082</v>
      </c>
      <c r="O306">
        <v>3.1879686444530519</v>
      </c>
    </row>
    <row r="307" spans="1:15">
      <c r="A307" s="19">
        <v>43392</v>
      </c>
      <c r="B307">
        <v>2747</v>
      </c>
      <c r="C307">
        <v>2760</v>
      </c>
      <c r="D307">
        <v>781</v>
      </c>
      <c r="E307">
        <v>794</v>
      </c>
      <c r="F307">
        <v>3.47607052896725</v>
      </c>
      <c r="G307">
        <v>3.4047869980059402</v>
      </c>
      <c r="H307">
        <v>0.11086963715072699</v>
      </c>
      <c r="I307" s="20">
        <v>0.64294907779300803</v>
      </c>
      <c r="J307">
        <v>2.0499999999999998</v>
      </c>
      <c r="L307">
        <v>3.5156566351566672</v>
      </c>
      <c r="M307">
        <v>3.2939173608552132</v>
      </c>
      <c r="N307">
        <v>3.6265262723073941</v>
      </c>
      <c r="O307">
        <v>3.1830477237044863</v>
      </c>
    </row>
    <row r="308" spans="1:15">
      <c r="A308" s="19">
        <v>43391</v>
      </c>
      <c r="B308">
        <v>2818</v>
      </c>
      <c r="C308">
        <v>2783</v>
      </c>
      <c r="D308">
        <v>814</v>
      </c>
      <c r="E308">
        <v>790</v>
      </c>
      <c r="F308">
        <v>3.5227848101265802</v>
      </c>
      <c r="G308">
        <v>3.4021715846852398</v>
      </c>
      <c r="H308">
        <v>0.111469248114035</v>
      </c>
      <c r="I308">
        <v>1.08203138966136</v>
      </c>
      <c r="J308">
        <v>3.42</v>
      </c>
      <c r="L308">
        <v>3.513640832799275</v>
      </c>
      <c r="M308">
        <v>3.2907023365712047</v>
      </c>
      <c r="N308">
        <v>3.6251100809133097</v>
      </c>
      <c r="O308">
        <v>3.17923308845717</v>
      </c>
    </row>
    <row r="309" spans="1:15">
      <c r="A309" s="19">
        <v>43390</v>
      </c>
      <c r="B309">
        <v>2854</v>
      </c>
      <c r="C309">
        <v>2847</v>
      </c>
      <c r="D309">
        <v>808</v>
      </c>
      <c r="E309">
        <v>813</v>
      </c>
      <c r="F309">
        <v>3.5018450184501799</v>
      </c>
      <c r="G309">
        <v>3.3991845230398501</v>
      </c>
      <c r="H309">
        <v>0.111198483596012</v>
      </c>
      <c r="I309">
        <v>0.92321848365578396</v>
      </c>
      <c r="J309">
        <v>2.93</v>
      </c>
      <c r="L309">
        <v>3.5103830066358621</v>
      </c>
      <c r="M309">
        <v>3.287986039443838</v>
      </c>
      <c r="N309">
        <v>3.6215814902318741</v>
      </c>
      <c r="O309">
        <v>3.176787555847826</v>
      </c>
    </row>
    <row r="310" spans="1:15">
      <c r="A310" s="19">
        <v>43389</v>
      </c>
      <c r="B310">
        <v>2700</v>
      </c>
      <c r="C310">
        <v>2754</v>
      </c>
      <c r="D310">
        <v>774</v>
      </c>
      <c r="E310">
        <v>793</v>
      </c>
      <c r="F310">
        <v>3.4728877679697301</v>
      </c>
      <c r="G310">
        <v>3.3965458149100298</v>
      </c>
      <c r="H310">
        <v>0.111079099520726</v>
      </c>
      <c r="I310">
        <v>0.68727558459780103</v>
      </c>
      <c r="J310">
        <v>2.2000000000000002</v>
      </c>
      <c r="L310">
        <v>3.5076249144307559</v>
      </c>
      <c r="M310">
        <v>3.2854667153893038</v>
      </c>
      <c r="N310">
        <v>3.6187040139514819</v>
      </c>
      <c r="O310">
        <v>3.1743876158685778</v>
      </c>
    </row>
    <row r="311" spans="1:15">
      <c r="A311" s="19">
        <v>43388</v>
      </c>
      <c r="B311">
        <v>2740</v>
      </c>
      <c r="C311">
        <v>2720</v>
      </c>
      <c r="D311">
        <v>786</v>
      </c>
      <c r="E311">
        <v>778</v>
      </c>
      <c r="F311">
        <v>3.4961439588688901</v>
      </c>
      <c r="G311">
        <v>3.3940227618338401</v>
      </c>
      <c r="H311">
        <v>0.111464818289831</v>
      </c>
      <c r="I311">
        <v>0.91617425661173901</v>
      </c>
      <c r="J311">
        <v>2.92</v>
      </c>
      <c r="L311">
        <v>3.5054875801236709</v>
      </c>
      <c r="M311">
        <v>3.2825579435440093</v>
      </c>
      <c r="N311">
        <v>3.6169523984135021</v>
      </c>
      <c r="O311">
        <v>3.1710931252541781</v>
      </c>
    </row>
    <row r="312" spans="1:15">
      <c r="A312" s="19">
        <v>43385</v>
      </c>
      <c r="B312">
        <v>2744</v>
      </c>
      <c r="C312">
        <v>2776</v>
      </c>
      <c r="D312">
        <v>784</v>
      </c>
      <c r="E312">
        <v>797</v>
      </c>
      <c r="F312">
        <v>3.4830614805520699</v>
      </c>
      <c r="G312">
        <v>3.3912289005338598</v>
      </c>
      <c r="H312">
        <v>0.111496186962054</v>
      </c>
      <c r="I312">
        <v>0.82363874963234496</v>
      </c>
      <c r="J312">
        <v>2.64</v>
      </c>
      <c r="L312">
        <v>3.5027250874959139</v>
      </c>
      <c r="M312">
        <v>3.2797327135718057</v>
      </c>
      <c r="N312">
        <v>3.614221274457968</v>
      </c>
      <c r="O312">
        <v>3.1682365266097516</v>
      </c>
    </row>
    <row r="313" spans="1:15">
      <c r="A313" s="19">
        <v>43384</v>
      </c>
      <c r="B313">
        <v>2788</v>
      </c>
      <c r="C313">
        <v>2773</v>
      </c>
      <c r="D313">
        <v>798</v>
      </c>
      <c r="E313">
        <v>789</v>
      </c>
      <c r="F313">
        <v>3.51457541191381</v>
      </c>
      <c r="G313">
        <v>3.3886477299159798</v>
      </c>
      <c r="H313">
        <v>0.111581133183892</v>
      </c>
      <c r="I313">
        <v>1.1285750413584299</v>
      </c>
      <c r="J313">
        <v>3.58</v>
      </c>
      <c r="L313">
        <v>3.5002288630998719</v>
      </c>
      <c r="M313">
        <v>3.2770665967320878</v>
      </c>
      <c r="N313">
        <v>3.611809996283764</v>
      </c>
      <c r="O313">
        <v>3.1654854635481957</v>
      </c>
    </row>
    <row r="314" spans="1:15">
      <c r="A314" s="19">
        <v>43383</v>
      </c>
      <c r="B314">
        <v>2819</v>
      </c>
      <c r="C314">
        <v>2870</v>
      </c>
      <c r="D314">
        <v>818</v>
      </c>
      <c r="E314">
        <v>820</v>
      </c>
      <c r="F314">
        <v>3.5</v>
      </c>
      <c r="G314">
        <v>3.3851443380207402</v>
      </c>
      <c r="H314">
        <v>0.111697175858239</v>
      </c>
      <c r="I314">
        <v>1.0282772245291401</v>
      </c>
      <c r="J314">
        <v>3.28</v>
      </c>
      <c r="L314">
        <v>3.4968415138789792</v>
      </c>
      <c r="M314">
        <v>3.2734471621625012</v>
      </c>
      <c r="N314">
        <v>3.6085386897372183</v>
      </c>
      <c r="O314">
        <v>3.1617499863042622</v>
      </c>
    </row>
    <row r="315" spans="1:15">
      <c r="A315" s="19">
        <v>43382</v>
      </c>
      <c r="B315">
        <v>2859</v>
      </c>
      <c r="C315">
        <v>2807</v>
      </c>
      <c r="D315">
        <v>820</v>
      </c>
      <c r="E315">
        <v>809</v>
      </c>
      <c r="F315">
        <v>3.4697156983930699</v>
      </c>
      <c r="G315">
        <v>3.3822990628390199</v>
      </c>
      <c r="H315">
        <v>0.11145286397982999</v>
      </c>
      <c r="I315">
        <v>0.78433727436448197</v>
      </c>
      <c r="J315">
        <v>2.52</v>
      </c>
      <c r="L315">
        <v>3.4937519268188497</v>
      </c>
      <c r="M315">
        <v>3.2708461988591901</v>
      </c>
      <c r="N315">
        <v>3.6052047907986799</v>
      </c>
      <c r="O315">
        <v>3.1593933348793599</v>
      </c>
    </row>
    <row r="316" spans="1:15">
      <c r="A316" s="19">
        <v>43378</v>
      </c>
      <c r="B316">
        <v>2854</v>
      </c>
      <c r="C316">
        <v>2879</v>
      </c>
      <c r="D316">
        <v>821</v>
      </c>
      <c r="E316">
        <v>821</v>
      </c>
      <c r="F316">
        <v>3.5066991473812399</v>
      </c>
      <c r="G316">
        <v>3.3803408689009702</v>
      </c>
      <c r="H316">
        <v>0.111189649592845</v>
      </c>
      <c r="I316">
        <v>1.1364212311394299</v>
      </c>
      <c r="J316">
        <v>3.6</v>
      </c>
      <c r="L316">
        <v>3.491530518493815</v>
      </c>
      <c r="M316">
        <v>3.2691512193081254</v>
      </c>
      <c r="N316">
        <v>3.6027201680866603</v>
      </c>
      <c r="O316">
        <v>3.1579615697152801</v>
      </c>
    </row>
    <row r="317" spans="1:15">
      <c r="A317" s="19">
        <v>43377</v>
      </c>
      <c r="B317">
        <v>2857</v>
      </c>
      <c r="C317">
        <v>2866</v>
      </c>
      <c r="D317">
        <v>822</v>
      </c>
      <c r="E317">
        <v>828</v>
      </c>
      <c r="F317">
        <v>3.4613526570048299</v>
      </c>
      <c r="G317">
        <v>3.3771237169115098</v>
      </c>
      <c r="H317">
        <v>0.110977545273397</v>
      </c>
      <c r="I317">
        <v>0.75897281640006797</v>
      </c>
      <c r="J317">
        <v>2.4300000000000002</v>
      </c>
      <c r="L317">
        <v>3.488101262184907</v>
      </c>
      <c r="M317">
        <v>3.2661461716381126</v>
      </c>
      <c r="N317">
        <v>3.5990788074583038</v>
      </c>
      <c r="O317">
        <v>3.1551686263647158</v>
      </c>
    </row>
    <row r="318" spans="1:15">
      <c r="A318" s="19">
        <v>43376</v>
      </c>
      <c r="B318">
        <v>2866</v>
      </c>
      <c r="C318">
        <v>2859</v>
      </c>
      <c r="D318">
        <v>818</v>
      </c>
      <c r="E318">
        <v>814</v>
      </c>
      <c r="F318">
        <v>3.5122850122850102</v>
      </c>
      <c r="G318">
        <v>3.3737281738859899</v>
      </c>
      <c r="H318">
        <v>0.11223728567267401</v>
      </c>
      <c r="I318">
        <v>1.2344991913212899</v>
      </c>
      <c r="J318">
        <v>3.94</v>
      </c>
      <c r="L318">
        <v>3.4859654595586638</v>
      </c>
      <c r="M318">
        <v>3.261490888213316</v>
      </c>
      <c r="N318">
        <v>3.5982027452313381</v>
      </c>
      <c r="O318">
        <v>3.1492536025406417</v>
      </c>
    </row>
    <row r="319" spans="1:15">
      <c r="A319" s="19">
        <v>43375</v>
      </c>
      <c r="B319">
        <v>2871</v>
      </c>
      <c r="C319">
        <v>2870</v>
      </c>
      <c r="D319">
        <v>820</v>
      </c>
      <c r="E319">
        <v>812</v>
      </c>
      <c r="F319">
        <v>3.5344827586206802</v>
      </c>
      <c r="G319">
        <v>3.3696777340460802</v>
      </c>
      <c r="H319">
        <v>0.112644683287059</v>
      </c>
      <c r="I319">
        <v>1.4630519591823099</v>
      </c>
      <c r="J319">
        <v>4.66</v>
      </c>
      <c r="L319">
        <v>3.4823224173331391</v>
      </c>
      <c r="M319">
        <v>3.2570330507590213</v>
      </c>
      <c r="N319">
        <v>3.594967100620198</v>
      </c>
      <c r="O319">
        <v>3.1443883674719624</v>
      </c>
    </row>
    <row r="320" spans="1:15">
      <c r="A320" s="19">
        <v>43374</v>
      </c>
      <c r="B320">
        <v>2876</v>
      </c>
      <c r="C320">
        <v>2869</v>
      </c>
      <c r="D320">
        <v>811</v>
      </c>
      <c r="E320">
        <v>807</v>
      </c>
      <c r="F320">
        <v>3.55514250309789</v>
      </c>
      <c r="G320">
        <v>3.36529323274834</v>
      </c>
      <c r="H320">
        <v>0.11254427575496601</v>
      </c>
      <c r="I320">
        <v>1.6868851754209899</v>
      </c>
      <c r="J320">
        <v>5.34</v>
      </c>
      <c r="L320">
        <v>3.4778375085033062</v>
      </c>
      <c r="M320">
        <v>3.2527489569933739</v>
      </c>
      <c r="N320">
        <v>3.5903817842582719</v>
      </c>
      <c r="O320">
        <v>3.1402046812384081</v>
      </c>
    </row>
    <row r="321" spans="1:15">
      <c r="A321" s="19">
        <v>43371</v>
      </c>
      <c r="B321">
        <v>2867</v>
      </c>
      <c r="C321">
        <v>2876</v>
      </c>
      <c r="D321">
        <v>820</v>
      </c>
      <c r="E321">
        <v>820</v>
      </c>
      <c r="F321">
        <v>3.5073170731707299</v>
      </c>
      <c r="G321">
        <v>3.36037630264692</v>
      </c>
      <c r="H321">
        <v>0.112197601315847</v>
      </c>
      <c r="I321">
        <v>1.30966053463261</v>
      </c>
      <c r="J321">
        <v>4.1900000000000004</v>
      </c>
      <c r="L321">
        <v>3.472573903962767</v>
      </c>
      <c r="M321">
        <v>3.248178701331073</v>
      </c>
      <c r="N321">
        <v>3.584771505278614</v>
      </c>
      <c r="O321">
        <v>3.135981100015226</v>
      </c>
    </row>
    <row r="322" spans="1:15">
      <c r="A322" s="19">
        <v>43370</v>
      </c>
      <c r="B322">
        <v>2916</v>
      </c>
      <c r="C322">
        <v>2859</v>
      </c>
      <c r="D322">
        <v>819</v>
      </c>
      <c r="E322">
        <v>805</v>
      </c>
      <c r="F322">
        <v>3.5515527950310499</v>
      </c>
      <c r="G322">
        <v>3.3564021487806301</v>
      </c>
      <c r="H322">
        <v>0.112201246877926</v>
      </c>
      <c r="I322">
        <v>1.73929124390873</v>
      </c>
      <c r="J322">
        <v>5.49</v>
      </c>
      <c r="L322">
        <v>3.468603395658556</v>
      </c>
      <c r="M322">
        <v>3.2442009019027043</v>
      </c>
      <c r="N322">
        <v>3.5808046425364823</v>
      </c>
      <c r="O322">
        <v>3.131999655024778</v>
      </c>
    </row>
    <row r="323" spans="1:15">
      <c r="A323" s="19">
        <v>43369</v>
      </c>
      <c r="B323">
        <v>2899</v>
      </c>
      <c r="C323">
        <v>2916</v>
      </c>
      <c r="D323">
        <v>827</v>
      </c>
      <c r="E323">
        <v>833</v>
      </c>
      <c r="F323">
        <v>3.5006002400960301</v>
      </c>
      <c r="G323">
        <v>3.3511814448468802</v>
      </c>
      <c r="H323">
        <v>0.112108865731395</v>
      </c>
      <c r="I323">
        <v>1.33280088309114</v>
      </c>
      <c r="J323">
        <v>4.2699999999999996</v>
      </c>
      <c r="L323">
        <v>3.4632903105782753</v>
      </c>
      <c r="M323">
        <v>3.2390725791154851</v>
      </c>
      <c r="N323">
        <v>3.57539917630967</v>
      </c>
      <c r="O323">
        <v>3.1269637133840904</v>
      </c>
    </row>
    <row r="324" spans="1:15">
      <c r="A324" s="19">
        <v>43368</v>
      </c>
      <c r="B324">
        <v>2868</v>
      </c>
      <c r="C324">
        <v>2897</v>
      </c>
      <c r="D324">
        <v>823</v>
      </c>
      <c r="E324">
        <v>830</v>
      </c>
      <c r="F324">
        <v>3.49036144578313</v>
      </c>
      <c r="G324">
        <v>3.3467402775170099</v>
      </c>
      <c r="H324">
        <v>0.112697753342137</v>
      </c>
      <c r="I324">
        <v>1.27439247018619</v>
      </c>
      <c r="J324">
        <v>4.1100000000000003</v>
      </c>
      <c r="L324">
        <v>3.4594380308591468</v>
      </c>
      <c r="M324">
        <v>3.2340425241748729</v>
      </c>
      <c r="N324">
        <v>3.5721357842012837</v>
      </c>
      <c r="O324">
        <v>3.121344770832736</v>
      </c>
    </row>
    <row r="325" spans="1:15">
      <c r="A325" s="19">
        <v>43364</v>
      </c>
      <c r="B325">
        <v>2810</v>
      </c>
      <c r="C325">
        <v>2867</v>
      </c>
      <c r="D325">
        <v>804</v>
      </c>
      <c r="E325">
        <v>814</v>
      </c>
      <c r="F325">
        <v>3.5221130221130199</v>
      </c>
      <c r="G325">
        <v>3.3432520574301798</v>
      </c>
      <c r="H325">
        <v>0.112246280089686</v>
      </c>
      <c r="I325">
        <v>1.5934689732249601</v>
      </c>
      <c r="J325">
        <v>5.08</v>
      </c>
      <c r="L325">
        <v>3.4554983375198658</v>
      </c>
      <c r="M325">
        <v>3.2310057773404939</v>
      </c>
      <c r="N325">
        <v>3.5677446176095517</v>
      </c>
      <c r="O325">
        <v>3.1187594972508079</v>
      </c>
    </row>
    <row r="326" spans="1:15">
      <c r="A326" s="19">
        <v>43363</v>
      </c>
      <c r="B326">
        <v>2772</v>
      </c>
      <c r="C326">
        <v>2790</v>
      </c>
      <c r="D326">
        <v>802</v>
      </c>
      <c r="E326">
        <v>799</v>
      </c>
      <c r="F326">
        <v>3.4918648310387899</v>
      </c>
      <c r="G326">
        <v>3.3396005271119802</v>
      </c>
      <c r="H326">
        <v>0.11081374812990701</v>
      </c>
      <c r="I326">
        <v>1.3740560760412901</v>
      </c>
      <c r="J326">
        <v>4.3600000000000003</v>
      </c>
      <c r="L326">
        <v>3.4504142752418874</v>
      </c>
      <c r="M326">
        <v>3.228786778982073</v>
      </c>
      <c r="N326">
        <v>3.5612280233717941</v>
      </c>
      <c r="O326">
        <v>3.1179730308521663</v>
      </c>
    </row>
    <row r="327" spans="1:15">
      <c r="A327" s="19">
        <v>43362</v>
      </c>
      <c r="B327">
        <v>2780</v>
      </c>
      <c r="C327">
        <v>2747</v>
      </c>
      <c r="D327">
        <v>803</v>
      </c>
      <c r="E327">
        <v>798</v>
      </c>
      <c r="F327">
        <v>3.4423558897243098</v>
      </c>
      <c r="G327">
        <v>3.3361399724624401</v>
      </c>
      <c r="H327">
        <v>0.110054674287257</v>
      </c>
      <c r="I327">
        <v>0.96511954580524295</v>
      </c>
      <c r="J327">
        <v>3.09</v>
      </c>
      <c r="L327">
        <v>3.4461946467496971</v>
      </c>
      <c r="M327">
        <v>3.2260852981751831</v>
      </c>
      <c r="N327">
        <v>3.5562493210369541</v>
      </c>
      <c r="O327">
        <v>3.1160306238879261</v>
      </c>
    </row>
    <row r="328" spans="1:15">
      <c r="A328" s="19">
        <v>43361</v>
      </c>
      <c r="B328">
        <v>2678</v>
      </c>
      <c r="C328">
        <v>2737</v>
      </c>
      <c r="D328">
        <v>775</v>
      </c>
      <c r="E328">
        <v>792</v>
      </c>
      <c r="F328">
        <v>3.45580808080808</v>
      </c>
      <c r="G328">
        <v>3.3339876681045202</v>
      </c>
      <c r="H328">
        <v>0.109533611320466</v>
      </c>
      <c r="I328">
        <v>1.11217379975848</v>
      </c>
      <c r="J328">
        <v>3.53</v>
      </c>
      <c r="L328">
        <v>3.4435212794249863</v>
      </c>
      <c r="M328">
        <v>3.2244540567840541</v>
      </c>
      <c r="N328">
        <v>3.553054890745452</v>
      </c>
      <c r="O328">
        <v>3.1149204454635884</v>
      </c>
    </row>
    <row r="329" spans="1:15">
      <c r="A329" s="19">
        <v>43357</v>
      </c>
      <c r="B329">
        <v>2645</v>
      </c>
      <c r="C329">
        <v>2677</v>
      </c>
      <c r="D329">
        <v>784</v>
      </c>
      <c r="E329">
        <v>778</v>
      </c>
      <c r="F329">
        <v>3.4408740359897099</v>
      </c>
      <c r="G329">
        <v>3.3312020665844799</v>
      </c>
      <c r="H329">
        <v>0.10905564802709899</v>
      </c>
      <c r="I329">
        <v>1.0056514393273399</v>
      </c>
      <c r="J329">
        <v>3.19</v>
      </c>
      <c r="L329">
        <v>3.4402577146115787</v>
      </c>
      <c r="M329">
        <v>3.2221464185573812</v>
      </c>
      <c r="N329">
        <v>3.5493133626386779</v>
      </c>
      <c r="O329">
        <v>3.1130907705302819</v>
      </c>
    </row>
    <row r="330" spans="1:15">
      <c r="A330" s="19">
        <v>43356</v>
      </c>
      <c r="B330">
        <v>2577</v>
      </c>
      <c r="C330">
        <v>2633</v>
      </c>
      <c r="D330">
        <v>756</v>
      </c>
      <c r="E330">
        <v>771</v>
      </c>
      <c r="F330">
        <v>3.4150453955901399</v>
      </c>
      <c r="G330">
        <v>3.32902590337671</v>
      </c>
      <c r="H330">
        <v>0.10847233261911</v>
      </c>
      <c r="I330">
        <v>0.79300859616868102</v>
      </c>
      <c r="J330">
        <v>2.52</v>
      </c>
      <c r="L330">
        <v>3.4374982359958199</v>
      </c>
      <c r="M330">
        <v>3.2205535707576001</v>
      </c>
      <c r="N330">
        <v>3.5459705686149299</v>
      </c>
      <c r="O330">
        <v>3.1120812381384901</v>
      </c>
    </row>
    <row r="331" spans="1:15">
      <c r="A331" s="19">
        <v>43355</v>
      </c>
      <c r="B331">
        <v>2580</v>
      </c>
      <c r="C331">
        <v>2559</v>
      </c>
      <c r="D331">
        <v>754</v>
      </c>
      <c r="E331">
        <v>754</v>
      </c>
      <c r="F331">
        <v>3.3938992042440299</v>
      </c>
      <c r="G331">
        <v>3.3263789940575501</v>
      </c>
      <c r="H331">
        <v>0.10876271831164901</v>
      </c>
      <c r="I331">
        <v>0.62080289307411995</v>
      </c>
      <c r="J331">
        <v>1.99</v>
      </c>
      <c r="L331">
        <v>3.435141712369199</v>
      </c>
      <c r="M331">
        <v>3.2176162757459013</v>
      </c>
      <c r="N331">
        <v>3.5439044306808483</v>
      </c>
      <c r="O331">
        <v>3.108853557434252</v>
      </c>
    </row>
    <row r="332" spans="1:15">
      <c r="A332" s="19">
        <v>43354</v>
      </c>
      <c r="B332">
        <v>2601</v>
      </c>
      <c r="C332">
        <v>2591</v>
      </c>
      <c r="D332">
        <v>755</v>
      </c>
      <c r="E332">
        <v>755</v>
      </c>
      <c r="F332">
        <v>3.43178807947019</v>
      </c>
      <c r="G332">
        <v>3.3235010557373301</v>
      </c>
      <c r="H332">
        <v>0.10978887939184701</v>
      </c>
      <c r="I332">
        <v>0.98632051199260296</v>
      </c>
      <c r="J332">
        <v>3.16</v>
      </c>
      <c r="L332">
        <v>3.433289935129177</v>
      </c>
      <c r="M332">
        <v>3.2137121763454832</v>
      </c>
      <c r="N332">
        <v>3.5430788145210244</v>
      </c>
      <c r="O332">
        <v>3.1039232969536359</v>
      </c>
    </row>
    <row r="333" spans="1:15">
      <c r="A333" s="19">
        <v>43353</v>
      </c>
      <c r="B333">
        <v>2580</v>
      </c>
      <c r="C333">
        <v>2600</v>
      </c>
      <c r="D333">
        <v>753</v>
      </c>
      <c r="E333">
        <v>753</v>
      </c>
      <c r="F333">
        <v>3.4528552456839301</v>
      </c>
      <c r="G333">
        <v>3.3193679004505001</v>
      </c>
      <c r="H333">
        <v>0.111456735297145</v>
      </c>
      <c r="I333">
        <v>1.1976606427376799</v>
      </c>
      <c r="J333">
        <v>3.87</v>
      </c>
      <c r="L333">
        <v>3.4308246357476451</v>
      </c>
      <c r="M333">
        <v>3.2079111651533552</v>
      </c>
      <c r="N333">
        <v>3.54228137104479</v>
      </c>
      <c r="O333">
        <v>3.0964544298562102</v>
      </c>
    </row>
    <row r="334" spans="1:15">
      <c r="A334" s="19">
        <v>43350</v>
      </c>
      <c r="B334">
        <v>2587</v>
      </c>
      <c r="C334">
        <v>2590</v>
      </c>
      <c r="D334">
        <v>758</v>
      </c>
      <c r="E334">
        <v>752</v>
      </c>
      <c r="F334">
        <v>3.44414893617021</v>
      </c>
      <c r="G334">
        <v>3.3137702709484902</v>
      </c>
      <c r="H334">
        <v>0.115094978980592</v>
      </c>
      <c r="I334">
        <v>1.1327919460648299</v>
      </c>
      <c r="J334">
        <v>3.79</v>
      </c>
      <c r="L334">
        <v>3.4288652499290824</v>
      </c>
      <c r="M334">
        <v>3.198675291967898</v>
      </c>
      <c r="N334">
        <v>3.5439602289096741</v>
      </c>
      <c r="O334">
        <v>3.0835803129873063</v>
      </c>
    </row>
    <row r="335" spans="1:15">
      <c r="A335" s="19">
        <v>43349</v>
      </c>
      <c r="B335">
        <v>2595</v>
      </c>
      <c r="C335">
        <v>2636</v>
      </c>
      <c r="D335">
        <v>739</v>
      </c>
      <c r="E335">
        <v>746</v>
      </c>
      <c r="F335">
        <v>3.5335120643431601</v>
      </c>
      <c r="G335">
        <v>3.3090604063450102</v>
      </c>
      <c r="H335">
        <v>0.116877078526718</v>
      </c>
      <c r="I335">
        <v>1.9204078406771501</v>
      </c>
      <c r="J335">
        <v>6.35</v>
      </c>
      <c r="L335">
        <v>3.4259374848717283</v>
      </c>
      <c r="M335">
        <v>3.1921833278182921</v>
      </c>
      <c r="N335">
        <v>3.542814563398446</v>
      </c>
      <c r="O335">
        <v>3.0753062492915744</v>
      </c>
    </row>
    <row r="336" spans="1:15">
      <c r="A336" s="19">
        <v>43348</v>
      </c>
      <c r="B336">
        <v>2602</v>
      </c>
      <c r="C336">
        <v>2597</v>
      </c>
      <c r="D336">
        <v>753</v>
      </c>
      <c r="E336">
        <v>754</v>
      </c>
      <c r="F336">
        <v>3.4442970822281098</v>
      </c>
      <c r="G336">
        <v>3.30363895953109</v>
      </c>
      <c r="H336">
        <v>0.11576510857693199</v>
      </c>
      <c r="I336">
        <v>1.2150303699110101</v>
      </c>
      <c r="J336">
        <v>4.08</v>
      </c>
      <c r="L336">
        <v>3.419404068108022</v>
      </c>
      <c r="M336">
        <v>3.187873850954158</v>
      </c>
      <c r="N336">
        <v>3.535169176684954</v>
      </c>
      <c r="O336">
        <v>3.072108742377226</v>
      </c>
    </row>
    <row r="337" spans="1:15">
      <c r="A337" s="19">
        <v>43347</v>
      </c>
      <c r="B337">
        <v>2600</v>
      </c>
      <c r="C337">
        <v>2589</v>
      </c>
      <c r="D337">
        <v>755</v>
      </c>
      <c r="E337">
        <v>750</v>
      </c>
      <c r="F337">
        <v>3.452</v>
      </c>
      <c r="G337">
        <v>3.29948370591771</v>
      </c>
      <c r="H337">
        <v>0.116233875571732</v>
      </c>
      <c r="I337">
        <v>1.31215012260482</v>
      </c>
      <c r="J337">
        <v>4.42</v>
      </c>
      <c r="L337">
        <v>3.4157175814894418</v>
      </c>
      <c r="M337">
        <v>3.1832498303459782</v>
      </c>
      <c r="N337">
        <v>3.5319514570611741</v>
      </c>
      <c r="O337">
        <v>3.0670159547742459</v>
      </c>
    </row>
    <row r="338" spans="1:15">
      <c r="A338" s="19">
        <v>43346</v>
      </c>
      <c r="B338">
        <v>2652</v>
      </c>
      <c r="C338">
        <v>2612</v>
      </c>
      <c r="D338">
        <v>770</v>
      </c>
      <c r="E338">
        <v>755</v>
      </c>
      <c r="F338">
        <v>3.4596026490066198</v>
      </c>
      <c r="G338">
        <v>3.2950304539678998</v>
      </c>
      <c r="H338">
        <v>0.11670241805179001</v>
      </c>
      <c r="I338">
        <v>1.4101866763864701</v>
      </c>
      <c r="J338">
        <v>4.76</v>
      </c>
      <c r="L338">
        <v>3.41173287201969</v>
      </c>
      <c r="M338">
        <v>3.1783280359161097</v>
      </c>
      <c r="N338">
        <v>3.5284352900714797</v>
      </c>
      <c r="O338">
        <v>3.06162561786432</v>
      </c>
    </row>
    <row r="339" spans="1:15">
      <c r="A339" s="19">
        <v>43343</v>
      </c>
      <c r="B339">
        <v>2691</v>
      </c>
      <c r="C339">
        <v>2661</v>
      </c>
      <c r="D339">
        <v>772</v>
      </c>
      <c r="E339">
        <v>772</v>
      </c>
      <c r="F339">
        <v>3.4468911917098399</v>
      </c>
      <c r="G339">
        <v>3.2916075336495298</v>
      </c>
      <c r="H339">
        <v>0.115584738344207</v>
      </c>
      <c r="I339">
        <v>1.34346160474822</v>
      </c>
      <c r="J339">
        <v>4.51</v>
      </c>
      <c r="L339">
        <v>3.4071922719937366</v>
      </c>
      <c r="M339">
        <v>3.1760227953053231</v>
      </c>
      <c r="N339">
        <v>3.5227770103379439</v>
      </c>
      <c r="O339">
        <v>3.0604380569611158</v>
      </c>
    </row>
    <row r="340" spans="1:15">
      <c r="A340" s="19">
        <v>43342</v>
      </c>
      <c r="B340">
        <v>2720</v>
      </c>
      <c r="C340">
        <v>2683</v>
      </c>
      <c r="D340">
        <v>785</v>
      </c>
      <c r="E340">
        <v>776</v>
      </c>
      <c r="F340">
        <v>3.4574742268041199</v>
      </c>
      <c r="G340">
        <v>3.2888640157419702</v>
      </c>
      <c r="H340">
        <v>0.114301245148478</v>
      </c>
      <c r="I340">
        <v>1.47513888272279</v>
      </c>
      <c r="J340">
        <v>4.88</v>
      </c>
      <c r="L340">
        <v>3.4031652608904484</v>
      </c>
      <c r="M340">
        <v>3.174562770593492</v>
      </c>
      <c r="N340">
        <v>3.5174665060389261</v>
      </c>
      <c r="O340">
        <v>3.0602615254450143</v>
      </c>
    </row>
    <row r="341" spans="1:15">
      <c r="A341" s="19">
        <v>43341</v>
      </c>
      <c r="B341">
        <v>2715</v>
      </c>
      <c r="C341">
        <v>2710</v>
      </c>
      <c r="D341">
        <v>772</v>
      </c>
      <c r="E341">
        <v>778</v>
      </c>
      <c r="F341">
        <v>3.4832904884318698</v>
      </c>
      <c r="G341">
        <v>3.2858402118550001</v>
      </c>
      <c r="H341">
        <v>0.112790500820654</v>
      </c>
      <c r="I341">
        <v>1.7505931363034499</v>
      </c>
      <c r="J341">
        <v>5.67</v>
      </c>
      <c r="L341">
        <v>3.3986307126756543</v>
      </c>
      <c r="M341">
        <v>3.1730497110343459</v>
      </c>
      <c r="N341">
        <v>3.5114212134963081</v>
      </c>
      <c r="O341">
        <v>3.0602592102136921</v>
      </c>
    </row>
    <row r="342" spans="1:15">
      <c r="A342" s="19">
        <v>43340</v>
      </c>
      <c r="B342">
        <v>2742</v>
      </c>
      <c r="C342">
        <v>2719</v>
      </c>
      <c r="D342">
        <v>783</v>
      </c>
      <c r="E342">
        <v>770</v>
      </c>
      <c r="F342">
        <v>3.5311688311688298</v>
      </c>
      <c r="G342">
        <v>3.2829648034062</v>
      </c>
      <c r="H342">
        <v>0.11044467730818799</v>
      </c>
      <c r="I342">
        <v>2.2473154325946001</v>
      </c>
      <c r="J342">
        <v>7.03</v>
      </c>
      <c r="L342">
        <v>3.393409480714388</v>
      </c>
      <c r="M342">
        <v>3.172520126098012</v>
      </c>
      <c r="N342">
        <v>3.5038541580225759</v>
      </c>
      <c r="O342">
        <v>3.0620754487898241</v>
      </c>
    </row>
    <row r="343" spans="1:15">
      <c r="A343" s="19">
        <v>43339</v>
      </c>
      <c r="B343">
        <v>2686</v>
      </c>
      <c r="C343">
        <v>2717</v>
      </c>
      <c r="D343">
        <v>772</v>
      </c>
      <c r="E343">
        <v>777</v>
      </c>
      <c r="F343">
        <v>3.4967824967824899</v>
      </c>
      <c r="G343">
        <v>3.28014142497531</v>
      </c>
      <c r="H343">
        <v>0.106706922996385</v>
      </c>
      <c r="I343">
        <v>2.0302438278959598</v>
      </c>
      <c r="J343">
        <v>6.2</v>
      </c>
      <c r="L343">
        <v>3.3868483479716951</v>
      </c>
      <c r="M343">
        <v>3.173434501978925</v>
      </c>
      <c r="N343">
        <v>3.4935552709680802</v>
      </c>
      <c r="O343">
        <v>3.0667275789825399</v>
      </c>
    </row>
    <row r="344" spans="1:15">
      <c r="A344" s="19">
        <v>43336</v>
      </c>
      <c r="B344">
        <v>2686</v>
      </c>
      <c r="C344">
        <v>2686</v>
      </c>
      <c r="D344">
        <v>776</v>
      </c>
      <c r="E344">
        <v>771</v>
      </c>
      <c r="F344">
        <v>3.4837872892347601</v>
      </c>
      <c r="G344">
        <v>3.2777497885709299</v>
      </c>
      <c r="H344">
        <v>0.103794934820717</v>
      </c>
      <c r="I344">
        <v>1.98504388503836</v>
      </c>
      <c r="J344">
        <v>5.91</v>
      </c>
      <c r="L344">
        <v>3.3815447233916469</v>
      </c>
      <c r="M344">
        <v>3.1739548537502129</v>
      </c>
      <c r="N344">
        <v>3.4853396582123639</v>
      </c>
      <c r="O344">
        <v>3.0701599189294959</v>
      </c>
    </row>
    <row r="345" spans="1:15">
      <c r="A345" s="19">
        <v>43335</v>
      </c>
      <c r="B345">
        <v>2692</v>
      </c>
      <c r="C345">
        <v>2665</v>
      </c>
      <c r="D345">
        <v>770</v>
      </c>
      <c r="E345">
        <v>762</v>
      </c>
      <c r="F345">
        <v>3.4973753280839799</v>
      </c>
      <c r="G345">
        <v>3.27801786757691</v>
      </c>
      <c r="H345">
        <v>0.104351211115806</v>
      </c>
      <c r="I345">
        <v>2.1021074711211201</v>
      </c>
      <c r="J345">
        <v>6.27</v>
      </c>
      <c r="L345">
        <v>3.3823690786927161</v>
      </c>
      <c r="M345">
        <v>3.173666656461104</v>
      </c>
      <c r="N345">
        <v>3.4867202898085221</v>
      </c>
      <c r="O345">
        <v>3.069315445345298</v>
      </c>
    </row>
    <row r="346" spans="1:15">
      <c r="A346" s="19">
        <v>43334</v>
      </c>
      <c r="B346">
        <v>2675</v>
      </c>
      <c r="C346">
        <v>2692</v>
      </c>
      <c r="D346">
        <v>767</v>
      </c>
      <c r="E346">
        <v>774</v>
      </c>
      <c r="F346">
        <v>3.47803617571059</v>
      </c>
      <c r="G346">
        <v>3.2771774423270399</v>
      </c>
      <c r="H346">
        <v>0.102823807771668</v>
      </c>
      <c r="I346">
        <v>1.95342632933397</v>
      </c>
      <c r="J346">
        <v>5.78</v>
      </c>
      <c r="L346">
        <v>3.380001250098708</v>
      </c>
      <c r="M346">
        <v>3.1743536345553718</v>
      </c>
      <c r="N346">
        <v>3.4828250578703761</v>
      </c>
      <c r="O346">
        <v>3.0715298267837037</v>
      </c>
    </row>
    <row r="347" spans="1:15">
      <c r="A347" s="19">
        <v>43333</v>
      </c>
      <c r="B347">
        <v>2690</v>
      </c>
      <c r="C347">
        <v>2680</v>
      </c>
      <c r="D347">
        <v>767</v>
      </c>
      <c r="E347">
        <v>766</v>
      </c>
      <c r="F347">
        <v>3.4986945169712702</v>
      </c>
      <c r="G347">
        <v>3.2768088291778401</v>
      </c>
      <c r="H347">
        <v>0.102150437603223</v>
      </c>
      <c r="I347">
        <v>2.1721462286367701</v>
      </c>
      <c r="J347">
        <v>6.34</v>
      </c>
      <c r="L347">
        <v>3.3789592667810631</v>
      </c>
      <c r="M347">
        <v>3.1746583915746172</v>
      </c>
      <c r="N347">
        <v>3.481109704384286</v>
      </c>
      <c r="O347">
        <v>3.0725079539713942</v>
      </c>
    </row>
    <row r="348" spans="1:15">
      <c r="A348" s="19">
        <v>43332</v>
      </c>
      <c r="B348">
        <v>2725</v>
      </c>
      <c r="C348">
        <v>2701</v>
      </c>
      <c r="D348">
        <v>773</v>
      </c>
      <c r="E348">
        <v>771</v>
      </c>
      <c r="F348">
        <v>3.50324254215304</v>
      </c>
      <c r="G348">
        <v>3.2760304398224198</v>
      </c>
      <c r="H348">
        <v>0.100668370636929</v>
      </c>
      <c r="I348">
        <v>2.25703565969178</v>
      </c>
      <c r="J348">
        <v>6.49</v>
      </c>
      <c r="L348">
        <v>3.3766988104593487</v>
      </c>
      <c r="M348">
        <v>3.1753620691854909</v>
      </c>
      <c r="N348">
        <v>3.4773671810962776</v>
      </c>
      <c r="O348">
        <v>3.074693698548562</v>
      </c>
    </row>
    <row r="349" spans="1:15">
      <c r="A349" s="19">
        <v>43329</v>
      </c>
      <c r="B349">
        <v>2695</v>
      </c>
      <c r="C349">
        <v>2728</v>
      </c>
      <c r="D349">
        <v>771</v>
      </c>
      <c r="E349">
        <v>781</v>
      </c>
      <c r="F349">
        <v>3.4929577464788699</v>
      </c>
      <c r="G349">
        <v>3.2750218967264502</v>
      </c>
      <c r="H349">
        <v>9.87475783576231E-2</v>
      </c>
      <c r="I349">
        <v>2.20699943610918</v>
      </c>
      <c r="J349">
        <v>6.24</v>
      </c>
      <c r="L349">
        <v>3.3737694750840732</v>
      </c>
      <c r="M349">
        <v>3.1762743183688271</v>
      </c>
      <c r="N349">
        <v>3.4725170534416963</v>
      </c>
      <c r="O349">
        <v>3.0775267400112041</v>
      </c>
    </row>
    <row r="350" spans="1:15">
      <c r="A350" s="19">
        <v>43328</v>
      </c>
      <c r="B350">
        <v>2678</v>
      </c>
      <c r="C350">
        <v>2693</v>
      </c>
      <c r="D350">
        <v>772</v>
      </c>
      <c r="E350">
        <v>773</v>
      </c>
      <c r="F350">
        <v>3.4838292367399699</v>
      </c>
      <c r="G350">
        <v>3.27337796572471</v>
      </c>
      <c r="H350">
        <v>9.6096445866355101E-2</v>
      </c>
      <c r="I350">
        <v>2.19000056784561</v>
      </c>
      <c r="J350">
        <v>6.04</v>
      </c>
      <c r="L350">
        <v>3.3694744115910651</v>
      </c>
      <c r="M350">
        <v>3.1772815198583548</v>
      </c>
      <c r="N350">
        <v>3.4655708574574202</v>
      </c>
      <c r="O350">
        <v>3.0811850739919997</v>
      </c>
    </row>
    <row r="351" spans="1:15">
      <c r="A351" s="19">
        <v>43327</v>
      </c>
      <c r="B351">
        <v>2736</v>
      </c>
      <c r="C351">
        <v>2712</v>
      </c>
      <c r="D351">
        <v>803</v>
      </c>
      <c r="E351">
        <v>780</v>
      </c>
      <c r="F351">
        <v>3.4769230769230699</v>
      </c>
      <c r="G351">
        <v>3.2713959357835098</v>
      </c>
      <c r="H351">
        <v>9.3225480564127897E-2</v>
      </c>
      <c r="I351">
        <v>2.2046240995044499</v>
      </c>
      <c r="J351">
        <v>5.91</v>
      </c>
      <c r="L351">
        <v>3.3646214163476378</v>
      </c>
      <c r="M351">
        <v>3.1781704552193819</v>
      </c>
      <c r="N351">
        <v>3.4578468969117657</v>
      </c>
      <c r="O351">
        <v>3.084944974655254</v>
      </c>
    </row>
    <row r="352" spans="1:15">
      <c r="A352" s="19">
        <v>43326</v>
      </c>
      <c r="B352">
        <v>2670</v>
      </c>
      <c r="C352">
        <v>2736</v>
      </c>
      <c r="D352">
        <v>798</v>
      </c>
      <c r="E352">
        <v>800</v>
      </c>
      <c r="F352">
        <v>3.42</v>
      </c>
      <c r="G352">
        <v>3.26938673720929</v>
      </c>
      <c r="H352">
        <v>9.0353912964066904E-2</v>
      </c>
      <c r="I352">
        <v>1.66692573514333</v>
      </c>
      <c r="J352">
        <v>4.4000000000000004</v>
      </c>
      <c r="L352">
        <v>3.3597406501733569</v>
      </c>
      <c r="M352">
        <v>3.179032824245223</v>
      </c>
      <c r="N352">
        <v>3.4500945631374238</v>
      </c>
      <c r="O352">
        <v>3.0886789112811561</v>
      </c>
    </row>
    <row r="353" spans="1:15">
      <c r="A353" s="19">
        <v>43325</v>
      </c>
      <c r="B353">
        <v>2730</v>
      </c>
      <c r="C353">
        <v>2670</v>
      </c>
      <c r="D353">
        <v>822</v>
      </c>
      <c r="E353">
        <v>789</v>
      </c>
      <c r="F353">
        <v>3.38403041825095</v>
      </c>
      <c r="G353">
        <v>3.26844810686499</v>
      </c>
      <c r="H353">
        <v>8.9141938630581202E-2</v>
      </c>
      <c r="I353">
        <v>1.29660980186837</v>
      </c>
      <c r="J353">
        <v>3.42</v>
      </c>
      <c r="L353">
        <v>3.3575900454955714</v>
      </c>
      <c r="M353">
        <v>3.1793061682344086</v>
      </c>
      <c r="N353">
        <v>3.4467319841261523</v>
      </c>
      <c r="O353">
        <v>3.0901642296038276</v>
      </c>
    </row>
    <row r="354" spans="1:15">
      <c r="A354" s="19">
        <v>43322</v>
      </c>
      <c r="B354">
        <v>2759</v>
      </c>
      <c r="C354">
        <v>2746</v>
      </c>
      <c r="D354">
        <v>861</v>
      </c>
      <c r="E354">
        <v>844</v>
      </c>
      <c r="F354">
        <v>3.2535545023696599</v>
      </c>
      <c r="G354">
        <v>3.2679448441454499</v>
      </c>
      <c r="H354">
        <v>8.8592837831860005E-2</v>
      </c>
      <c r="I354">
        <v>-0.16243233796277001</v>
      </c>
      <c r="J354">
        <v>-0.44</v>
      </c>
      <c r="L354">
        <v>3.3565376819773101</v>
      </c>
      <c r="M354">
        <v>3.1793520063135898</v>
      </c>
      <c r="N354">
        <v>3.4451305198091697</v>
      </c>
      <c r="O354">
        <v>3.0907591684817302</v>
      </c>
    </row>
    <row r="355" spans="1:15">
      <c r="A355" s="19">
        <v>43321</v>
      </c>
      <c r="B355">
        <v>2768</v>
      </c>
      <c r="C355">
        <v>2761</v>
      </c>
      <c r="D355">
        <v>867</v>
      </c>
      <c r="E355">
        <v>868</v>
      </c>
      <c r="F355">
        <v>3.1808755760368599</v>
      </c>
      <c r="G355">
        <v>3.2692091791755802</v>
      </c>
      <c r="H355">
        <v>8.90538863596642E-2</v>
      </c>
      <c r="I355">
        <v>-0.99191182720498705</v>
      </c>
      <c r="J355">
        <v>-2.78</v>
      </c>
      <c r="L355">
        <v>3.3582630655352443</v>
      </c>
      <c r="M355">
        <v>3.180155292815916</v>
      </c>
      <c r="N355">
        <v>3.4473169518949085</v>
      </c>
      <c r="O355">
        <v>3.0911014064562519</v>
      </c>
    </row>
    <row r="356" spans="1:15">
      <c r="A356" s="19">
        <v>43320</v>
      </c>
      <c r="B356">
        <v>2790</v>
      </c>
      <c r="C356">
        <v>2749</v>
      </c>
      <c r="D356">
        <v>895</v>
      </c>
      <c r="E356">
        <v>878</v>
      </c>
      <c r="F356">
        <v>3.13097949886104</v>
      </c>
      <c r="G356">
        <v>3.2707047644255298</v>
      </c>
      <c r="H356">
        <v>8.8497995319961498E-2</v>
      </c>
      <c r="I356">
        <v>-1.57885232382179</v>
      </c>
      <c r="J356">
        <v>-4.46</v>
      </c>
      <c r="L356">
        <v>3.3592027597454912</v>
      </c>
      <c r="M356">
        <v>3.1822067691055684</v>
      </c>
      <c r="N356">
        <v>3.447700755065453</v>
      </c>
      <c r="O356">
        <v>3.0937087737856066</v>
      </c>
    </row>
    <row r="357" spans="1:15">
      <c r="A357" s="19">
        <v>43319</v>
      </c>
      <c r="B357">
        <v>2806</v>
      </c>
      <c r="C357">
        <v>2810</v>
      </c>
      <c r="D357">
        <v>889</v>
      </c>
      <c r="E357">
        <v>909</v>
      </c>
      <c r="F357">
        <v>3.09130913091309</v>
      </c>
      <c r="G357">
        <v>3.2727981292328598</v>
      </c>
      <c r="H357">
        <v>8.7012552591121603E-2</v>
      </c>
      <c r="I357">
        <v>-2.0857794986500702</v>
      </c>
      <c r="J357">
        <v>-5.87</v>
      </c>
      <c r="L357">
        <v>3.3598106818239812</v>
      </c>
      <c r="M357">
        <v>3.1857855766417384</v>
      </c>
      <c r="N357">
        <v>3.4468232344151031</v>
      </c>
      <c r="O357">
        <v>3.0987730240506166</v>
      </c>
    </row>
    <row r="358" spans="1:15">
      <c r="A358" s="19">
        <v>43318</v>
      </c>
      <c r="B358">
        <v>2986</v>
      </c>
      <c r="C358">
        <v>2831</v>
      </c>
      <c r="D358">
        <v>930</v>
      </c>
      <c r="E358">
        <v>894</v>
      </c>
      <c r="F358">
        <v>3.1666666666666599</v>
      </c>
      <c r="G358">
        <v>3.2761884047318999</v>
      </c>
      <c r="H358">
        <v>8.48006045303909E-2</v>
      </c>
      <c r="I358">
        <v>-1.2915207228975101</v>
      </c>
      <c r="J358">
        <v>-3.46</v>
      </c>
      <c r="L358">
        <v>3.3609890092622909</v>
      </c>
      <c r="M358">
        <v>3.1913878002015088</v>
      </c>
      <c r="N358">
        <v>3.4457896137926816</v>
      </c>
      <c r="O358">
        <v>3.1065871956711182</v>
      </c>
    </row>
    <row r="359" spans="1:15">
      <c r="A359" s="19">
        <v>43315</v>
      </c>
      <c r="B359">
        <v>3140</v>
      </c>
      <c r="C359">
        <v>3010</v>
      </c>
      <c r="D359">
        <v>954</v>
      </c>
      <c r="E359">
        <v>933</v>
      </c>
      <c r="F359">
        <v>3.2261521972132901</v>
      </c>
      <c r="G359">
        <v>3.2819229032753898</v>
      </c>
      <c r="H359">
        <v>9.1479446195515596E-2</v>
      </c>
      <c r="I359">
        <v>-0.60965286063170399</v>
      </c>
      <c r="J359">
        <v>-1.73</v>
      </c>
      <c r="L359">
        <v>3.3734023494709056</v>
      </c>
      <c r="M359">
        <v>3.1904434570798741</v>
      </c>
      <c r="N359">
        <v>3.4648817956664208</v>
      </c>
      <c r="O359">
        <v>3.0989640108843588</v>
      </c>
    </row>
    <row r="360" spans="1:15">
      <c r="A360" s="19">
        <v>43314</v>
      </c>
      <c r="B360">
        <v>3115</v>
      </c>
      <c r="C360">
        <v>3105</v>
      </c>
      <c r="D360">
        <v>969</v>
      </c>
      <c r="E360">
        <v>948</v>
      </c>
      <c r="F360">
        <v>3.2753164556962</v>
      </c>
      <c r="G360">
        <v>3.28649087397921</v>
      </c>
      <c r="H360">
        <v>9.6969487692596501E-2</v>
      </c>
      <c r="I360">
        <v>-0.11523643724338301</v>
      </c>
      <c r="J360">
        <v>-0.34</v>
      </c>
      <c r="L360">
        <v>3.3834603616718066</v>
      </c>
      <c r="M360">
        <v>3.1895213862866134</v>
      </c>
      <c r="N360">
        <v>3.4804298493644028</v>
      </c>
      <c r="O360">
        <v>3.0925518985940172</v>
      </c>
    </row>
    <row r="361" spans="1:15">
      <c r="A361" s="19">
        <v>43313</v>
      </c>
      <c r="B361">
        <v>3165</v>
      </c>
      <c r="C361">
        <v>3130</v>
      </c>
      <c r="D361">
        <v>980</v>
      </c>
      <c r="E361">
        <v>967</v>
      </c>
      <c r="F361">
        <v>3.2368148914167501</v>
      </c>
      <c r="G361">
        <v>3.2905613816899901</v>
      </c>
      <c r="H361">
        <v>0.102655827284858</v>
      </c>
      <c r="I361">
        <v>-0.523560052018331</v>
      </c>
      <c r="J361">
        <v>-1.66</v>
      </c>
      <c r="L361">
        <v>3.393217208974848</v>
      </c>
      <c r="M361">
        <v>3.1879055544051322</v>
      </c>
      <c r="N361">
        <v>3.4958730362597059</v>
      </c>
      <c r="O361">
        <v>3.0852497271202743</v>
      </c>
    </row>
    <row r="362" spans="1:15">
      <c r="A362" s="19">
        <v>43312</v>
      </c>
      <c r="B362">
        <v>3190</v>
      </c>
      <c r="C362">
        <v>3185</v>
      </c>
      <c r="D362">
        <v>990</v>
      </c>
      <c r="E362">
        <v>977</v>
      </c>
      <c r="F362">
        <v>3.2599795291709301</v>
      </c>
      <c r="G362">
        <v>3.2946565037322499</v>
      </c>
      <c r="H362">
        <v>0.10648475861618401</v>
      </c>
      <c r="I362">
        <v>-0.325651999515848</v>
      </c>
      <c r="J362">
        <v>-1.06</v>
      </c>
      <c r="L362">
        <v>3.4011412623484341</v>
      </c>
      <c r="M362">
        <v>3.1881717451160658</v>
      </c>
      <c r="N362">
        <v>3.5076260209646177</v>
      </c>
      <c r="O362">
        <v>3.0816869864998822</v>
      </c>
    </row>
    <row r="363" spans="1:15">
      <c r="A363" s="19">
        <v>43311</v>
      </c>
      <c r="B363">
        <v>3215</v>
      </c>
      <c r="C363">
        <v>3190</v>
      </c>
      <c r="D363">
        <v>990</v>
      </c>
      <c r="E363">
        <v>988</v>
      </c>
      <c r="F363">
        <v>3.2287449392712499</v>
      </c>
      <c r="G363">
        <v>3.2985656374361301</v>
      </c>
      <c r="H363">
        <v>0.11044776188239901</v>
      </c>
      <c r="I363">
        <v>-0.63216037133666103</v>
      </c>
      <c r="J363">
        <v>-2.16</v>
      </c>
      <c r="L363">
        <v>3.4090133993185292</v>
      </c>
      <c r="M363">
        <v>3.1881178755537309</v>
      </c>
      <c r="N363">
        <v>3.5194611612009279</v>
      </c>
      <c r="O363">
        <v>3.0776701136713323</v>
      </c>
    </row>
    <row r="364" spans="1:15">
      <c r="A364" s="19">
        <v>43308</v>
      </c>
      <c r="B364">
        <v>3270</v>
      </c>
      <c r="C364">
        <v>3240</v>
      </c>
      <c r="D364">
        <v>984</v>
      </c>
      <c r="E364">
        <v>979</v>
      </c>
      <c r="F364">
        <v>3.3094994892747698</v>
      </c>
      <c r="G364">
        <v>3.3022911126916901</v>
      </c>
      <c r="H364">
        <v>0.112718835219564</v>
      </c>
      <c r="I364">
        <v>6.3950062729428797E-2</v>
      </c>
      <c r="J364">
        <v>0.22</v>
      </c>
      <c r="L364">
        <v>3.4150099479112539</v>
      </c>
      <c r="M364">
        <v>3.1895722774721262</v>
      </c>
      <c r="N364">
        <v>3.5277287831308182</v>
      </c>
      <c r="O364">
        <v>3.076853442252562</v>
      </c>
    </row>
    <row r="365" spans="1:15">
      <c r="A365" s="19">
        <v>43307</v>
      </c>
      <c r="B365">
        <v>3230</v>
      </c>
      <c r="C365">
        <v>3270</v>
      </c>
      <c r="D365">
        <v>962</v>
      </c>
      <c r="E365">
        <v>982</v>
      </c>
      <c r="F365">
        <v>3.3299389002036599</v>
      </c>
      <c r="G365">
        <v>3.3044160411447301</v>
      </c>
      <c r="H365">
        <v>0.114325430815364</v>
      </c>
      <c r="I365">
        <v>0.22324743389905199</v>
      </c>
      <c r="J365">
        <v>0.77</v>
      </c>
      <c r="L365">
        <v>3.4187414719600939</v>
      </c>
      <c r="M365">
        <v>3.1900906103293662</v>
      </c>
      <c r="N365">
        <v>3.5330669027754582</v>
      </c>
      <c r="O365">
        <v>3.075765179514002</v>
      </c>
    </row>
    <row r="366" spans="1:15">
      <c r="A366" s="19">
        <v>43306</v>
      </c>
      <c r="B366">
        <v>3185</v>
      </c>
      <c r="C366">
        <v>3205</v>
      </c>
      <c r="D366">
        <v>953</v>
      </c>
      <c r="E366">
        <v>956</v>
      </c>
      <c r="F366">
        <v>3.35251046025104</v>
      </c>
      <c r="G366">
        <v>3.30623456017124</v>
      </c>
      <c r="H366">
        <v>0.115792273438348</v>
      </c>
      <c r="I366">
        <v>0.399645837374832</v>
      </c>
      <c r="J366">
        <v>1.38</v>
      </c>
      <c r="L366">
        <v>3.4220268336095878</v>
      </c>
      <c r="M366">
        <v>3.1904422867328921</v>
      </c>
      <c r="N366">
        <v>3.5378191070479361</v>
      </c>
      <c r="O366">
        <v>3.0746500132945438</v>
      </c>
    </row>
    <row r="367" spans="1:15">
      <c r="A367" s="19">
        <v>43305</v>
      </c>
      <c r="B367">
        <v>3165</v>
      </c>
      <c r="C367">
        <v>3245</v>
      </c>
      <c r="D367">
        <v>941</v>
      </c>
      <c r="E367">
        <v>954</v>
      </c>
      <c r="F367">
        <v>3.4014675052410901</v>
      </c>
      <c r="G367">
        <v>3.3090996753011401</v>
      </c>
      <c r="H367">
        <v>0.11950096074642801</v>
      </c>
      <c r="I367">
        <v>0.772946337527322</v>
      </c>
      <c r="J367">
        <v>2.72</v>
      </c>
      <c r="L367">
        <v>3.4286006360475683</v>
      </c>
      <c r="M367">
        <v>3.189598714554712</v>
      </c>
      <c r="N367">
        <v>3.5481015967939959</v>
      </c>
      <c r="O367">
        <v>3.0700977538082843</v>
      </c>
    </row>
    <row r="368" spans="1:15">
      <c r="A368" s="19">
        <v>43304</v>
      </c>
      <c r="B368">
        <v>3115</v>
      </c>
      <c r="C368">
        <v>3140</v>
      </c>
      <c r="D368">
        <v>937</v>
      </c>
      <c r="E368">
        <v>937</v>
      </c>
      <c r="F368">
        <v>3.3511205976520801</v>
      </c>
      <c r="G368">
        <v>3.31171910553822</v>
      </c>
      <c r="H368">
        <v>0.12358044540066999</v>
      </c>
      <c r="I368">
        <v>0.3188327407796</v>
      </c>
      <c r="J368">
        <v>1.18</v>
      </c>
      <c r="L368">
        <v>3.4352995509388902</v>
      </c>
      <c r="M368">
        <v>3.1881386601375499</v>
      </c>
      <c r="N368">
        <v>3.5588799963395599</v>
      </c>
      <c r="O368">
        <v>3.0645582147368802</v>
      </c>
    </row>
    <row r="369" spans="1:15">
      <c r="A369" s="19">
        <v>43301</v>
      </c>
      <c r="B369">
        <v>3135</v>
      </c>
      <c r="C369">
        <v>3145</v>
      </c>
      <c r="D369">
        <v>947</v>
      </c>
      <c r="E369">
        <v>947</v>
      </c>
      <c r="F369">
        <v>3.3210137275607101</v>
      </c>
      <c r="G369">
        <v>3.3123637762291298</v>
      </c>
      <c r="H369">
        <v>0.123909978943975</v>
      </c>
      <c r="I369">
        <v>6.9808351234487198E-2</v>
      </c>
      <c r="J369">
        <v>0.26</v>
      </c>
      <c r="L369">
        <v>3.4362737551731048</v>
      </c>
      <c r="M369">
        <v>3.1884537972851548</v>
      </c>
      <c r="N369">
        <v>3.5601837341170799</v>
      </c>
      <c r="O369">
        <v>3.0645438183411797</v>
      </c>
    </row>
    <row r="370" spans="1:15">
      <c r="A370" s="19">
        <v>43300</v>
      </c>
      <c r="B370">
        <v>3250</v>
      </c>
      <c r="C370">
        <v>3165</v>
      </c>
      <c r="D370">
        <v>957</v>
      </c>
      <c r="E370">
        <v>949</v>
      </c>
      <c r="F370">
        <v>3.3350895679662802</v>
      </c>
      <c r="G370">
        <v>3.31372529271317</v>
      </c>
      <c r="H370">
        <v>0.12455686569848599</v>
      </c>
      <c r="I370">
        <v>0.17152226120415201</v>
      </c>
      <c r="J370">
        <v>0.64</v>
      </c>
      <c r="L370">
        <v>3.4382821584116559</v>
      </c>
      <c r="M370">
        <v>3.1891684270146841</v>
      </c>
      <c r="N370">
        <v>3.5628390241101418</v>
      </c>
      <c r="O370">
        <v>3.0646115613161982</v>
      </c>
    </row>
    <row r="371" spans="1:15">
      <c r="A371" s="19">
        <v>43299</v>
      </c>
      <c r="B371">
        <v>3190</v>
      </c>
      <c r="C371">
        <v>3200</v>
      </c>
      <c r="D371">
        <v>959</v>
      </c>
      <c r="E371">
        <v>957</v>
      </c>
      <c r="F371">
        <v>3.3437826541274802</v>
      </c>
      <c r="G371">
        <v>3.3148778382055699</v>
      </c>
      <c r="H371">
        <v>0.125147745138316</v>
      </c>
      <c r="I371">
        <v>0.23096553509583401</v>
      </c>
      <c r="J371">
        <v>0.86</v>
      </c>
      <c r="L371">
        <v>3.440025583343886</v>
      </c>
      <c r="M371">
        <v>3.1897300930672539</v>
      </c>
      <c r="N371">
        <v>3.565173328482202</v>
      </c>
      <c r="O371">
        <v>3.0645823479289378</v>
      </c>
    </row>
    <row r="372" spans="1:15">
      <c r="A372" s="19">
        <v>43298</v>
      </c>
      <c r="B372">
        <v>3120</v>
      </c>
      <c r="C372">
        <v>3155</v>
      </c>
      <c r="D372">
        <v>936</v>
      </c>
      <c r="E372">
        <v>952</v>
      </c>
      <c r="F372">
        <v>3.3140756302521002</v>
      </c>
      <c r="G372">
        <v>3.3160183277735702</v>
      </c>
      <c r="H372">
        <v>0.12579404760521301</v>
      </c>
      <c r="I372">
        <v>-1.5443477322330999E-2</v>
      </c>
      <c r="J372">
        <v>-0.06</v>
      </c>
      <c r="L372">
        <v>3.4418123753787833</v>
      </c>
      <c r="M372">
        <v>3.1902242801683571</v>
      </c>
      <c r="N372">
        <v>3.5676064229839963</v>
      </c>
      <c r="O372">
        <v>3.0644302325631441</v>
      </c>
    </row>
    <row r="373" spans="1:15">
      <c r="A373" s="19">
        <v>43294</v>
      </c>
      <c r="B373">
        <v>3165</v>
      </c>
      <c r="C373">
        <v>3130</v>
      </c>
      <c r="D373">
        <v>943</v>
      </c>
      <c r="E373">
        <v>937</v>
      </c>
      <c r="F373">
        <v>3.3404482390608301</v>
      </c>
      <c r="G373">
        <v>3.31731154861922</v>
      </c>
      <c r="H373">
        <v>0.12626510535597599</v>
      </c>
      <c r="I373">
        <v>0.18323899050633499</v>
      </c>
      <c r="J373">
        <v>0.69</v>
      </c>
      <c r="L373">
        <v>3.443576653975196</v>
      </c>
      <c r="M373">
        <v>3.1910464432632439</v>
      </c>
      <c r="N373">
        <v>3.569841759331172</v>
      </c>
      <c r="O373">
        <v>3.0647813379072679</v>
      </c>
    </row>
    <row r="374" spans="1:15">
      <c r="A374" s="19">
        <v>43293</v>
      </c>
      <c r="B374">
        <v>3170</v>
      </c>
      <c r="C374">
        <v>3145</v>
      </c>
      <c r="D374">
        <v>953</v>
      </c>
      <c r="E374">
        <v>943</v>
      </c>
      <c r="F374">
        <v>3.33510074231177</v>
      </c>
      <c r="G374">
        <v>3.3194734477460801</v>
      </c>
      <c r="H374">
        <v>0.12801865876524501</v>
      </c>
      <c r="I374">
        <v>0.122070444390012</v>
      </c>
      <c r="J374">
        <v>0.47</v>
      </c>
      <c r="L374">
        <v>3.4474921065113251</v>
      </c>
      <c r="M374">
        <v>3.1914547889808351</v>
      </c>
      <c r="N374">
        <v>3.5755107652765701</v>
      </c>
      <c r="O374">
        <v>3.0634361302155901</v>
      </c>
    </row>
    <row r="375" spans="1:15">
      <c r="A375" s="19">
        <v>43292</v>
      </c>
      <c r="B375">
        <v>3115</v>
      </c>
      <c r="C375">
        <v>3160</v>
      </c>
      <c r="D375">
        <v>942</v>
      </c>
      <c r="E375">
        <v>949</v>
      </c>
      <c r="F375">
        <v>3.3298208640674298</v>
      </c>
      <c r="G375">
        <v>3.32232359938362</v>
      </c>
      <c r="H375">
        <v>0.13068659561279</v>
      </c>
      <c r="I375">
        <v>5.73682759785865E-2</v>
      </c>
      <c r="J375">
        <v>0.23</v>
      </c>
      <c r="L375">
        <v>3.45301019499641</v>
      </c>
      <c r="M375">
        <v>3.1916370037708299</v>
      </c>
      <c r="N375">
        <v>3.5836967906092001</v>
      </c>
      <c r="O375">
        <v>3.0609504081580399</v>
      </c>
    </row>
    <row r="376" spans="1:15">
      <c r="A376" s="19">
        <v>43291</v>
      </c>
      <c r="B376">
        <v>3130</v>
      </c>
      <c r="C376">
        <v>3115</v>
      </c>
      <c r="D376">
        <v>963</v>
      </c>
      <c r="E376">
        <v>953</v>
      </c>
      <c r="F376">
        <v>3.26862539349422</v>
      </c>
      <c r="G376">
        <v>3.3241743189708601</v>
      </c>
      <c r="H376">
        <v>0.13175810792269499</v>
      </c>
      <c r="I376">
        <v>-0.42159777756698502</v>
      </c>
      <c r="J376">
        <v>-1.7</v>
      </c>
      <c r="L376">
        <v>3.455932426893555</v>
      </c>
      <c r="M376">
        <v>3.1924162110481653</v>
      </c>
      <c r="N376">
        <v>3.5876905348162502</v>
      </c>
      <c r="O376">
        <v>3.06065810312547</v>
      </c>
    </row>
    <row r="377" spans="1:15">
      <c r="A377" s="19">
        <v>43290</v>
      </c>
      <c r="B377">
        <v>3080</v>
      </c>
      <c r="C377">
        <v>3120</v>
      </c>
      <c r="D377">
        <v>944</v>
      </c>
      <c r="E377">
        <v>954</v>
      </c>
      <c r="F377">
        <v>3.2704402515723201</v>
      </c>
      <c r="G377">
        <v>3.32607884663298</v>
      </c>
      <c r="H377">
        <v>0.131973576024115</v>
      </c>
      <c r="I377">
        <v>-0.42158890239125801</v>
      </c>
      <c r="J377">
        <v>-1.7</v>
      </c>
      <c r="L377">
        <v>3.458052422657095</v>
      </c>
      <c r="M377">
        <v>3.1941052706088651</v>
      </c>
      <c r="N377">
        <v>3.59002599868121</v>
      </c>
      <c r="O377">
        <v>3.0621316945847501</v>
      </c>
    </row>
    <row r="378" spans="1:15">
      <c r="A378" s="19">
        <v>43287</v>
      </c>
      <c r="B378">
        <v>3050</v>
      </c>
      <c r="C378">
        <v>3080</v>
      </c>
      <c r="D378">
        <v>919</v>
      </c>
      <c r="E378">
        <v>930</v>
      </c>
      <c r="F378">
        <v>3.3118279569892399</v>
      </c>
      <c r="G378">
        <v>3.3288565029955399</v>
      </c>
      <c r="H378">
        <v>0.13296192204429</v>
      </c>
      <c r="I378">
        <v>-0.12807084723568701</v>
      </c>
      <c r="J378">
        <v>-0.51</v>
      </c>
      <c r="L378">
        <v>3.4618184250398301</v>
      </c>
      <c r="M378">
        <v>3.1958945809512498</v>
      </c>
      <c r="N378">
        <v>3.5947803470841198</v>
      </c>
      <c r="O378">
        <v>3.0629326589069601</v>
      </c>
    </row>
    <row r="379" spans="1:15">
      <c r="A379" s="19">
        <v>43286</v>
      </c>
      <c r="B379">
        <v>3075</v>
      </c>
      <c r="C379">
        <v>3035</v>
      </c>
      <c r="D379">
        <v>936</v>
      </c>
      <c r="E379">
        <v>924</v>
      </c>
      <c r="F379">
        <v>3.2846320346320299</v>
      </c>
      <c r="G379">
        <v>3.3302486250810399</v>
      </c>
      <c r="H379">
        <v>0.13332244136837301</v>
      </c>
      <c r="I379">
        <v>-0.34215237870551002</v>
      </c>
      <c r="J379">
        <v>-1.39</v>
      </c>
      <c r="L379">
        <v>3.463571066449413</v>
      </c>
      <c r="M379">
        <v>3.1969261837126668</v>
      </c>
      <c r="N379">
        <v>3.5968935078177857</v>
      </c>
      <c r="O379">
        <v>3.0636037423442941</v>
      </c>
    </row>
    <row r="380" spans="1:15">
      <c r="A380" s="19">
        <v>43285</v>
      </c>
      <c r="B380">
        <v>2989</v>
      </c>
      <c r="C380">
        <v>3075</v>
      </c>
      <c r="D380">
        <v>916</v>
      </c>
      <c r="E380">
        <v>938</v>
      </c>
      <c r="F380">
        <v>3.2782515991471199</v>
      </c>
      <c r="G380">
        <v>3.3320246565513401</v>
      </c>
      <c r="H380">
        <v>0.13358988609917799</v>
      </c>
      <c r="I380">
        <v>-0.40252341681244602</v>
      </c>
      <c r="J380">
        <v>-1.64</v>
      </c>
      <c r="L380">
        <v>3.4656145426505178</v>
      </c>
      <c r="M380">
        <v>3.1984347704521623</v>
      </c>
      <c r="N380">
        <v>3.599204428749696</v>
      </c>
      <c r="O380">
        <v>3.0648448843529841</v>
      </c>
    </row>
    <row r="381" spans="1:15">
      <c r="A381" s="19">
        <v>43284</v>
      </c>
      <c r="B381">
        <v>3070</v>
      </c>
      <c r="C381">
        <v>3015</v>
      </c>
      <c r="D381">
        <v>940</v>
      </c>
      <c r="E381">
        <v>925</v>
      </c>
      <c r="F381">
        <v>3.2594594594594501</v>
      </c>
      <c r="G381">
        <v>3.3342782099858401</v>
      </c>
      <c r="H381">
        <v>0.13408842597210199</v>
      </c>
      <c r="I381">
        <v>-0.55798067569196996</v>
      </c>
      <c r="J381">
        <v>-2.2999999999999998</v>
      </c>
      <c r="L381">
        <v>3.4683666359579419</v>
      </c>
      <c r="M381">
        <v>3.2001897840137383</v>
      </c>
      <c r="N381">
        <v>3.6024550619300442</v>
      </c>
      <c r="O381">
        <v>3.0661013580416361</v>
      </c>
    </row>
    <row r="382" spans="1:15">
      <c r="A382" s="19">
        <v>43283</v>
      </c>
      <c r="B382">
        <v>3185</v>
      </c>
      <c r="C382">
        <v>3070</v>
      </c>
      <c r="D382">
        <v>965</v>
      </c>
      <c r="E382">
        <v>936</v>
      </c>
      <c r="F382">
        <v>3.2799145299145298</v>
      </c>
      <c r="G382">
        <v>3.33803957336433</v>
      </c>
      <c r="H382">
        <v>0.13588158886906401</v>
      </c>
      <c r="I382">
        <v>-0.427762465346332</v>
      </c>
      <c r="J382">
        <v>-1.77</v>
      </c>
      <c r="L382">
        <v>3.4739211622333941</v>
      </c>
      <c r="M382">
        <v>3.2021579844952659</v>
      </c>
      <c r="N382">
        <v>3.6098027511024582</v>
      </c>
      <c r="O382">
        <v>3.0662763956262018</v>
      </c>
    </row>
    <row r="383" spans="1:15">
      <c r="A383" s="19">
        <v>43280</v>
      </c>
      <c r="B383">
        <v>3255</v>
      </c>
      <c r="C383">
        <v>3180</v>
      </c>
      <c r="D383">
        <v>962</v>
      </c>
      <c r="E383">
        <v>964</v>
      </c>
      <c r="F383">
        <v>3.2987551867219902</v>
      </c>
      <c r="G383">
        <v>3.3407659730570201</v>
      </c>
      <c r="H383">
        <v>0.136736691796393</v>
      </c>
      <c r="I383">
        <v>-0.30723857498025198</v>
      </c>
      <c r="J383">
        <v>-1.27</v>
      </c>
      <c r="L383">
        <v>3.4775026648534131</v>
      </c>
      <c r="M383">
        <v>3.204029281260627</v>
      </c>
      <c r="N383">
        <v>3.6142393566498061</v>
      </c>
      <c r="O383">
        <v>3.067292589464234</v>
      </c>
    </row>
    <row r="384" spans="1:15">
      <c r="A384" s="19">
        <v>43279</v>
      </c>
      <c r="B384">
        <v>3190</v>
      </c>
      <c r="C384">
        <v>3185</v>
      </c>
      <c r="D384">
        <v>970</v>
      </c>
      <c r="E384">
        <v>964</v>
      </c>
      <c r="F384">
        <v>3.3039419087136901</v>
      </c>
      <c r="G384">
        <v>3.3432233903080899</v>
      </c>
      <c r="H384">
        <v>0.13761295501395601</v>
      </c>
      <c r="I384">
        <v>-0.28544900871012002</v>
      </c>
      <c r="J384">
        <v>-1.19</v>
      </c>
      <c r="L384">
        <v>3.4808363453220461</v>
      </c>
      <c r="M384">
        <v>3.2056104352941337</v>
      </c>
      <c r="N384">
        <v>3.6184493003360019</v>
      </c>
      <c r="O384">
        <v>3.0679974802801779</v>
      </c>
    </row>
    <row r="385" spans="1:15">
      <c r="A385" s="19">
        <v>43278</v>
      </c>
      <c r="B385">
        <v>3140</v>
      </c>
      <c r="C385">
        <v>3195</v>
      </c>
      <c r="D385">
        <v>964</v>
      </c>
      <c r="E385">
        <v>973</v>
      </c>
      <c r="F385">
        <v>3.2836587872559</v>
      </c>
      <c r="G385">
        <v>3.3450442492467598</v>
      </c>
      <c r="H385">
        <v>0.137984137973239</v>
      </c>
      <c r="I385">
        <v>-0.44487332306821198</v>
      </c>
      <c r="J385">
        <v>-1.87</v>
      </c>
      <c r="L385">
        <v>3.4830283872199987</v>
      </c>
      <c r="M385">
        <v>3.2070601112735209</v>
      </c>
      <c r="N385">
        <v>3.6210125251932377</v>
      </c>
      <c r="O385">
        <v>3.0690759733002819</v>
      </c>
    </row>
    <row r="386" spans="1:15">
      <c r="A386" s="19">
        <v>43277</v>
      </c>
      <c r="B386">
        <v>3100</v>
      </c>
      <c r="C386">
        <v>3165</v>
      </c>
      <c r="D386">
        <v>941</v>
      </c>
      <c r="E386">
        <v>963</v>
      </c>
      <c r="F386">
        <v>3.2866043613707099</v>
      </c>
      <c r="G386">
        <v>3.3478688928878002</v>
      </c>
      <c r="H386">
        <v>0.13886416200087001</v>
      </c>
      <c r="I386">
        <v>-0.44118317234870502</v>
      </c>
      <c r="J386">
        <v>-1.86</v>
      </c>
      <c r="L386">
        <v>3.4867330548886701</v>
      </c>
      <c r="M386">
        <v>3.2090047308869303</v>
      </c>
      <c r="N386">
        <v>3.6255972168895401</v>
      </c>
      <c r="O386">
        <v>3.0701405688860604</v>
      </c>
    </row>
    <row r="387" spans="1:15">
      <c r="A387" s="19">
        <v>43276</v>
      </c>
      <c r="B387">
        <v>3120</v>
      </c>
      <c r="C387">
        <v>3125</v>
      </c>
      <c r="D387">
        <v>964</v>
      </c>
      <c r="E387">
        <v>950</v>
      </c>
      <c r="F387">
        <v>3.2894736842105199</v>
      </c>
      <c r="G387">
        <v>3.3503812615394302</v>
      </c>
      <c r="H387">
        <v>0.139436383462888</v>
      </c>
      <c r="I387">
        <v>-0.43681265833406901</v>
      </c>
      <c r="J387">
        <v>-1.85</v>
      </c>
      <c r="L387">
        <v>3.4898176450023182</v>
      </c>
      <c r="M387">
        <v>3.2109448780765422</v>
      </c>
      <c r="N387">
        <v>3.6292540284652062</v>
      </c>
      <c r="O387">
        <v>3.0715084946136542</v>
      </c>
    </row>
    <row r="388" spans="1:15">
      <c r="A388" s="19">
        <v>43273</v>
      </c>
      <c r="B388">
        <v>3100</v>
      </c>
      <c r="C388">
        <v>3125</v>
      </c>
      <c r="D388">
        <v>954</v>
      </c>
      <c r="E388">
        <v>961</v>
      </c>
      <c r="F388">
        <v>3.2518210197710702</v>
      </c>
      <c r="G388">
        <v>3.3520942619892802</v>
      </c>
      <c r="H388">
        <v>0.139466766788826</v>
      </c>
      <c r="I388">
        <v>-0.71897588599037598</v>
      </c>
      <c r="J388">
        <v>-3.08</v>
      </c>
      <c r="L388">
        <v>3.491561028778106</v>
      </c>
      <c r="M388">
        <v>3.2126274952004543</v>
      </c>
      <c r="N388">
        <v>3.6310277955669323</v>
      </c>
      <c r="O388">
        <v>3.073160728411628</v>
      </c>
    </row>
    <row r="389" spans="1:15">
      <c r="A389" s="19">
        <v>43272</v>
      </c>
      <c r="B389">
        <v>3170</v>
      </c>
      <c r="C389">
        <v>3165</v>
      </c>
      <c r="D389">
        <v>956</v>
      </c>
      <c r="E389">
        <v>963</v>
      </c>
      <c r="F389">
        <v>3.2866043613707099</v>
      </c>
      <c r="G389">
        <v>3.3540425961886502</v>
      </c>
      <c r="H389">
        <v>0.139072470027746</v>
      </c>
      <c r="I389">
        <v>-0.48491433857817001</v>
      </c>
      <c r="J389">
        <v>-2.0499999999999998</v>
      </c>
      <c r="L389">
        <v>3.4931150662163963</v>
      </c>
      <c r="M389">
        <v>3.2149701261609041</v>
      </c>
      <c r="N389">
        <v>3.632187536244142</v>
      </c>
      <c r="O389">
        <v>3.0758976561331584</v>
      </c>
    </row>
    <row r="390" spans="1:15">
      <c r="A390" s="19">
        <v>43271</v>
      </c>
      <c r="B390">
        <v>3140</v>
      </c>
      <c r="C390">
        <v>3170</v>
      </c>
      <c r="D390">
        <v>952</v>
      </c>
      <c r="E390">
        <v>954</v>
      </c>
      <c r="F390">
        <v>3.3228511530398301</v>
      </c>
      <c r="G390">
        <v>3.3551721223306799</v>
      </c>
      <c r="H390">
        <v>0.138864022661844</v>
      </c>
      <c r="I390">
        <v>-0.232752650191903</v>
      </c>
      <c r="J390">
        <v>-0.97</v>
      </c>
      <c r="L390">
        <v>3.4940361449925237</v>
      </c>
      <c r="M390">
        <v>3.216308099668836</v>
      </c>
      <c r="N390">
        <v>3.632900167654368</v>
      </c>
      <c r="O390">
        <v>3.0774440770069917</v>
      </c>
    </row>
    <row r="391" spans="1:15">
      <c r="A391" s="19">
        <v>43270</v>
      </c>
      <c r="B391">
        <v>3140</v>
      </c>
      <c r="C391">
        <v>3125</v>
      </c>
      <c r="D391">
        <v>981</v>
      </c>
      <c r="E391">
        <v>957</v>
      </c>
      <c r="F391">
        <v>3.26541274817136</v>
      </c>
      <c r="G391">
        <v>3.3555693714404402</v>
      </c>
      <c r="H391">
        <v>0.138813599998558</v>
      </c>
      <c r="I391">
        <v>-0.64947975753107601</v>
      </c>
      <c r="J391">
        <v>-2.76</v>
      </c>
      <c r="L391">
        <v>3.494382971438998</v>
      </c>
      <c r="M391">
        <v>3.2167557714418824</v>
      </c>
      <c r="N391">
        <v>3.6331965714375563</v>
      </c>
      <c r="O391">
        <v>3.0779421714433242</v>
      </c>
    </row>
    <row r="392" spans="1:15">
      <c r="A392" s="19">
        <v>43269</v>
      </c>
      <c r="B392">
        <v>3155</v>
      </c>
      <c r="C392">
        <v>3165</v>
      </c>
      <c r="D392">
        <v>985</v>
      </c>
      <c r="E392">
        <v>987</v>
      </c>
      <c r="F392">
        <v>3.20668693009118</v>
      </c>
      <c r="G392">
        <v>3.3559444609045301</v>
      </c>
      <c r="H392">
        <v>0.13860733444300999</v>
      </c>
      <c r="I392">
        <v>-1.07683717757893</v>
      </c>
      <c r="J392">
        <v>-4.6500000000000004</v>
      </c>
      <c r="L392">
        <v>3.4945517953475402</v>
      </c>
      <c r="M392">
        <v>3.21733712646152</v>
      </c>
      <c r="N392">
        <v>3.6331591297905499</v>
      </c>
      <c r="O392">
        <v>3.0787297920185104</v>
      </c>
    </row>
    <row r="393" spans="1:15">
      <c r="A393" s="19">
        <v>43266</v>
      </c>
      <c r="B393">
        <v>3195</v>
      </c>
      <c r="C393">
        <v>3170</v>
      </c>
      <c r="D393">
        <v>995</v>
      </c>
      <c r="E393">
        <v>988</v>
      </c>
      <c r="F393">
        <v>3.2085020242914899</v>
      </c>
      <c r="G393">
        <v>3.3573171492262102</v>
      </c>
      <c r="H393">
        <v>0.13762870791140799</v>
      </c>
      <c r="I393">
        <v>-1.0812796777145199</v>
      </c>
      <c r="J393">
        <v>-4.6399999999999997</v>
      </c>
      <c r="L393">
        <v>3.4949458571376182</v>
      </c>
      <c r="M393">
        <v>3.2196884413148021</v>
      </c>
      <c r="N393">
        <v>3.6325745650490262</v>
      </c>
      <c r="O393">
        <v>3.0820597334033941</v>
      </c>
    </row>
    <row r="394" spans="1:15">
      <c r="A394" s="19">
        <v>43265</v>
      </c>
      <c r="B394">
        <v>3170</v>
      </c>
      <c r="C394">
        <v>3180</v>
      </c>
      <c r="D394">
        <v>994</v>
      </c>
      <c r="E394">
        <v>992</v>
      </c>
      <c r="F394">
        <v>3.2056451612903198</v>
      </c>
      <c r="G394">
        <v>3.35919889892677</v>
      </c>
      <c r="H394">
        <v>0.13654167228734801</v>
      </c>
      <c r="I394">
        <v>-1.12459247835564</v>
      </c>
      <c r="J394">
        <v>-4.79</v>
      </c>
      <c r="L394">
        <v>3.4957405712141179</v>
      </c>
      <c r="M394">
        <v>3.2226572266394222</v>
      </c>
      <c r="N394">
        <v>3.6322822435014661</v>
      </c>
      <c r="O394">
        <v>3.086115554352074</v>
      </c>
    </row>
    <row r="395" spans="1:15">
      <c r="A395" s="19">
        <v>43264</v>
      </c>
      <c r="B395">
        <v>3160</v>
      </c>
      <c r="C395">
        <v>3180</v>
      </c>
      <c r="D395">
        <v>986</v>
      </c>
      <c r="E395">
        <v>998</v>
      </c>
      <c r="F395">
        <v>3.18637274549098</v>
      </c>
      <c r="G395">
        <v>3.3610479280338601</v>
      </c>
      <c r="H395">
        <v>0.13538381310007799</v>
      </c>
      <c r="I395">
        <v>-1.29022206232117</v>
      </c>
      <c r="J395">
        <v>-5.48</v>
      </c>
      <c r="L395">
        <v>3.4964317411339381</v>
      </c>
      <c r="M395">
        <v>3.2256641149337821</v>
      </c>
      <c r="N395">
        <v>3.631815554234016</v>
      </c>
      <c r="O395">
        <v>3.0902803018337042</v>
      </c>
    </row>
    <row r="396" spans="1:15">
      <c r="A396" s="19">
        <v>43263</v>
      </c>
      <c r="B396">
        <v>3170</v>
      </c>
      <c r="C396">
        <v>3190</v>
      </c>
      <c r="D396">
        <v>1007</v>
      </c>
      <c r="E396">
        <v>994</v>
      </c>
      <c r="F396">
        <v>3.2092555331991899</v>
      </c>
      <c r="G396">
        <v>3.36249899745438</v>
      </c>
      <c r="H396">
        <v>0.13408079579107801</v>
      </c>
      <c r="I396">
        <v>-1.14291881511479</v>
      </c>
      <c r="J396">
        <v>-4.78</v>
      </c>
      <c r="L396">
        <v>3.4965797932454579</v>
      </c>
      <c r="M396">
        <v>3.2284182016633021</v>
      </c>
      <c r="N396">
        <v>3.6306605890365358</v>
      </c>
      <c r="O396">
        <v>3.0943374058722242</v>
      </c>
    </row>
    <row r="397" spans="1:15">
      <c r="A397" s="19">
        <v>43262</v>
      </c>
      <c r="B397">
        <v>3145</v>
      </c>
      <c r="C397">
        <v>3160</v>
      </c>
      <c r="D397">
        <v>986</v>
      </c>
      <c r="E397">
        <v>1000</v>
      </c>
      <c r="F397">
        <v>3.16</v>
      </c>
      <c r="G397">
        <v>3.3643529366233702</v>
      </c>
      <c r="H397">
        <v>0.13290521574096001</v>
      </c>
      <c r="I397">
        <v>-1.53758402545821</v>
      </c>
      <c r="J397">
        <v>-6.47</v>
      </c>
      <c r="L397">
        <v>3.49725815236433</v>
      </c>
      <c r="M397">
        <v>3.2314477208824104</v>
      </c>
      <c r="N397">
        <v>3.6301633681052903</v>
      </c>
      <c r="O397">
        <v>3.0985425051414501</v>
      </c>
    </row>
    <row r="398" spans="1:15">
      <c r="A398" s="19">
        <v>43259</v>
      </c>
      <c r="B398">
        <v>3110</v>
      </c>
      <c r="C398">
        <v>3120</v>
      </c>
      <c r="D398">
        <v>978</v>
      </c>
      <c r="E398">
        <v>985</v>
      </c>
      <c r="F398">
        <v>3.1675126903553301</v>
      </c>
      <c r="G398">
        <v>3.3673364544585498</v>
      </c>
      <c r="H398">
        <v>0.13077888641048499</v>
      </c>
      <c r="I398">
        <v>-1.52795125870719</v>
      </c>
      <c r="J398">
        <v>-6.31</v>
      </c>
      <c r="L398">
        <v>3.4981153408690346</v>
      </c>
      <c r="M398">
        <v>3.2365575680480649</v>
      </c>
      <c r="N398">
        <v>3.6288942272795199</v>
      </c>
      <c r="O398">
        <v>3.1057786816375796</v>
      </c>
    </row>
    <row r="399" spans="1:15">
      <c r="A399" s="19">
        <v>43258</v>
      </c>
      <c r="B399">
        <v>3225</v>
      </c>
      <c r="C399">
        <v>3190</v>
      </c>
      <c r="D399">
        <v>1000</v>
      </c>
      <c r="E399">
        <v>988</v>
      </c>
      <c r="F399">
        <v>3.2287449392712499</v>
      </c>
      <c r="G399">
        <v>3.3703504766729599</v>
      </c>
      <c r="H399">
        <v>0.128727662202344</v>
      </c>
      <c r="I399">
        <v>-1.10003968827709</v>
      </c>
      <c r="J399">
        <v>-4.3899999999999997</v>
      </c>
      <c r="L399">
        <v>3.4990781388753041</v>
      </c>
      <c r="M399">
        <v>3.2416228144706158</v>
      </c>
      <c r="N399">
        <v>3.6278058010776482</v>
      </c>
      <c r="O399">
        <v>3.1128951522682717</v>
      </c>
    </row>
    <row r="400" spans="1:15">
      <c r="A400" s="19">
        <v>43257</v>
      </c>
      <c r="B400">
        <v>3235</v>
      </c>
      <c r="C400">
        <v>3245</v>
      </c>
      <c r="D400">
        <v>991</v>
      </c>
      <c r="E400">
        <v>999</v>
      </c>
      <c r="F400">
        <v>3.24824824824824</v>
      </c>
      <c r="G400">
        <v>3.3723591706149998</v>
      </c>
      <c r="H400">
        <v>0.12767343359489799</v>
      </c>
      <c r="I400">
        <v>-0.97209669131759102</v>
      </c>
      <c r="J400">
        <v>-3.82</v>
      </c>
      <c r="L400">
        <v>3.5000326042098977</v>
      </c>
      <c r="M400">
        <v>3.2446857370201019</v>
      </c>
      <c r="N400">
        <v>3.6277060378047956</v>
      </c>
      <c r="O400">
        <v>3.117012303425204</v>
      </c>
    </row>
    <row r="401" spans="1:15">
      <c r="A401" s="19">
        <v>43256</v>
      </c>
      <c r="B401">
        <v>3255</v>
      </c>
      <c r="C401">
        <v>3200</v>
      </c>
      <c r="D401">
        <v>987</v>
      </c>
      <c r="E401">
        <v>990</v>
      </c>
      <c r="F401">
        <v>3.23232323232323</v>
      </c>
      <c r="G401">
        <v>3.37314783342747</v>
      </c>
      <c r="H401">
        <v>0.12708567777714999</v>
      </c>
      <c r="I401">
        <v>-1.10810756622934</v>
      </c>
      <c r="J401">
        <v>-4.3600000000000003</v>
      </c>
      <c r="L401">
        <v>3.5002335112046201</v>
      </c>
      <c r="M401">
        <v>3.24606215565032</v>
      </c>
      <c r="N401">
        <v>3.6273191889817702</v>
      </c>
      <c r="O401">
        <v>3.1189764778731699</v>
      </c>
    </row>
    <row r="402" spans="1:15">
      <c r="A402" s="19">
        <v>43255</v>
      </c>
      <c r="B402">
        <v>3170</v>
      </c>
      <c r="C402">
        <v>3235</v>
      </c>
      <c r="D402">
        <v>975</v>
      </c>
      <c r="E402">
        <v>986</v>
      </c>
      <c r="F402">
        <v>3.2809330628803202</v>
      </c>
      <c r="G402">
        <v>3.3743735798672301</v>
      </c>
      <c r="H402">
        <v>0.12616148623874601</v>
      </c>
      <c r="I402">
        <v>-0.74064217038535196</v>
      </c>
      <c r="J402">
        <v>-2.85</v>
      </c>
      <c r="L402">
        <v>3.500535066105976</v>
      </c>
      <c r="M402">
        <v>3.2482120936284842</v>
      </c>
      <c r="N402">
        <v>3.6266965523447219</v>
      </c>
      <c r="O402">
        <v>3.1220506073897383</v>
      </c>
    </row>
    <row r="403" spans="1:15">
      <c r="A403" s="19">
        <v>43252</v>
      </c>
      <c r="B403">
        <v>3090</v>
      </c>
      <c r="C403">
        <v>3130</v>
      </c>
      <c r="D403">
        <v>953</v>
      </c>
      <c r="E403">
        <v>964</v>
      </c>
      <c r="F403">
        <v>3.2468879668049699</v>
      </c>
      <c r="G403">
        <v>3.3758829077363099</v>
      </c>
      <c r="H403">
        <v>0.12571091075480401</v>
      </c>
      <c r="I403">
        <v>-1.0261236686363</v>
      </c>
      <c r="J403">
        <v>-3.97</v>
      </c>
      <c r="L403">
        <v>3.5015938184911137</v>
      </c>
      <c r="M403">
        <v>3.2501719969815062</v>
      </c>
      <c r="N403">
        <v>3.627304729245918</v>
      </c>
      <c r="O403">
        <v>3.1244610862267019</v>
      </c>
    </row>
    <row r="404" spans="1:15">
      <c r="A404" s="19">
        <v>43251</v>
      </c>
      <c r="B404">
        <v>3115</v>
      </c>
      <c r="C404">
        <v>3140</v>
      </c>
      <c r="D404">
        <v>964</v>
      </c>
      <c r="E404">
        <v>958</v>
      </c>
      <c r="F404">
        <v>3.2776617954070901</v>
      </c>
      <c r="G404">
        <v>3.3778297669537301</v>
      </c>
      <c r="H404">
        <v>0.124825648019221</v>
      </c>
      <c r="I404">
        <v>-0.80246306056595695</v>
      </c>
      <c r="J404">
        <v>-3.06</v>
      </c>
      <c r="L404">
        <v>3.502655414972951</v>
      </c>
      <c r="M404">
        <v>3.2530041189345091</v>
      </c>
      <c r="N404">
        <v>3.6274810629921719</v>
      </c>
      <c r="O404">
        <v>3.1281784709152882</v>
      </c>
    </row>
    <row r="405" spans="1:15">
      <c r="A405" s="19">
        <v>43250</v>
      </c>
      <c r="B405">
        <v>3030</v>
      </c>
      <c r="C405">
        <v>3075</v>
      </c>
      <c r="D405">
        <v>955</v>
      </c>
      <c r="E405">
        <v>956</v>
      </c>
      <c r="F405">
        <v>3.2165271966527098</v>
      </c>
      <c r="G405">
        <v>3.3796748110183099</v>
      </c>
      <c r="H405">
        <v>0.12435322128159799</v>
      </c>
      <c r="I405">
        <v>-1.3119693457408901</v>
      </c>
      <c r="J405">
        <v>-5.07</v>
      </c>
      <c r="L405">
        <v>3.504028032299908</v>
      </c>
      <c r="M405">
        <v>3.2553215897367118</v>
      </c>
      <c r="N405">
        <v>3.6283812535815061</v>
      </c>
      <c r="O405">
        <v>3.1309683684551137</v>
      </c>
    </row>
    <row r="406" spans="1:15">
      <c r="A406" s="19">
        <v>43249</v>
      </c>
      <c r="B406">
        <v>3050</v>
      </c>
      <c r="C406">
        <v>3070</v>
      </c>
      <c r="D406">
        <v>970</v>
      </c>
      <c r="E406">
        <v>966</v>
      </c>
      <c r="F406">
        <v>3.1780538302277401</v>
      </c>
      <c r="G406">
        <v>3.3845204382439902</v>
      </c>
      <c r="H406">
        <v>0.12498058343886501</v>
      </c>
      <c r="I406">
        <v>-1.65198947176655</v>
      </c>
      <c r="J406">
        <v>-6.5</v>
      </c>
      <c r="L406">
        <v>3.5095010216828553</v>
      </c>
      <c r="M406">
        <v>3.2595398548051251</v>
      </c>
      <c r="N406">
        <v>3.6344816051217204</v>
      </c>
      <c r="O406">
        <v>3.13455927136626</v>
      </c>
    </row>
    <row r="407" spans="1:15">
      <c r="A407" s="19">
        <v>43248</v>
      </c>
      <c r="B407">
        <v>3030</v>
      </c>
      <c r="C407">
        <v>3050</v>
      </c>
      <c r="D407">
        <v>996</v>
      </c>
      <c r="E407">
        <v>977</v>
      </c>
      <c r="F407">
        <v>3.1218014329580299</v>
      </c>
      <c r="G407">
        <v>3.3907561024171602</v>
      </c>
      <c r="H407">
        <v>0.12618483642640499</v>
      </c>
      <c r="I407">
        <v>-2.13143414911027</v>
      </c>
      <c r="J407">
        <v>-8.6199999999999992</v>
      </c>
      <c r="L407">
        <v>3.5169409388435651</v>
      </c>
      <c r="M407">
        <v>3.2645712659907553</v>
      </c>
      <c r="N407">
        <v>3.6431257752699704</v>
      </c>
      <c r="O407">
        <v>3.13838642956435</v>
      </c>
    </row>
    <row r="408" spans="1:15">
      <c r="A408" s="19">
        <v>43245</v>
      </c>
      <c r="B408">
        <v>3010</v>
      </c>
      <c r="C408">
        <v>3030</v>
      </c>
      <c r="D408">
        <v>993</v>
      </c>
      <c r="E408">
        <v>999</v>
      </c>
      <c r="F408">
        <v>3.0330330330330302</v>
      </c>
      <c r="G408">
        <v>3.39764538534549</v>
      </c>
      <c r="H408">
        <v>0.12541534014658001</v>
      </c>
      <c r="I408">
        <v>-2.90723887433795</v>
      </c>
      <c r="J408">
        <v>-12.02</v>
      </c>
      <c r="L408">
        <v>3.5230607254920701</v>
      </c>
      <c r="M408">
        <v>3.2722300451989099</v>
      </c>
      <c r="N408">
        <v>3.6484760656386501</v>
      </c>
      <c r="O408">
        <v>3.1468147050523299</v>
      </c>
    </row>
    <row r="409" spans="1:15">
      <c r="A409" s="19">
        <v>43244</v>
      </c>
      <c r="B409">
        <v>3065</v>
      </c>
      <c r="C409">
        <v>3060</v>
      </c>
      <c r="D409">
        <v>994</v>
      </c>
      <c r="E409">
        <v>990</v>
      </c>
      <c r="F409">
        <v>3.0909090909090899</v>
      </c>
      <c r="G409">
        <v>3.4055994403178902</v>
      </c>
      <c r="H409">
        <v>0.120873783152338</v>
      </c>
      <c r="I409">
        <v>-2.6034623985599499</v>
      </c>
      <c r="J409">
        <v>-10.18</v>
      </c>
      <c r="L409">
        <v>3.5264732234702283</v>
      </c>
      <c r="M409">
        <v>3.2847256571655521</v>
      </c>
      <c r="N409">
        <v>3.6473470066225664</v>
      </c>
      <c r="O409">
        <v>3.163851874013214</v>
      </c>
    </row>
    <row r="410" spans="1:15">
      <c r="A410" s="19">
        <v>43243</v>
      </c>
      <c r="B410">
        <v>3050</v>
      </c>
      <c r="C410">
        <v>3080</v>
      </c>
      <c r="D410">
        <v>987</v>
      </c>
      <c r="E410">
        <v>985</v>
      </c>
      <c r="F410">
        <v>3.1269035532994902</v>
      </c>
      <c r="G410">
        <v>3.4126976109644498</v>
      </c>
      <c r="H410">
        <v>0.117777068288983</v>
      </c>
      <c r="I410">
        <v>-2.42656793734856</v>
      </c>
      <c r="J410">
        <v>-9.14</v>
      </c>
      <c r="L410">
        <v>3.5304746792534329</v>
      </c>
      <c r="M410">
        <v>3.2949205426754666</v>
      </c>
      <c r="N410">
        <v>3.6482517475424157</v>
      </c>
      <c r="O410">
        <v>3.1771434743864839</v>
      </c>
    </row>
    <row r="411" spans="1:15">
      <c r="A411" s="19">
        <v>43242</v>
      </c>
      <c r="B411">
        <v>3070</v>
      </c>
      <c r="C411">
        <v>3070</v>
      </c>
      <c r="D411">
        <v>982</v>
      </c>
      <c r="E411">
        <v>980</v>
      </c>
      <c r="F411">
        <v>3.1326530612244898</v>
      </c>
      <c r="G411">
        <v>3.4191796117611699</v>
      </c>
      <c r="H411">
        <v>0.115219841763935</v>
      </c>
      <c r="I411">
        <v>-2.4867813229922899</v>
      </c>
      <c r="J411">
        <v>-9.15</v>
      </c>
      <c r="L411">
        <v>3.5343994535251051</v>
      </c>
      <c r="M411">
        <v>3.3039597699972347</v>
      </c>
      <c r="N411">
        <v>3.6496192952890398</v>
      </c>
      <c r="O411">
        <v>3.1887399282333</v>
      </c>
    </row>
    <row r="412" spans="1:15">
      <c r="A412" s="19">
        <v>43241</v>
      </c>
      <c r="B412">
        <v>3095</v>
      </c>
      <c r="C412">
        <v>3065</v>
      </c>
      <c r="D412">
        <v>975</v>
      </c>
      <c r="E412">
        <v>983</v>
      </c>
      <c r="F412">
        <v>3.1180061037639799</v>
      </c>
      <c r="G412">
        <v>3.4250737395272202</v>
      </c>
      <c r="H412">
        <v>0.11166368549674099</v>
      </c>
      <c r="I412">
        <v>-2.74993283982369</v>
      </c>
      <c r="J412">
        <v>-9.85</v>
      </c>
      <c r="L412">
        <v>3.5367374250239614</v>
      </c>
      <c r="M412">
        <v>3.3134100540304789</v>
      </c>
      <c r="N412">
        <v>3.6484011105207022</v>
      </c>
      <c r="O412">
        <v>3.2017463685337382</v>
      </c>
    </row>
    <row r="413" spans="1:15">
      <c r="A413" s="19">
        <v>43238</v>
      </c>
      <c r="B413">
        <v>3130</v>
      </c>
      <c r="C413">
        <v>3110</v>
      </c>
      <c r="D413">
        <v>966</v>
      </c>
      <c r="E413">
        <v>971</v>
      </c>
      <c r="F413">
        <v>3.20288362512873</v>
      </c>
      <c r="G413">
        <v>3.4308944005508999</v>
      </c>
      <c r="H413">
        <v>0.106776553756735</v>
      </c>
      <c r="I413">
        <v>-2.1354011475368702</v>
      </c>
      <c r="J413">
        <v>-7.12</v>
      </c>
      <c r="L413">
        <v>3.537670954307635</v>
      </c>
      <c r="M413">
        <v>3.3241178467941648</v>
      </c>
      <c r="N413">
        <v>3.6444475080643697</v>
      </c>
      <c r="O413">
        <v>3.2173412930374301</v>
      </c>
    </row>
    <row r="414" spans="1:15">
      <c r="A414" s="19">
        <v>43237</v>
      </c>
      <c r="B414">
        <v>3110</v>
      </c>
      <c r="C414">
        <v>3105</v>
      </c>
      <c r="D414">
        <v>960</v>
      </c>
      <c r="E414">
        <v>958</v>
      </c>
      <c r="F414">
        <v>3.2411273486429999</v>
      </c>
      <c r="G414">
        <v>3.4358297349873799</v>
      </c>
      <c r="H414">
        <v>0.10465691803459801</v>
      </c>
      <c r="I414">
        <v>-1.8603871583531</v>
      </c>
      <c r="J414">
        <v>-6.01</v>
      </c>
      <c r="L414">
        <v>3.5404866530219778</v>
      </c>
      <c r="M414">
        <v>3.3311728169527819</v>
      </c>
      <c r="N414">
        <v>3.6451435710565758</v>
      </c>
      <c r="O414">
        <v>3.2265158989181839</v>
      </c>
    </row>
    <row r="415" spans="1:15">
      <c r="A415" s="19">
        <v>43236</v>
      </c>
      <c r="B415">
        <v>3115</v>
      </c>
      <c r="C415">
        <v>3095</v>
      </c>
      <c r="D415">
        <v>958</v>
      </c>
      <c r="E415">
        <v>958</v>
      </c>
      <c r="F415">
        <v>3.23068893528183</v>
      </c>
      <c r="G415">
        <v>3.44042767501452</v>
      </c>
      <c r="H415">
        <v>0.103571466079666</v>
      </c>
      <c r="I415">
        <v>-2.0250629605972899</v>
      </c>
      <c r="J415">
        <v>-6.49</v>
      </c>
      <c r="L415">
        <v>3.543999141094186</v>
      </c>
      <c r="M415">
        <v>3.3368562089348539</v>
      </c>
      <c r="N415">
        <v>3.6475706071738521</v>
      </c>
      <c r="O415">
        <v>3.2332847428551879</v>
      </c>
    </row>
    <row r="416" spans="1:15">
      <c r="A416" s="19">
        <v>43235</v>
      </c>
      <c r="B416">
        <v>3175</v>
      </c>
      <c r="C416">
        <v>3150</v>
      </c>
      <c r="D416">
        <v>964</v>
      </c>
      <c r="E416">
        <v>964</v>
      </c>
      <c r="F416">
        <v>3.2676348547717802</v>
      </c>
      <c r="G416">
        <v>3.44474589828463</v>
      </c>
      <c r="H416">
        <v>0.101466906114037</v>
      </c>
      <c r="I416">
        <v>-1.7455055081091999</v>
      </c>
      <c r="J416">
        <v>-5.42</v>
      </c>
      <c r="L416">
        <v>3.5462128043986669</v>
      </c>
      <c r="M416">
        <v>3.343278992170593</v>
      </c>
      <c r="N416">
        <v>3.6476797105127039</v>
      </c>
      <c r="O416">
        <v>3.241812086056556</v>
      </c>
    </row>
    <row r="417" spans="1:15">
      <c r="A417" s="19">
        <v>43234</v>
      </c>
      <c r="B417">
        <v>3160</v>
      </c>
      <c r="C417">
        <v>3180</v>
      </c>
      <c r="D417">
        <v>946</v>
      </c>
      <c r="E417">
        <v>958</v>
      </c>
      <c r="F417">
        <v>3.3194154488517702</v>
      </c>
      <c r="G417">
        <v>3.4483373737636098</v>
      </c>
      <c r="H417">
        <v>9.9889221687231994E-2</v>
      </c>
      <c r="I417">
        <v>-1.29064900831356</v>
      </c>
      <c r="J417">
        <v>-3.88</v>
      </c>
      <c r="L417">
        <v>3.5482265954508416</v>
      </c>
      <c r="M417">
        <v>3.348448152076378</v>
      </c>
      <c r="N417">
        <v>3.6481158171380739</v>
      </c>
      <c r="O417">
        <v>3.2485589303891458</v>
      </c>
    </row>
    <row r="418" spans="1:15">
      <c r="A418" s="19">
        <v>43231</v>
      </c>
      <c r="B418">
        <v>3150</v>
      </c>
      <c r="C418">
        <v>3125</v>
      </c>
      <c r="D418">
        <v>888</v>
      </c>
      <c r="E418">
        <v>942</v>
      </c>
      <c r="F418">
        <v>3.3174097664543498</v>
      </c>
      <c r="G418">
        <v>3.4512384413215198</v>
      </c>
      <c r="H418">
        <v>9.9260427471083601E-2</v>
      </c>
      <c r="I418">
        <v>-1.3482580951624401</v>
      </c>
      <c r="J418">
        <v>-4.03</v>
      </c>
      <c r="L418">
        <v>3.5504988687926033</v>
      </c>
      <c r="M418">
        <v>3.3519780138504363</v>
      </c>
      <c r="N418">
        <v>3.6497592962636869</v>
      </c>
      <c r="O418">
        <v>3.2527175863793527</v>
      </c>
    </row>
    <row r="419" spans="1:15">
      <c r="A419" s="19">
        <v>43230</v>
      </c>
      <c r="B419">
        <v>3065</v>
      </c>
      <c r="C419">
        <v>3150</v>
      </c>
      <c r="D419">
        <v>894</v>
      </c>
      <c r="E419">
        <v>899</v>
      </c>
      <c r="F419">
        <v>3.50389321468298</v>
      </c>
      <c r="G419">
        <v>3.45422234673687</v>
      </c>
      <c r="H419">
        <v>9.8553748885904902E-2</v>
      </c>
      <c r="I419">
        <v>0.50399775257262802</v>
      </c>
      <c r="J419">
        <v>1.42</v>
      </c>
      <c r="L419">
        <v>3.5527760956227747</v>
      </c>
      <c r="M419">
        <v>3.3556685978509653</v>
      </c>
      <c r="N419">
        <v>3.6513298445086799</v>
      </c>
      <c r="O419">
        <v>3.2571148489650601</v>
      </c>
    </row>
    <row r="420" spans="1:15">
      <c r="A420" s="19">
        <v>43229</v>
      </c>
      <c r="B420">
        <v>3075</v>
      </c>
      <c r="C420">
        <v>3060</v>
      </c>
      <c r="D420">
        <v>897</v>
      </c>
      <c r="E420">
        <v>891</v>
      </c>
      <c r="F420">
        <v>3.4343434343434298</v>
      </c>
      <c r="G420">
        <v>3.4544734675108</v>
      </c>
      <c r="H420">
        <v>9.8703874061028193E-2</v>
      </c>
      <c r="I420">
        <v>-0.20394369885543401</v>
      </c>
      <c r="J420">
        <v>-0.59</v>
      </c>
      <c r="L420">
        <v>3.553177341571828</v>
      </c>
      <c r="M420">
        <v>3.355769593449772</v>
      </c>
      <c r="N420">
        <v>3.6518812156328564</v>
      </c>
      <c r="O420">
        <v>3.2570657193887436</v>
      </c>
    </row>
    <row r="421" spans="1:15">
      <c r="A421" s="19">
        <v>43228</v>
      </c>
      <c r="B421">
        <v>3075</v>
      </c>
      <c r="C421">
        <v>3095</v>
      </c>
      <c r="D421">
        <v>891</v>
      </c>
      <c r="E421">
        <v>897</v>
      </c>
      <c r="F421">
        <v>3.4503901895206202</v>
      </c>
      <c r="G421">
        <v>3.4553638026293201</v>
      </c>
      <c r="H421">
        <v>9.8819377420857099E-2</v>
      </c>
      <c r="I421">
        <v>-5.0330342474412003E-2</v>
      </c>
      <c r="J421">
        <v>-0.14000000000000001</v>
      </c>
      <c r="L421">
        <v>3.5541831800501771</v>
      </c>
      <c r="M421">
        <v>3.3565444252084631</v>
      </c>
      <c r="N421">
        <v>3.6530025574710341</v>
      </c>
      <c r="O421">
        <v>3.2577250477876061</v>
      </c>
    </row>
    <row r="422" spans="1:15">
      <c r="A422" s="19">
        <v>43227</v>
      </c>
      <c r="B422">
        <v>3070</v>
      </c>
      <c r="C422">
        <v>3055</v>
      </c>
      <c r="D422">
        <v>889</v>
      </c>
      <c r="E422">
        <v>888</v>
      </c>
      <c r="F422">
        <v>3.4403153153153099</v>
      </c>
      <c r="G422">
        <v>3.4558994806055199</v>
      </c>
      <c r="H422">
        <v>9.8899824115146001E-2</v>
      </c>
      <c r="I422">
        <v>-0.157575257889919</v>
      </c>
      <c r="J422">
        <v>-0.45</v>
      </c>
      <c r="L422">
        <v>3.5547993047206661</v>
      </c>
      <c r="M422">
        <v>3.3569996564903737</v>
      </c>
      <c r="N422">
        <v>3.6536991288358118</v>
      </c>
      <c r="O422">
        <v>3.2580998323752279</v>
      </c>
    </row>
    <row r="423" spans="1:15">
      <c r="A423" s="19">
        <v>43222</v>
      </c>
      <c r="B423">
        <v>3015</v>
      </c>
      <c r="C423">
        <v>3030</v>
      </c>
      <c r="D423">
        <v>893</v>
      </c>
      <c r="E423">
        <v>884</v>
      </c>
      <c r="F423">
        <v>3.4276018099547501</v>
      </c>
      <c r="G423">
        <v>3.4566730294602701</v>
      </c>
      <c r="H423">
        <v>9.9001742121300904E-2</v>
      </c>
      <c r="I423">
        <v>-0.29364351457478499</v>
      </c>
      <c r="J423">
        <v>-0.85</v>
      </c>
      <c r="L423">
        <v>3.5556747715815709</v>
      </c>
      <c r="M423">
        <v>3.3576712873389694</v>
      </c>
      <c r="N423">
        <v>3.6546765137028721</v>
      </c>
      <c r="O423">
        <v>3.2586695452176682</v>
      </c>
    </row>
    <row r="424" spans="1:15">
      <c r="A424" s="19">
        <v>43221</v>
      </c>
      <c r="B424">
        <v>3015</v>
      </c>
      <c r="C424">
        <v>2999</v>
      </c>
      <c r="D424">
        <v>896</v>
      </c>
      <c r="E424">
        <v>890</v>
      </c>
      <c r="F424">
        <v>3.36966292134831</v>
      </c>
      <c r="G424">
        <v>3.4575208643583801</v>
      </c>
      <c r="H424">
        <v>9.9021425617222297E-2</v>
      </c>
      <c r="I424">
        <v>-0.88726194823424198</v>
      </c>
      <c r="J424">
        <v>-2.61</v>
      </c>
      <c r="L424">
        <v>3.5565422899756025</v>
      </c>
      <c r="M424">
        <v>3.3584994387411577</v>
      </c>
      <c r="N424">
        <v>3.6555637155928249</v>
      </c>
      <c r="O424">
        <v>3.2594780131239354</v>
      </c>
    </row>
    <row r="425" spans="1:15">
      <c r="A425" s="19">
        <v>43217</v>
      </c>
      <c r="B425">
        <v>2974</v>
      </c>
      <c r="C425">
        <v>3015</v>
      </c>
      <c r="D425">
        <v>895</v>
      </c>
      <c r="E425">
        <v>904</v>
      </c>
      <c r="F425">
        <v>3.3351769911504401</v>
      </c>
      <c r="G425">
        <v>3.45910535143847</v>
      </c>
      <c r="H425">
        <v>9.8552562264090302E-2</v>
      </c>
      <c r="I425">
        <v>-1.2574849140496001</v>
      </c>
      <c r="J425">
        <v>-3.72</v>
      </c>
      <c r="L425">
        <v>3.5576579137025601</v>
      </c>
      <c r="M425">
        <v>3.3605527891743798</v>
      </c>
      <c r="N425">
        <v>3.6562104759666507</v>
      </c>
      <c r="O425">
        <v>3.2620002269102892</v>
      </c>
    </row>
    <row r="426" spans="1:15">
      <c r="A426" s="19">
        <v>43216</v>
      </c>
      <c r="B426">
        <v>2961</v>
      </c>
      <c r="C426">
        <v>2967</v>
      </c>
      <c r="D426">
        <v>885</v>
      </c>
      <c r="E426">
        <v>892</v>
      </c>
      <c r="F426">
        <v>3.3262331838565</v>
      </c>
      <c r="G426">
        <v>3.4610987610677699</v>
      </c>
      <c r="H426">
        <v>9.7532456237132095E-2</v>
      </c>
      <c r="I426">
        <v>-1.3827763845438901</v>
      </c>
      <c r="J426">
        <v>-4.05</v>
      </c>
      <c r="L426">
        <v>3.5586312173049022</v>
      </c>
      <c r="M426">
        <v>3.3635663048306377</v>
      </c>
      <c r="N426">
        <v>3.656163673542034</v>
      </c>
      <c r="O426">
        <v>3.2660338485935059</v>
      </c>
    </row>
    <row r="427" spans="1:15">
      <c r="A427" s="19">
        <v>43215</v>
      </c>
      <c r="B427">
        <v>2906</v>
      </c>
      <c r="C427">
        <v>2951</v>
      </c>
      <c r="D427">
        <v>874</v>
      </c>
      <c r="E427">
        <v>881</v>
      </c>
      <c r="F427">
        <v>3.3496027241770698</v>
      </c>
      <c r="G427">
        <v>3.4629420636072399</v>
      </c>
      <c r="H427">
        <v>9.6264315571119502E-2</v>
      </c>
      <c r="I427">
        <v>-1.1773764635186801</v>
      </c>
      <c r="J427">
        <v>-3.38</v>
      </c>
      <c r="L427">
        <v>3.5592063791783595</v>
      </c>
      <c r="M427">
        <v>3.3666777480361203</v>
      </c>
      <c r="N427">
        <v>3.6554706947494791</v>
      </c>
      <c r="O427">
        <v>3.2704134324650007</v>
      </c>
    </row>
    <row r="428" spans="1:15">
      <c r="A428" s="19">
        <v>43214</v>
      </c>
      <c r="B428">
        <v>2907</v>
      </c>
      <c r="C428">
        <v>2928</v>
      </c>
      <c r="D428">
        <v>872</v>
      </c>
      <c r="E428">
        <v>875</v>
      </c>
      <c r="F428">
        <v>3.3462857142857101</v>
      </c>
      <c r="G428">
        <v>3.46467319034404</v>
      </c>
      <c r="H428">
        <v>9.5373854459041396E-2</v>
      </c>
      <c r="I428">
        <v>-1.2412990617797801</v>
      </c>
      <c r="J428">
        <v>-3.54</v>
      </c>
      <c r="L428">
        <v>3.5600470448030812</v>
      </c>
      <c r="M428">
        <v>3.3692993358849987</v>
      </c>
      <c r="N428">
        <v>3.6554208992621229</v>
      </c>
      <c r="O428">
        <v>3.2739254814259571</v>
      </c>
    </row>
    <row r="429" spans="1:15">
      <c r="A429" s="19">
        <v>43213</v>
      </c>
      <c r="B429">
        <v>2892</v>
      </c>
      <c r="C429">
        <v>2893</v>
      </c>
      <c r="D429">
        <v>878</v>
      </c>
      <c r="E429">
        <v>864</v>
      </c>
      <c r="F429">
        <v>3.34837962962962</v>
      </c>
      <c r="G429">
        <v>3.4659388234667601</v>
      </c>
      <c r="H429">
        <v>9.4419474184318605E-2</v>
      </c>
      <c r="I429">
        <v>-1.24507359157332</v>
      </c>
      <c r="J429">
        <v>-3.51</v>
      </c>
      <c r="L429">
        <v>3.5603582976510788</v>
      </c>
      <c r="M429">
        <v>3.3715193492824413</v>
      </c>
      <c r="N429">
        <v>3.6547777718353971</v>
      </c>
      <c r="O429">
        <v>3.2770998750981231</v>
      </c>
    </row>
    <row r="430" spans="1:15">
      <c r="A430" s="19">
        <v>43210</v>
      </c>
      <c r="B430">
        <v>2898</v>
      </c>
      <c r="C430">
        <v>2888</v>
      </c>
      <c r="D430">
        <v>884</v>
      </c>
      <c r="E430">
        <v>877</v>
      </c>
      <c r="F430">
        <v>3.2930444697833501</v>
      </c>
      <c r="G430">
        <v>3.4679014313548802</v>
      </c>
      <c r="H430">
        <v>9.3480625278276996E-2</v>
      </c>
      <c r="I430">
        <v>-1.87051553250756</v>
      </c>
      <c r="J430">
        <v>-5.31</v>
      </c>
      <c r="L430">
        <v>3.5613820566331573</v>
      </c>
      <c r="M430">
        <v>3.374420806076603</v>
      </c>
      <c r="N430">
        <v>3.654862681911434</v>
      </c>
      <c r="O430">
        <v>3.2809401807983263</v>
      </c>
    </row>
    <row r="431" spans="1:15">
      <c r="A431" s="19">
        <v>43209</v>
      </c>
      <c r="B431">
        <v>2904</v>
      </c>
      <c r="C431">
        <v>2900</v>
      </c>
      <c r="D431">
        <v>886</v>
      </c>
      <c r="E431">
        <v>882</v>
      </c>
      <c r="F431">
        <v>3.2879818594104302</v>
      </c>
      <c r="G431">
        <v>3.4708310197044998</v>
      </c>
      <c r="H431">
        <v>9.1374031168304407E-2</v>
      </c>
      <c r="I431">
        <v>-2.0011064189263701</v>
      </c>
      <c r="J431">
        <v>-5.56</v>
      </c>
      <c r="L431">
        <v>3.5622050508728043</v>
      </c>
      <c r="M431">
        <v>3.3794569885361954</v>
      </c>
      <c r="N431">
        <v>3.6535790820411087</v>
      </c>
      <c r="O431">
        <v>3.2880829573678909</v>
      </c>
    </row>
    <row r="432" spans="1:15">
      <c r="A432" s="19">
        <v>43208</v>
      </c>
      <c r="B432">
        <v>2860</v>
      </c>
      <c r="C432">
        <v>2914</v>
      </c>
      <c r="D432">
        <v>846</v>
      </c>
      <c r="E432">
        <v>871</v>
      </c>
      <c r="F432">
        <v>3.3455797933409799</v>
      </c>
      <c r="G432">
        <v>3.4737167950595298</v>
      </c>
      <c r="H432">
        <v>8.8938968549194905E-2</v>
      </c>
      <c r="I432">
        <v>-1.44072956780094</v>
      </c>
      <c r="J432">
        <v>-3.83</v>
      </c>
      <c r="L432">
        <v>3.5626557636087246</v>
      </c>
      <c r="M432">
        <v>3.384777826510335</v>
      </c>
      <c r="N432">
        <v>3.6515947321579194</v>
      </c>
      <c r="O432">
        <v>3.2958388579611402</v>
      </c>
    </row>
    <row r="433" spans="1:15">
      <c r="A433" s="19">
        <v>43207</v>
      </c>
      <c r="B433">
        <v>2870</v>
      </c>
      <c r="C433">
        <v>2881</v>
      </c>
      <c r="D433">
        <v>799</v>
      </c>
      <c r="E433">
        <v>801</v>
      </c>
      <c r="F433">
        <v>3.59675405742821</v>
      </c>
      <c r="G433">
        <v>3.4759318069565599</v>
      </c>
      <c r="H433">
        <v>8.7781289066504994E-2</v>
      </c>
      <c r="I433">
        <v>1.37640095920793</v>
      </c>
      <c r="J433">
        <v>3.36</v>
      </c>
      <c r="L433">
        <v>3.563713096023065</v>
      </c>
      <c r="M433">
        <v>3.3881505178900548</v>
      </c>
      <c r="N433">
        <v>3.65149438508957</v>
      </c>
      <c r="O433">
        <v>3.3003692288235498</v>
      </c>
    </row>
    <row r="434" spans="1:15">
      <c r="A434" s="19">
        <v>43206</v>
      </c>
      <c r="B434">
        <v>2849</v>
      </c>
      <c r="C434">
        <v>2855</v>
      </c>
      <c r="D434">
        <v>794</v>
      </c>
      <c r="E434">
        <v>800</v>
      </c>
      <c r="F434">
        <v>3.5687500000000001</v>
      </c>
      <c r="G434">
        <v>3.4750911910597702</v>
      </c>
      <c r="H434">
        <v>8.69178663893167E-2</v>
      </c>
      <c r="I434">
        <v>1.07755531550576</v>
      </c>
      <c r="J434">
        <v>2.62</v>
      </c>
      <c r="L434">
        <v>3.562009057449087</v>
      </c>
      <c r="M434">
        <v>3.3881733246704533</v>
      </c>
      <c r="N434">
        <v>3.6489269238384034</v>
      </c>
      <c r="O434">
        <v>3.3012554582811369</v>
      </c>
    </row>
    <row r="435" spans="1:15">
      <c r="A435" s="19">
        <v>43203</v>
      </c>
      <c r="B435">
        <v>2795</v>
      </c>
      <c r="C435">
        <v>2843</v>
      </c>
      <c r="D435">
        <v>788</v>
      </c>
      <c r="E435">
        <v>794</v>
      </c>
      <c r="F435">
        <v>3.5806045340050301</v>
      </c>
      <c r="G435">
        <v>3.4746896419742899</v>
      </c>
      <c r="H435">
        <v>8.6553048259161006E-2</v>
      </c>
      <c r="I435">
        <v>1.2236991551540699</v>
      </c>
      <c r="J435">
        <v>2.96</v>
      </c>
      <c r="L435">
        <v>3.5612426902334509</v>
      </c>
      <c r="M435">
        <v>3.3881365937151289</v>
      </c>
      <c r="N435">
        <v>3.6477957384926119</v>
      </c>
      <c r="O435">
        <v>3.3015835454559679</v>
      </c>
    </row>
    <row r="436" spans="1:15">
      <c r="A436" s="19">
        <v>43202</v>
      </c>
      <c r="B436">
        <v>2806</v>
      </c>
      <c r="C436">
        <v>2782</v>
      </c>
      <c r="D436">
        <v>790</v>
      </c>
      <c r="E436">
        <v>785</v>
      </c>
      <c r="F436">
        <v>3.5439490445859798</v>
      </c>
      <c r="G436">
        <v>3.4742141657905501</v>
      </c>
      <c r="H436">
        <v>8.6066485278077101E-2</v>
      </c>
      <c r="I436">
        <v>0.81024429625680505</v>
      </c>
      <c r="J436">
        <v>1.97</v>
      </c>
      <c r="L436">
        <v>3.5602806510686271</v>
      </c>
      <c r="M436">
        <v>3.3881476805124731</v>
      </c>
      <c r="N436">
        <v>3.6463471363467042</v>
      </c>
      <c r="O436">
        <v>3.302081195234396</v>
      </c>
    </row>
    <row r="437" spans="1:15">
      <c r="A437" s="19">
        <v>43201</v>
      </c>
      <c r="B437">
        <v>2809</v>
      </c>
      <c r="C437">
        <v>2807</v>
      </c>
      <c r="D437">
        <v>798</v>
      </c>
      <c r="E437">
        <v>790</v>
      </c>
      <c r="F437">
        <v>3.5531645569620198</v>
      </c>
      <c r="G437">
        <v>3.4749093446206998</v>
      </c>
      <c r="H437">
        <v>8.6834086382477804E-2</v>
      </c>
      <c r="I437">
        <v>0.90120384288531497</v>
      </c>
      <c r="J437">
        <v>2.2000000000000002</v>
      </c>
      <c r="L437">
        <v>3.5617434310031775</v>
      </c>
      <c r="M437">
        <v>3.3880752582382221</v>
      </c>
      <c r="N437">
        <v>3.6485775173856556</v>
      </c>
      <c r="O437">
        <v>3.3012411718557439</v>
      </c>
    </row>
    <row r="438" spans="1:15">
      <c r="A438" s="19">
        <v>43200</v>
      </c>
      <c r="B438">
        <v>2728</v>
      </c>
      <c r="C438">
        <v>2796</v>
      </c>
      <c r="D438">
        <v>788</v>
      </c>
      <c r="E438">
        <v>797</v>
      </c>
      <c r="F438">
        <v>3.5081555834378899</v>
      </c>
      <c r="G438">
        <v>3.4759701253562398</v>
      </c>
      <c r="H438">
        <v>8.8257864965082894E-2</v>
      </c>
      <c r="I438">
        <v>0.364675239927646</v>
      </c>
      <c r="J438">
        <v>0.92</v>
      </c>
      <c r="L438">
        <v>3.5642279903213225</v>
      </c>
      <c r="M438">
        <v>3.3877122603911571</v>
      </c>
      <c r="N438">
        <v>3.6524858552864057</v>
      </c>
      <c r="O438">
        <v>3.299454395426074</v>
      </c>
    </row>
    <row r="439" spans="1:15">
      <c r="A439" s="19">
        <v>43199</v>
      </c>
      <c r="B439">
        <v>2708</v>
      </c>
      <c r="C439">
        <v>2730</v>
      </c>
      <c r="D439">
        <v>784</v>
      </c>
      <c r="E439">
        <v>787</v>
      </c>
      <c r="F439">
        <v>3.4688691232528499</v>
      </c>
      <c r="G439">
        <v>3.4776999492661602</v>
      </c>
      <c r="H439">
        <v>9.0123418678314707E-2</v>
      </c>
      <c r="I439">
        <v>-9.7985919118618703E-2</v>
      </c>
      <c r="J439">
        <v>-0.25</v>
      </c>
      <c r="L439">
        <v>3.5678233679444751</v>
      </c>
      <c r="M439">
        <v>3.3875765305878454</v>
      </c>
      <c r="N439">
        <v>3.6579467866227895</v>
      </c>
      <c r="O439">
        <v>3.2974531119095309</v>
      </c>
    </row>
    <row r="440" spans="1:15">
      <c r="A440" s="19">
        <v>43196</v>
      </c>
      <c r="B440">
        <v>2787</v>
      </c>
      <c r="C440">
        <v>2728</v>
      </c>
      <c r="D440">
        <v>787</v>
      </c>
      <c r="E440">
        <v>787</v>
      </c>
      <c r="F440">
        <v>3.4663278271918601</v>
      </c>
      <c r="G440">
        <v>3.48063118117657</v>
      </c>
      <c r="H440">
        <v>9.3307433327622896E-2</v>
      </c>
      <c r="I440">
        <v>-0.15329276001500799</v>
      </c>
      <c r="J440">
        <v>-0.41</v>
      </c>
      <c r="L440">
        <v>3.5739386145041929</v>
      </c>
      <c r="M440">
        <v>3.3873237478489471</v>
      </c>
      <c r="N440">
        <v>3.6672460478318158</v>
      </c>
      <c r="O440">
        <v>3.2940163145213242</v>
      </c>
    </row>
    <row r="441" spans="1:15">
      <c r="A441" s="19">
        <v>43195</v>
      </c>
      <c r="B441">
        <v>2804</v>
      </c>
      <c r="C441">
        <v>2779</v>
      </c>
      <c r="D441">
        <v>780</v>
      </c>
      <c r="E441">
        <v>779</v>
      </c>
      <c r="F441">
        <v>3.5673940949935798</v>
      </c>
      <c r="G441">
        <v>3.48318305175808</v>
      </c>
      <c r="H441">
        <v>9.5473387465211307E-2</v>
      </c>
      <c r="I441">
        <v>0.88203682168685604</v>
      </c>
      <c r="J441">
        <v>2.36</v>
      </c>
      <c r="L441">
        <v>3.5786564392232911</v>
      </c>
      <c r="M441">
        <v>3.3877096642928688</v>
      </c>
      <c r="N441">
        <v>3.6741298266885027</v>
      </c>
      <c r="O441">
        <v>3.2922362768276572</v>
      </c>
    </row>
    <row r="442" spans="1:15">
      <c r="A442" s="19">
        <v>43194</v>
      </c>
      <c r="B442">
        <v>2705</v>
      </c>
      <c r="C442">
        <v>2774</v>
      </c>
      <c r="D442">
        <v>756</v>
      </c>
      <c r="E442">
        <v>771</v>
      </c>
      <c r="F442">
        <v>3.5979247730220401</v>
      </c>
      <c r="G442">
        <v>3.4843472440938998</v>
      </c>
      <c r="H442">
        <v>9.7013086009802504E-2</v>
      </c>
      <c r="I442">
        <v>1.1707444180950299</v>
      </c>
      <c r="J442">
        <v>3.16</v>
      </c>
      <c r="L442">
        <v>3.5813603301037022</v>
      </c>
      <c r="M442">
        <v>3.3873341580840974</v>
      </c>
      <c r="N442">
        <v>3.6783734161135047</v>
      </c>
      <c r="O442">
        <v>3.290321072074295</v>
      </c>
    </row>
    <row r="443" spans="1:15">
      <c r="A443" s="19">
        <v>43193</v>
      </c>
      <c r="B443">
        <v>2555</v>
      </c>
      <c r="C443">
        <v>2570</v>
      </c>
      <c r="D443">
        <v>750</v>
      </c>
      <c r="E443">
        <v>756</v>
      </c>
      <c r="F443">
        <v>3.3994708994708902</v>
      </c>
      <c r="G443">
        <v>3.4849688395462102</v>
      </c>
      <c r="H443">
        <v>9.7884266330956607E-2</v>
      </c>
      <c r="I443">
        <v>-0.87345947699339899</v>
      </c>
      <c r="J443">
        <v>-2.52</v>
      </c>
      <c r="L443">
        <v>3.5828531058771667</v>
      </c>
      <c r="M443">
        <v>3.3870845732152537</v>
      </c>
      <c r="N443">
        <v>3.6807373722081236</v>
      </c>
      <c r="O443">
        <v>3.2892003068842968</v>
      </c>
    </row>
    <row r="444" spans="1:15">
      <c r="A444" s="19">
        <v>43192</v>
      </c>
      <c r="B444">
        <v>2640</v>
      </c>
      <c r="C444">
        <v>2605</v>
      </c>
      <c r="D444">
        <v>770</v>
      </c>
      <c r="E444">
        <v>761</v>
      </c>
      <c r="F444">
        <v>3.42312746386333</v>
      </c>
      <c r="G444">
        <v>3.4887092275532701</v>
      </c>
      <c r="H444">
        <v>9.9885113188021998E-2</v>
      </c>
      <c r="I444">
        <v>-0.65657195148276903</v>
      </c>
      <c r="J444">
        <v>-1.92</v>
      </c>
      <c r="L444">
        <v>3.5885943407412921</v>
      </c>
      <c r="M444">
        <v>3.388824114365248</v>
      </c>
      <c r="N444">
        <v>3.6884794539293142</v>
      </c>
      <c r="O444">
        <v>3.2889390011772259</v>
      </c>
    </row>
    <row r="445" spans="1:15">
      <c r="A445" s="19">
        <v>43189</v>
      </c>
      <c r="B445">
        <v>2633</v>
      </c>
      <c r="C445">
        <v>2638</v>
      </c>
      <c r="D445">
        <v>768</v>
      </c>
      <c r="E445">
        <v>771</v>
      </c>
      <c r="F445">
        <v>3.42153047989623</v>
      </c>
      <c r="G445">
        <v>3.49130541349765</v>
      </c>
      <c r="H445">
        <v>0.10067414940421</v>
      </c>
      <c r="I445">
        <v>-0.69307696180539802</v>
      </c>
      <c r="J445">
        <v>-2.04</v>
      </c>
      <c r="L445">
        <v>3.59197956290186</v>
      </c>
      <c r="M445">
        <v>3.39063126409344</v>
      </c>
      <c r="N445">
        <v>3.6926537123060701</v>
      </c>
      <c r="O445">
        <v>3.2899571146892299</v>
      </c>
    </row>
    <row r="446" spans="1:15">
      <c r="A446" s="19">
        <v>43188</v>
      </c>
      <c r="B446">
        <v>2609</v>
      </c>
      <c r="C446">
        <v>2620</v>
      </c>
      <c r="D446">
        <v>765</v>
      </c>
      <c r="E446">
        <v>764</v>
      </c>
      <c r="F446">
        <v>3.4293193717277402</v>
      </c>
      <c r="G446">
        <v>3.4941766272107602</v>
      </c>
      <c r="H446">
        <v>0.101708667829626</v>
      </c>
      <c r="I446">
        <v>-0.63767677688651903</v>
      </c>
      <c r="J446">
        <v>-1.89</v>
      </c>
      <c r="L446">
        <v>3.5958852950403863</v>
      </c>
      <c r="M446">
        <v>3.392467959381134</v>
      </c>
      <c r="N446">
        <v>3.6975939628700121</v>
      </c>
      <c r="O446">
        <v>3.2907592915515083</v>
      </c>
    </row>
    <row r="447" spans="1:15">
      <c r="A447" s="19">
        <v>43187</v>
      </c>
      <c r="B447">
        <v>2617</v>
      </c>
      <c r="C447">
        <v>2589</v>
      </c>
      <c r="D447">
        <v>756</v>
      </c>
      <c r="E447">
        <v>759</v>
      </c>
      <c r="F447">
        <v>3.4110671936758798</v>
      </c>
      <c r="G447">
        <v>3.4966890014580301</v>
      </c>
      <c r="H447">
        <v>0.102400446861069</v>
      </c>
      <c r="I447">
        <v>-0.83614681778014599</v>
      </c>
      <c r="J447">
        <v>-2.5099999999999998</v>
      </c>
      <c r="L447">
        <v>3.5990894483190989</v>
      </c>
      <c r="M447">
        <v>3.3942885545969612</v>
      </c>
      <c r="N447">
        <v>3.7014898951801682</v>
      </c>
      <c r="O447">
        <v>3.2918881077358919</v>
      </c>
    </row>
    <row r="448" spans="1:15">
      <c r="A448" s="19">
        <v>43186</v>
      </c>
      <c r="B448">
        <v>2684</v>
      </c>
      <c r="C448">
        <v>2704</v>
      </c>
      <c r="D448">
        <v>748</v>
      </c>
      <c r="E448">
        <v>772</v>
      </c>
      <c r="F448">
        <v>3.5025906735751202</v>
      </c>
      <c r="G448">
        <v>3.4992288232634001</v>
      </c>
      <c r="H448">
        <v>0.102607381137669</v>
      </c>
      <c r="I448">
        <v>3.2764215151437001E-2</v>
      </c>
      <c r="J448">
        <v>0.1</v>
      </c>
      <c r="L448">
        <v>3.601836204401069</v>
      </c>
      <c r="M448">
        <v>3.3966214421257312</v>
      </c>
      <c r="N448">
        <v>3.7044435855387383</v>
      </c>
      <c r="O448">
        <v>3.2940140609880619</v>
      </c>
    </row>
    <row r="449" spans="1:15">
      <c r="A449" s="19">
        <v>43185</v>
      </c>
      <c r="B449">
        <v>2583</v>
      </c>
      <c r="C449">
        <v>2651</v>
      </c>
      <c r="D449">
        <v>740</v>
      </c>
      <c r="E449">
        <v>747</v>
      </c>
      <c r="F449">
        <v>3.5488621151271702</v>
      </c>
      <c r="G449">
        <v>3.5013357868136201</v>
      </c>
      <c r="H449">
        <v>0.104263843760958</v>
      </c>
      <c r="I449">
        <v>0.45582751027781898</v>
      </c>
      <c r="J449">
        <v>1.34</v>
      </c>
      <c r="L449">
        <v>3.6055996305745781</v>
      </c>
      <c r="M449">
        <v>3.3970719430526621</v>
      </c>
      <c r="N449">
        <v>3.7098634743355361</v>
      </c>
      <c r="O449">
        <v>3.2928080992917041</v>
      </c>
    </row>
    <row r="450" spans="1:15">
      <c r="A450" s="19">
        <v>43182</v>
      </c>
      <c r="B450">
        <v>2605</v>
      </c>
      <c r="C450">
        <v>2598</v>
      </c>
      <c r="D450">
        <v>760</v>
      </c>
      <c r="E450">
        <v>749</v>
      </c>
      <c r="F450">
        <v>3.4686248331108098</v>
      </c>
      <c r="G450">
        <v>3.50296657422754</v>
      </c>
      <c r="H450">
        <v>0.105937530618342</v>
      </c>
      <c r="I450">
        <v>-0.32416973395811699</v>
      </c>
      <c r="J450">
        <v>-0.99</v>
      </c>
      <c r="L450">
        <v>3.6089041048458821</v>
      </c>
      <c r="M450">
        <v>3.3970290436091979</v>
      </c>
      <c r="N450">
        <v>3.7148416354642242</v>
      </c>
      <c r="O450">
        <v>3.2910915129908558</v>
      </c>
    </row>
    <row r="451" spans="1:15">
      <c r="A451" s="19">
        <v>43181</v>
      </c>
      <c r="B451">
        <v>2698</v>
      </c>
      <c r="C451">
        <v>2678</v>
      </c>
      <c r="D451">
        <v>782</v>
      </c>
      <c r="E451">
        <v>785</v>
      </c>
      <c r="F451">
        <v>3.4114649681528602</v>
      </c>
      <c r="G451">
        <v>3.5051557431193898</v>
      </c>
      <c r="H451">
        <v>0.106897346661016</v>
      </c>
      <c r="I451">
        <v>-0.87645557062922796</v>
      </c>
      <c r="J451">
        <v>-2.75</v>
      </c>
      <c r="L451">
        <v>3.6120530897804057</v>
      </c>
      <c r="M451">
        <v>3.3982583964583739</v>
      </c>
      <c r="N451">
        <v>3.7189504364414216</v>
      </c>
      <c r="O451">
        <v>3.291361049797358</v>
      </c>
    </row>
    <row r="452" spans="1:15">
      <c r="A452" s="19">
        <v>43179</v>
      </c>
      <c r="B452">
        <v>2637</v>
      </c>
      <c r="C452">
        <v>2703</v>
      </c>
      <c r="D452">
        <v>773</v>
      </c>
      <c r="E452">
        <v>777</v>
      </c>
      <c r="F452">
        <v>3.4787644787644698</v>
      </c>
      <c r="G452">
        <v>3.5090211835135099</v>
      </c>
      <c r="H452">
        <v>0.10866651319305699</v>
      </c>
      <c r="I452">
        <v>-0.27843632651838002</v>
      </c>
      <c r="J452">
        <v>-0.87</v>
      </c>
      <c r="L452">
        <v>3.6176876967065668</v>
      </c>
      <c r="M452">
        <v>3.400354670320453</v>
      </c>
      <c r="N452">
        <v>3.7263542098996241</v>
      </c>
      <c r="O452">
        <v>3.2916881571273957</v>
      </c>
    </row>
    <row r="453" spans="1:15">
      <c r="A453" s="19">
        <v>43178</v>
      </c>
      <c r="B453">
        <v>2671</v>
      </c>
      <c r="C453">
        <v>2651</v>
      </c>
      <c r="D453">
        <v>781</v>
      </c>
      <c r="E453">
        <v>776</v>
      </c>
      <c r="F453">
        <v>3.4162371134020599</v>
      </c>
      <c r="G453">
        <v>3.5115162340828099</v>
      </c>
      <c r="H453">
        <v>0.11008223106444701</v>
      </c>
      <c r="I453">
        <v>-0.86552679537325194</v>
      </c>
      <c r="J453">
        <v>-2.79</v>
      </c>
      <c r="L453">
        <v>3.6215984651472568</v>
      </c>
      <c r="M453">
        <v>3.401434003018363</v>
      </c>
      <c r="N453">
        <v>3.7316806962117037</v>
      </c>
      <c r="O453">
        <v>3.291351771953916</v>
      </c>
    </row>
    <row r="454" spans="1:15">
      <c r="A454" s="19">
        <v>43175</v>
      </c>
      <c r="B454">
        <v>2704</v>
      </c>
      <c r="C454">
        <v>2683</v>
      </c>
      <c r="D454">
        <v>796</v>
      </c>
      <c r="E454">
        <v>785</v>
      </c>
      <c r="F454">
        <v>3.4178343949044501</v>
      </c>
      <c r="G454">
        <v>3.5148811345862798</v>
      </c>
      <c r="H454">
        <v>0.110971875596032</v>
      </c>
      <c r="I454">
        <v>-0.87451653097317195</v>
      </c>
      <c r="J454">
        <v>-2.84</v>
      </c>
      <c r="L454">
        <v>3.6258530101823117</v>
      </c>
      <c r="M454">
        <v>3.403909258990248</v>
      </c>
      <c r="N454">
        <v>3.7368248857783439</v>
      </c>
      <c r="O454">
        <v>3.2929373833942157</v>
      </c>
    </row>
    <row r="455" spans="1:15">
      <c r="A455" s="19">
        <v>43174</v>
      </c>
      <c r="B455">
        <v>2780</v>
      </c>
      <c r="C455">
        <v>2713</v>
      </c>
      <c r="D455">
        <v>792</v>
      </c>
      <c r="E455">
        <v>787</v>
      </c>
      <c r="F455">
        <v>3.44726810673443</v>
      </c>
      <c r="G455">
        <v>3.5178507159261101</v>
      </c>
      <c r="H455">
        <v>0.111314614429132</v>
      </c>
      <c r="I455">
        <v>-0.63408214234635896</v>
      </c>
      <c r="J455">
        <v>-2.0499999999999998</v>
      </c>
      <c r="L455">
        <v>3.6291653303552422</v>
      </c>
      <c r="M455">
        <v>3.4065361014969779</v>
      </c>
      <c r="N455">
        <v>3.740479944784374</v>
      </c>
      <c r="O455">
        <v>3.2952214870678462</v>
      </c>
    </row>
    <row r="456" spans="1:15">
      <c r="A456" s="19">
        <v>43173</v>
      </c>
      <c r="B456">
        <v>2780</v>
      </c>
      <c r="C456">
        <v>2812</v>
      </c>
      <c r="D456">
        <v>795</v>
      </c>
      <c r="E456">
        <v>794</v>
      </c>
      <c r="F456">
        <v>3.5415617128463399</v>
      </c>
      <c r="G456">
        <v>3.5208573928859002</v>
      </c>
      <c r="H456">
        <v>0.112407620048945</v>
      </c>
      <c r="I456">
        <v>0.18418964792089901</v>
      </c>
      <c r="J456">
        <v>0.57999999999999996</v>
      </c>
      <c r="L456">
        <v>3.6332650129348449</v>
      </c>
      <c r="M456">
        <v>3.4084497728369554</v>
      </c>
      <c r="N456">
        <v>3.7456726329837902</v>
      </c>
      <c r="O456">
        <v>3.2960421527880102</v>
      </c>
    </row>
    <row r="457" spans="1:15">
      <c r="A457" s="19">
        <v>43172</v>
      </c>
      <c r="B457">
        <v>2747</v>
      </c>
      <c r="C457">
        <v>2791</v>
      </c>
      <c r="D457">
        <v>796</v>
      </c>
      <c r="E457">
        <v>801</v>
      </c>
      <c r="F457">
        <v>3.4843945068664102</v>
      </c>
      <c r="G457">
        <v>3.5223574558822399</v>
      </c>
      <c r="H457">
        <v>0.113420027327727</v>
      </c>
      <c r="I457">
        <v>-0.33471116089692998</v>
      </c>
      <c r="J457">
        <v>-1.0900000000000001</v>
      </c>
      <c r="L457">
        <v>3.6357774832099667</v>
      </c>
      <c r="M457">
        <v>3.4089374285545131</v>
      </c>
      <c r="N457">
        <v>3.749197510537694</v>
      </c>
      <c r="O457">
        <v>3.2955174012267858</v>
      </c>
    </row>
    <row r="458" spans="1:15">
      <c r="A458" s="19">
        <v>43171</v>
      </c>
      <c r="B458">
        <v>2740</v>
      </c>
      <c r="C458">
        <v>2776</v>
      </c>
      <c r="D458">
        <v>801</v>
      </c>
      <c r="E458">
        <v>797</v>
      </c>
      <c r="F458">
        <v>3.4830614805520699</v>
      </c>
      <c r="G458">
        <v>3.5248596014873699</v>
      </c>
      <c r="H458">
        <v>0.114618581222746</v>
      </c>
      <c r="I458">
        <v>-0.36467142141709102</v>
      </c>
      <c r="J458">
        <v>-1.2</v>
      </c>
      <c r="L458">
        <v>3.6394781827101159</v>
      </c>
      <c r="M458">
        <v>3.4102410202646238</v>
      </c>
      <c r="N458">
        <v>3.754096763932862</v>
      </c>
      <c r="O458">
        <v>3.2956224390418778</v>
      </c>
    </row>
    <row r="459" spans="1:15">
      <c r="A459" s="19">
        <v>43168</v>
      </c>
      <c r="B459">
        <v>2745</v>
      </c>
      <c r="C459">
        <v>2718</v>
      </c>
      <c r="D459">
        <v>792</v>
      </c>
      <c r="E459">
        <v>790</v>
      </c>
      <c r="F459">
        <v>3.4405063291139202</v>
      </c>
      <c r="G459">
        <v>3.5279492981786098</v>
      </c>
      <c r="H459">
        <v>0.116557079695956</v>
      </c>
      <c r="I459">
        <v>-0.75021585383560097</v>
      </c>
      <c r="J459">
        <v>-2.54</v>
      </c>
      <c r="L459">
        <v>3.6445063778745657</v>
      </c>
      <c r="M459">
        <v>3.4113922184826539</v>
      </c>
      <c r="N459">
        <v>3.761063457570522</v>
      </c>
      <c r="O459">
        <v>3.2948351387866976</v>
      </c>
    </row>
    <row r="460" spans="1:15">
      <c r="A460" s="19">
        <v>43167</v>
      </c>
      <c r="B460">
        <v>2728</v>
      </c>
      <c r="C460">
        <v>2723</v>
      </c>
      <c r="D460">
        <v>790</v>
      </c>
      <c r="E460">
        <v>779</v>
      </c>
      <c r="F460">
        <v>3.4955070603337601</v>
      </c>
      <c r="G460">
        <v>3.53188072042586</v>
      </c>
      <c r="H460">
        <v>0.118497900170996</v>
      </c>
      <c r="I460">
        <v>-0.30695615736326298</v>
      </c>
      <c r="J460">
        <v>-1.04</v>
      </c>
      <c r="L460">
        <v>3.650378620596856</v>
      </c>
      <c r="M460">
        <v>3.4133828202548639</v>
      </c>
      <c r="N460">
        <v>3.7688765207678521</v>
      </c>
      <c r="O460">
        <v>3.2948849200838679</v>
      </c>
    </row>
    <row r="461" spans="1:15">
      <c r="A461" s="19">
        <v>43166</v>
      </c>
      <c r="B461">
        <v>2675</v>
      </c>
      <c r="C461">
        <v>2714</v>
      </c>
      <c r="D461">
        <v>767</v>
      </c>
      <c r="E461">
        <v>781</v>
      </c>
      <c r="F461">
        <v>3.4750320102432699</v>
      </c>
      <c r="G461">
        <v>3.5358459517318601</v>
      </c>
      <c r="H461">
        <v>0.122134347267512</v>
      </c>
      <c r="I461">
        <v>-0.497926609910886</v>
      </c>
      <c r="J461">
        <v>-1.75</v>
      </c>
      <c r="L461">
        <v>3.6579802989993722</v>
      </c>
      <c r="M461">
        <v>3.4137116044643481</v>
      </c>
      <c r="N461">
        <v>3.7801146462668842</v>
      </c>
      <c r="O461">
        <v>3.291577257196836</v>
      </c>
    </row>
    <row r="462" spans="1:15">
      <c r="A462" s="19">
        <v>43165</v>
      </c>
      <c r="B462">
        <v>2680</v>
      </c>
      <c r="C462">
        <v>2666</v>
      </c>
      <c r="D462">
        <v>786</v>
      </c>
      <c r="E462">
        <v>780</v>
      </c>
      <c r="F462">
        <v>3.4179487179487098</v>
      </c>
      <c r="G462">
        <v>3.5393021877770399</v>
      </c>
      <c r="H462">
        <v>0.12401772498966999</v>
      </c>
      <c r="I462">
        <v>-0.97851714211359797</v>
      </c>
      <c r="J462">
        <v>-3.55</v>
      </c>
      <c r="L462">
        <v>3.6633199127667098</v>
      </c>
      <c r="M462">
        <v>3.41528446278737</v>
      </c>
      <c r="N462">
        <v>3.7873376377563797</v>
      </c>
      <c r="O462">
        <v>3.2912667377977001</v>
      </c>
    </row>
    <row r="463" spans="1:15">
      <c r="A463" s="19">
        <v>43164</v>
      </c>
      <c r="B463">
        <v>2625</v>
      </c>
      <c r="C463">
        <v>2647</v>
      </c>
      <c r="D463">
        <v>772</v>
      </c>
      <c r="E463">
        <v>779</v>
      </c>
      <c r="F463">
        <v>3.3979460847239999</v>
      </c>
      <c r="G463">
        <v>3.5436917453094501</v>
      </c>
      <c r="H463">
        <v>0.12546261583006399</v>
      </c>
      <c r="I463">
        <v>-1.1616660438744399</v>
      </c>
      <c r="J463">
        <v>-4.29</v>
      </c>
      <c r="L463">
        <v>3.6691543611395141</v>
      </c>
      <c r="M463">
        <v>3.4182291294793861</v>
      </c>
      <c r="N463">
        <v>3.7946169769695781</v>
      </c>
      <c r="O463">
        <v>3.292766513649322</v>
      </c>
    </row>
    <row r="464" spans="1:15">
      <c r="A464" s="19">
        <v>43161</v>
      </c>
      <c r="B464">
        <v>2615</v>
      </c>
      <c r="C464">
        <v>2633</v>
      </c>
      <c r="D464">
        <v>779</v>
      </c>
      <c r="E464">
        <v>781</v>
      </c>
      <c r="F464">
        <v>3.3713188220230399</v>
      </c>
      <c r="G464">
        <v>3.5467856536799802</v>
      </c>
      <c r="H464">
        <v>0.12468908708785</v>
      </c>
      <c r="I464">
        <v>-1.40723487319549</v>
      </c>
      <c r="J464">
        <v>-5.2</v>
      </c>
      <c r="L464">
        <v>3.6714747407678301</v>
      </c>
      <c r="M464">
        <v>3.4220965665921304</v>
      </c>
      <c r="N464">
        <v>3.7961638278556804</v>
      </c>
      <c r="O464">
        <v>3.29740747950428</v>
      </c>
    </row>
    <row r="465" spans="1:15">
      <c r="A465" s="19">
        <v>43160</v>
      </c>
      <c r="B465">
        <v>2688</v>
      </c>
      <c r="C465">
        <v>2662</v>
      </c>
      <c r="D465">
        <v>810</v>
      </c>
      <c r="E465">
        <v>794</v>
      </c>
      <c r="F465">
        <v>3.3526448362720398</v>
      </c>
      <c r="G465">
        <v>3.5476211570697198</v>
      </c>
      <c r="H465">
        <v>0.123716688652678</v>
      </c>
      <c r="I465">
        <v>-1.5759904578844499</v>
      </c>
      <c r="J465">
        <v>-5.82</v>
      </c>
      <c r="L465">
        <v>3.6713378457223977</v>
      </c>
      <c r="M465">
        <v>3.4239044684170419</v>
      </c>
      <c r="N465">
        <v>3.7950545343750757</v>
      </c>
      <c r="O465">
        <v>3.3001877797643639</v>
      </c>
    </row>
    <row r="466" spans="1:15">
      <c r="A466" s="19">
        <v>43159</v>
      </c>
      <c r="B466">
        <v>2735</v>
      </c>
      <c r="C466">
        <v>2704</v>
      </c>
      <c r="D466">
        <v>826</v>
      </c>
      <c r="E466">
        <v>821</v>
      </c>
      <c r="F466">
        <v>3.2935444579780699</v>
      </c>
      <c r="G466">
        <v>3.55040970705477</v>
      </c>
      <c r="H466">
        <v>0.121629936420717</v>
      </c>
      <c r="I466">
        <v>-2.11185877947185</v>
      </c>
      <c r="J466">
        <v>-7.8</v>
      </c>
      <c r="L466">
        <v>3.6720396434754869</v>
      </c>
      <c r="M466">
        <v>3.428779770634053</v>
      </c>
      <c r="N466">
        <v>3.7936695798962039</v>
      </c>
      <c r="O466">
        <v>3.3071498342133361</v>
      </c>
    </row>
    <row r="467" spans="1:15">
      <c r="A467" s="19">
        <v>43158</v>
      </c>
      <c r="B467">
        <v>2788</v>
      </c>
      <c r="C467">
        <v>2747</v>
      </c>
      <c r="D467">
        <v>825</v>
      </c>
      <c r="E467">
        <v>830</v>
      </c>
      <c r="F467">
        <v>3.30963855421686</v>
      </c>
      <c r="G467">
        <v>3.5550241861503098</v>
      </c>
      <c r="H467">
        <v>0.118317182484848</v>
      </c>
      <c r="I467">
        <v>-2.0739644638247601</v>
      </c>
      <c r="J467">
        <v>-7.41</v>
      </c>
      <c r="L467">
        <v>3.6733413686351577</v>
      </c>
      <c r="M467">
        <v>3.4367070036654619</v>
      </c>
      <c r="N467">
        <v>3.7916585511200056</v>
      </c>
      <c r="O467">
        <v>3.318389821180614</v>
      </c>
    </row>
    <row r="468" spans="1:15">
      <c r="A468" s="19">
        <v>43157</v>
      </c>
      <c r="B468">
        <v>2759</v>
      </c>
      <c r="C468">
        <v>2740</v>
      </c>
      <c r="D468">
        <v>826</v>
      </c>
      <c r="E468">
        <v>818</v>
      </c>
      <c r="F468">
        <v>3.3496332518337399</v>
      </c>
      <c r="G468">
        <v>3.5598165354034399</v>
      </c>
      <c r="H468">
        <v>0.115527215894076</v>
      </c>
      <c r="I468">
        <v>-1.8193399879246801</v>
      </c>
      <c r="J468">
        <v>-6.27</v>
      </c>
      <c r="L468">
        <v>3.675343751297516</v>
      </c>
      <c r="M468">
        <v>3.4442893195093638</v>
      </c>
      <c r="N468">
        <v>3.7908709671915917</v>
      </c>
      <c r="O468">
        <v>3.3287621036152881</v>
      </c>
    </row>
    <row r="469" spans="1:15">
      <c r="A469" s="19">
        <v>43154</v>
      </c>
      <c r="B469">
        <v>2685</v>
      </c>
      <c r="C469">
        <v>2739</v>
      </c>
      <c r="D469">
        <v>811</v>
      </c>
      <c r="E469">
        <v>819</v>
      </c>
      <c r="F469">
        <v>3.34432234432234</v>
      </c>
      <c r="G469">
        <v>3.5642702633949401</v>
      </c>
      <c r="H469">
        <v>0.113763704884845</v>
      </c>
      <c r="I469">
        <v>-1.93337514188061</v>
      </c>
      <c r="J469">
        <v>-6.58</v>
      </c>
      <c r="L469">
        <v>3.6780339682797853</v>
      </c>
      <c r="M469">
        <v>3.4505065585100949</v>
      </c>
      <c r="N469">
        <v>3.7917976731646301</v>
      </c>
      <c r="O469">
        <v>3.3367428536252501</v>
      </c>
    </row>
    <row r="470" spans="1:15">
      <c r="A470" s="19">
        <v>43153</v>
      </c>
      <c r="B470">
        <v>2740</v>
      </c>
      <c r="C470">
        <v>2679</v>
      </c>
      <c r="D470">
        <v>818</v>
      </c>
      <c r="E470">
        <v>813</v>
      </c>
      <c r="F470">
        <v>3.2952029520295198</v>
      </c>
      <c r="G470">
        <v>3.5696259370110202</v>
      </c>
      <c r="H470">
        <v>0.11273332145472501</v>
      </c>
      <c r="I470">
        <v>-2.4342668293661198</v>
      </c>
      <c r="J470">
        <v>-8.33</v>
      </c>
      <c r="L470">
        <v>3.6823592584657452</v>
      </c>
      <c r="M470">
        <v>3.4568926155562951</v>
      </c>
      <c r="N470">
        <v>3.7950925799204702</v>
      </c>
      <c r="O470">
        <v>3.3441592941015701</v>
      </c>
    </row>
    <row r="471" spans="1:15">
      <c r="A471" s="19">
        <v>43152</v>
      </c>
      <c r="B471">
        <v>2751</v>
      </c>
      <c r="C471">
        <v>2759</v>
      </c>
      <c r="D471">
        <v>813</v>
      </c>
      <c r="E471">
        <v>824</v>
      </c>
      <c r="F471">
        <v>3.3483009708737801</v>
      </c>
      <c r="G471">
        <v>3.57520129830209</v>
      </c>
      <c r="H471">
        <v>0.10931171735657801</v>
      </c>
      <c r="I471">
        <v>-2.0757182570662098</v>
      </c>
      <c r="J471">
        <v>-6.78</v>
      </c>
      <c r="L471">
        <v>3.6845130156586681</v>
      </c>
      <c r="M471">
        <v>3.4658895809455119</v>
      </c>
      <c r="N471">
        <v>3.7938247330152461</v>
      </c>
      <c r="O471">
        <v>3.3565778635889338</v>
      </c>
    </row>
    <row r="472" spans="1:15">
      <c r="A472" s="19">
        <v>43151</v>
      </c>
      <c r="B472">
        <v>2731</v>
      </c>
      <c r="C472">
        <v>2751</v>
      </c>
      <c r="D472">
        <v>810</v>
      </c>
      <c r="E472">
        <v>813</v>
      </c>
      <c r="F472">
        <v>3.3837638376383699</v>
      </c>
      <c r="G472">
        <v>3.57979475812399</v>
      </c>
      <c r="H472">
        <v>0.10689212828000499</v>
      </c>
      <c r="I472">
        <v>-1.83391353170662</v>
      </c>
      <c r="J472">
        <v>-5.79</v>
      </c>
      <c r="L472">
        <v>3.686686886403995</v>
      </c>
      <c r="M472">
        <v>3.4729026298439849</v>
      </c>
      <c r="N472">
        <v>3.7935790146840001</v>
      </c>
      <c r="O472">
        <v>3.3660105015639799</v>
      </c>
    </row>
    <row r="473" spans="1:15">
      <c r="A473" s="19">
        <v>43150</v>
      </c>
      <c r="B473">
        <v>2732</v>
      </c>
      <c r="C473">
        <v>2742</v>
      </c>
      <c r="D473">
        <v>797</v>
      </c>
      <c r="E473">
        <v>808</v>
      </c>
      <c r="F473">
        <v>3.3935643564356401</v>
      </c>
      <c r="G473">
        <v>3.5842580456922501</v>
      </c>
      <c r="H473">
        <v>0.10559446768315101</v>
      </c>
      <c r="I473">
        <v>-1.80590606156383</v>
      </c>
      <c r="J473">
        <v>-5.62</v>
      </c>
      <c r="L473">
        <v>3.689852513375401</v>
      </c>
      <c r="M473">
        <v>3.4786635780090993</v>
      </c>
      <c r="N473">
        <v>3.7954469810585523</v>
      </c>
      <c r="O473">
        <v>3.373069110325948</v>
      </c>
    </row>
    <row r="474" spans="1:15">
      <c r="A474" s="19">
        <v>43147</v>
      </c>
      <c r="B474">
        <v>2623</v>
      </c>
      <c r="C474">
        <v>2690</v>
      </c>
      <c r="D474">
        <v>789</v>
      </c>
      <c r="E474">
        <v>796</v>
      </c>
      <c r="F474">
        <v>3.3793969849246199</v>
      </c>
      <c r="G474">
        <v>3.5890849257016799</v>
      </c>
      <c r="H474">
        <v>0.105039942490348</v>
      </c>
      <c r="I474">
        <v>-1.9962686174959201</v>
      </c>
      <c r="J474">
        <v>-6.2</v>
      </c>
      <c r="L474">
        <v>3.694124868192028</v>
      </c>
      <c r="M474">
        <v>3.4840449832113318</v>
      </c>
      <c r="N474">
        <v>3.7991648106823761</v>
      </c>
      <c r="O474">
        <v>3.3790050407209837</v>
      </c>
    </row>
    <row r="475" spans="1:15">
      <c r="A475" s="19">
        <v>43146</v>
      </c>
      <c r="B475">
        <v>2569</v>
      </c>
      <c r="C475">
        <v>2593</v>
      </c>
      <c r="D475">
        <v>783</v>
      </c>
      <c r="E475">
        <v>784</v>
      </c>
      <c r="F475">
        <v>3.3073979591836702</v>
      </c>
      <c r="G475">
        <v>3.5945699812757601</v>
      </c>
      <c r="H475">
        <v>0.104687350075255</v>
      </c>
      <c r="I475">
        <v>-2.74313966191384</v>
      </c>
      <c r="J475">
        <v>-8.68</v>
      </c>
      <c r="L475">
        <v>3.6992573313510153</v>
      </c>
      <c r="M475">
        <v>3.4898826312005049</v>
      </c>
      <c r="N475">
        <v>3.8039446814262701</v>
      </c>
      <c r="O475">
        <v>3.3851952811252501</v>
      </c>
    </row>
    <row r="476" spans="1:15">
      <c r="A476" s="19">
        <v>43145</v>
      </c>
      <c r="B476">
        <v>2647</v>
      </c>
      <c r="C476">
        <v>2563</v>
      </c>
      <c r="D476">
        <v>796</v>
      </c>
      <c r="E476">
        <v>771</v>
      </c>
      <c r="F476">
        <v>3.3242542153047898</v>
      </c>
      <c r="G476">
        <v>3.6002079859132801</v>
      </c>
      <c r="H476">
        <v>0.100366986638019</v>
      </c>
      <c r="I476">
        <v>-2.7494476007706901</v>
      </c>
      <c r="J476">
        <v>-8.3000000000000007</v>
      </c>
      <c r="L476">
        <v>3.7005749725512991</v>
      </c>
      <c r="M476">
        <v>3.499840999275261</v>
      </c>
      <c r="N476">
        <v>3.8009419591893181</v>
      </c>
      <c r="O476">
        <v>3.399474012637242</v>
      </c>
    </row>
    <row r="477" spans="1:15">
      <c r="A477" s="19">
        <v>43144</v>
      </c>
      <c r="B477">
        <v>2727</v>
      </c>
      <c r="C477">
        <v>2661</v>
      </c>
      <c r="D477">
        <v>809</v>
      </c>
      <c r="E477">
        <v>784</v>
      </c>
      <c r="F477">
        <v>3.3941326530612201</v>
      </c>
      <c r="G477">
        <v>3.6059791858575299</v>
      </c>
      <c r="H477">
        <v>9.6711233301185501E-2</v>
      </c>
      <c r="I477">
        <v>-2.1905059584605402</v>
      </c>
      <c r="J477">
        <v>-6.24</v>
      </c>
      <c r="L477">
        <v>3.7026904191587153</v>
      </c>
      <c r="M477">
        <v>3.5092679525563444</v>
      </c>
      <c r="N477">
        <v>3.7994016524599008</v>
      </c>
      <c r="O477">
        <v>3.4125567192551589</v>
      </c>
    </row>
    <row r="478" spans="1:15">
      <c r="A478" s="19">
        <v>43140</v>
      </c>
      <c r="B478">
        <v>2676</v>
      </c>
      <c r="C478">
        <v>2677</v>
      </c>
      <c r="D478">
        <v>771</v>
      </c>
      <c r="E478">
        <v>789</v>
      </c>
      <c r="F478">
        <v>3.3929024081115302</v>
      </c>
      <c r="G478">
        <v>3.6112961661965799</v>
      </c>
      <c r="H478">
        <v>9.5876460414429099E-2</v>
      </c>
      <c r="I478">
        <v>-2.2778662994132</v>
      </c>
      <c r="J478">
        <v>-6.44</v>
      </c>
      <c r="L478">
        <v>3.7071726266110092</v>
      </c>
      <c r="M478">
        <v>3.5154197057821506</v>
      </c>
      <c r="N478">
        <v>3.8030490870254381</v>
      </c>
      <c r="O478">
        <v>3.4195432453677217</v>
      </c>
    </row>
    <row r="479" spans="1:15">
      <c r="A479" s="19">
        <v>43139</v>
      </c>
      <c r="B479">
        <v>2821</v>
      </c>
      <c r="C479">
        <v>2726</v>
      </c>
      <c r="D479">
        <v>798</v>
      </c>
      <c r="E479">
        <v>798</v>
      </c>
      <c r="F479">
        <v>3.41604010025062</v>
      </c>
      <c r="G479">
        <v>3.6172328046086601</v>
      </c>
      <c r="H479">
        <v>9.5954562748385902E-2</v>
      </c>
      <c r="I479">
        <v>-2.0967497385779201</v>
      </c>
      <c r="J479">
        <v>-5.89</v>
      </c>
      <c r="L479">
        <v>3.7131873673570461</v>
      </c>
      <c r="M479">
        <v>3.5212782418602742</v>
      </c>
      <c r="N479">
        <v>3.8091419301054321</v>
      </c>
      <c r="O479">
        <v>3.4253236791118882</v>
      </c>
    </row>
    <row r="480" spans="1:15">
      <c r="A480" s="19">
        <v>43138</v>
      </c>
      <c r="B480">
        <v>2952</v>
      </c>
      <c r="C480">
        <v>2821</v>
      </c>
      <c r="D480">
        <v>813</v>
      </c>
      <c r="E480">
        <v>788</v>
      </c>
      <c r="F480">
        <v>3.57994923857868</v>
      </c>
      <c r="G480">
        <v>3.62153545312183</v>
      </c>
      <c r="H480">
        <v>9.4052651023588396E-2</v>
      </c>
      <c r="I480">
        <v>-0.44215887686916699</v>
      </c>
      <c r="J480">
        <v>-1.1599999999999999</v>
      </c>
      <c r="L480">
        <v>3.7155881041454184</v>
      </c>
      <c r="M480">
        <v>3.5274828020982416</v>
      </c>
      <c r="N480">
        <v>3.8096407551690068</v>
      </c>
      <c r="O480">
        <v>3.4334301510746532</v>
      </c>
    </row>
    <row r="481" spans="1:15">
      <c r="A481" s="19">
        <v>43137</v>
      </c>
      <c r="B481">
        <v>3005</v>
      </c>
      <c r="C481">
        <v>2902</v>
      </c>
      <c r="D481">
        <v>822</v>
      </c>
      <c r="E481">
        <v>796</v>
      </c>
      <c r="F481">
        <v>3.64572864321608</v>
      </c>
      <c r="G481">
        <v>3.62378409103319</v>
      </c>
      <c r="H481">
        <v>9.5042348714215893E-2</v>
      </c>
      <c r="I481">
        <v>0.23089235987708301</v>
      </c>
      <c r="J481">
        <v>0.6</v>
      </c>
      <c r="L481">
        <v>3.718826439747406</v>
      </c>
      <c r="M481">
        <v>3.528741742318974</v>
      </c>
      <c r="N481">
        <v>3.8138687884616216</v>
      </c>
      <c r="O481">
        <v>3.4336993936047584</v>
      </c>
    </row>
    <row r="482" spans="1:15">
      <c r="A482" s="19">
        <v>43136</v>
      </c>
      <c r="B482">
        <v>3120</v>
      </c>
      <c r="C482">
        <v>3100</v>
      </c>
      <c r="D482">
        <v>857</v>
      </c>
      <c r="E482">
        <v>852</v>
      </c>
      <c r="F482">
        <v>3.6384976525821502</v>
      </c>
      <c r="G482">
        <v>3.6246874844045398</v>
      </c>
      <c r="H482">
        <v>9.5567201613549702E-2</v>
      </c>
      <c r="I482">
        <v>0.144507403632674</v>
      </c>
      <c r="J482">
        <v>0.38</v>
      </c>
      <c r="L482">
        <v>3.7202546860180896</v>
      </c>
      <c r="M482">
        <v>3.52912028279099</v>
      </c>
      <c r="N482">
        <v>3.815821887631639</v>
      </c>
      <c r="O482">
        <v>3.4335530811774406</v>
      </c>
    </row>
    <row r="483" spans="1:15">
      <c r="A483" s="19">
        <v>43133</v>
      </c>
      <c r="B483">
        <v>3135</v>
      </c>
      <c r="C483">
        <v>3165</v>
      </c>
      <c r="D483">
        <v>867</v>
      </c>
      <c r="E483">
        <v>872</v>
      </c>
      <c r="F483">
        <v>3.6295871559632999</v>
      </c>
      <c r="G483">
        <v>3.6267830103762</v>
      </c>
      <c r="H483">
        <v>9.7549577701124601E-2</v>
      </c>
      <c r="I483">
        <v>2.8745850604183699E-2</v>
      </c>
      <c r="J483">
        <v>0.08</v>
      </c>
      <c r="L483">
        <v>3.7243325880773246</v>
      </c>
      <c r="M483">
        <v>3.5292334326750754</v>
      </c>
      <c r="N483">
        <v>3.8218821657784492</v>
      </c>
      <c r="O483">
        <v>3.4316838549739508</v>
      </c>
    </row>
    <row r="484" spans="1:15">
      <c r="A484" s="19">
        <v>43132</v>
      </c>
      <c r="B484">
        <v>3130</v>
      </c>
      <c r="C484">
        <v>3145</v>
      </c>
      <c r="D484">
        <v>864</v>
      </c>
      <c r="E484">
        <v>868</v>
      </c>
      <c r="F484">
        <v>3.6232718894009199</v>
      </c>
      <c r="G484">
        <v>3.6291382266127199</v>
      </c>
      <c r="H484">
        <v>9.9697593093502901E-2</v>
      </c>
      <c r="I484">
        <v>-5.8841312310348497E-2</v>
      </c>
      <c r="J484">
        <v>-0.16</v>
      </c>
      <c r="L484">
        <v>3.728835819706223</v>
      </c>
      <c r="M484">
        <v>3.5294406335192168</v>
      </c>
      <c r="N484">
        <v>3.8285334127997257</v>
      </c>
      <c r="O484">
        <v>3.4297430404257141</v>
      </c>
    </row>
    <row r="485" spans="1:15">
      <c r="A485" s="19">
        <v>43131</v>
      </c>
      <c r="B485">
        <v>3120</v>
      </c>
      <c r="C485">
        <v>3100</v>
      </c>
      <c r="D485">
        <v>871</v>
      </c>
      <c r="E485">
        <v>858</v>
      </c>
      <c r="F485">
        <v>3.6130536130536099</v>
      </c>
      <c r="G485">
        <v>3.6317051277364998</v>
      </c>
      <c r="H485">
        <v>0.101966063352172</v>
      </c>
      <c r="I485">
        <v>-0.18291884642512601</v>
      </c>
      <c r="J485">
        <v>-0.52</v>
      </c>
      <c r="L485">
        <v>3.7336711910886717</v>
      </c>
      <c r="M485">
        <v>3.5297390643843278</v>
      </c>
      <c r="N485">
        <v>3.8356372544408437</v>
      </c>
      <c r="O485">
        <v>3.4277730010321559</v>
      </c>
    </row>
    <row r="486" spans="1:15">
      <c r="A486" s="19">
        <v>43130</v>
      </c>
      <c r="B486">
        <v>3150</v>
      </c>
      <c r="C486">
        <v>3110</v>
      </c>
      <c r="D486">
        <v>887</v>
      </c>
      <c r="E486">
        <v>870</v>
      </c>
      <c r="F486">
        <v>3.57471264367816</v>
      </c>
      <c r="G486">
        <v>3.6342098125941198</v>
      </c>
      <c r="H486">
        <v>0.103768399641743</v>
      </c>
      <c r="I486">
        <v>-0.57336500438842897</v>
      </c>
      <c r="J486">
        <v>-1.66</v>
      </c>
      <c r="L486">
        <v>3.7379782122358627</v>
      </c>
      <c r="M486">
        <v>3.5304414129523769</v>
      </c>
      <c r="N486">
        <v>3.841746611877606</v>
      </c>
      <c r="O486">
        <v>3.4266730133106336</v>
      </c>
    </row>
    <row r="487" spans="1:15">
      <c r="A487" s="19">
        <v>43129</v>
      </c>
      <c r="B487">
        <v>3150</v>
      </c>
      <c r="C487">
        <v>3160</v>
      </c>
      <c r="D487">
        <v>890</v>
      </c>
      <c r="E487">
        <v>889</v>
      </c>
      <c r="F487">
        <v>3.5545556805399299</v>
      </c>
      <c r="G487">
        <v>3.63596693094137</v>
      </c>
      <c r="H487">
        <v>0.103861764049945</v>
      </c>
      <c r="I487">
        <v>-0.78384236149015096</v>
      </c>
      <c r="J487">
        <v>-2.29</v>
      </c>
      <c r="L487">
        <v>3.7398286949913149</v>
      </c>
      <c r="M487">
        <v>3.5321051668914252</v>
      </c>
      <c r="N487">
        <v>3.8436904590412602</v>
      </c>
      <c r="O487">
        <v>3.4282434028414799</v>
      </c>
    </row>
    <row r="488" spans="1:15">
      <c r="A488" s="19">
        <v>43126</v>
      </c>
      <c r="B488">
        <v>3170</v>
      </c>
      <c r="C488">
        <v>3180</v>
      </c>
      <c r="D488">
        <v>884</v>
      </c>
      <c r="E488">
        <v>890</v>
      </c>
      <c r="F488">
        <v>3.5730337078651599</v>
      </c>
      <c r="G488">
        <v>3.6373233357852301</v>
      </c>
      <c r="H488">
        <v>0.103453180358175</v>
      </c>
      <c r="I488">
        <v>-0.62143694082175105</v>
      </c>
      <c r="J488">
        <v>-1.8</v>
      </c>
      <c r="L488">
        <v>3.7407765161434052</v>
      </c>
      <c r="M488">
        <v>3.5338701554270551</v>
      </c>
      <c r="N488">
        <v>3.8442296965015803</v>
      </c>
      <c r="O488">
        <v>3.43041697506888</v>
      </c>
    </row>
    <row r="489" spans="1:15">
      <c r="A489" s="19">
        <v>43125</v>
      </c>
      <c r="B489">
        <v>3160</v>
      </c>
      <c r="C489">
        <v>3170</v>
      </c>
      <c r="D489">
        <v>888</v>
      </c>
      <c r="E489">
        <v>884</v>
      </c>
      <c r="F489">
        <v>3.5859728506787301</v>
      </c>
      <c r="G489">
        <v>3.6378225978124799</v>
      </c>
      <c r="H489">
        <v>0.10323183238035299</v>
      </c>
      <c r="I489">
        <v>-0.50226510503767596</v>
      </c>
      <c r="J489">
        <v>-1.45</v>
      </c>
      <c r="L489">
        <v>3.741054430192833</v>
      </c>
      <c r="M489">
        <v>3.5345907654321267</v>
      </c>
      <c r="N489">
        <v>3.8442862625731857</v>
      </c>
      <c r="O489">
        <v>3.431358933051774</v>
      </c>
    </row>
    <row r="490" spans="1:15">
      <c r="A490" s="19">
        <v>43124</v>
      </c>
      <c r="B490">
        <v>3150</v>
      </c>
      <c r="C490">
        <v>3160</v>
      </c>
      <c r="D490">
        <v>887</v>
      </c>
      <c r="E490">
        <v>889</v>
      </c>
      <c r="F490">
        <v>3.5545556805399299</v>
      </c>
      <c r="G490">
        <v>3.6377471830311801</v>
      </c>
      <c r="H490">
        <v>0.103271741333676</v>
      </c>
      <c r="I490">
        <v>-0.80555921123143703</v>
      </c>
      <c r="J490">
        <v>-2.34</v>
      </c>
      <c r="L490">
        <v>3.7410189243648562</v>
      </c>
      <c r="M490">
        <v>3.5344754416975039</v>
      </c>
      <c r="N490">
        <v>3.8442906656985318</v>
      </c>
      <c r="O490">
        <v>3.4312037003638283</v>
      </c>
    </row>
    <row r="491" spans="1:15">
      <c r="A491" s="19">
        <v>43123</v>
      </c>
      <c r="B491">
        <v>3170</v>
      </c>
      <c r="C491">
        <v>3155</v>
      </c>
      <c r="D491">
        <v>900</v>
      </c>
      <c r="E491">
        <v>892</v>
      </c>
      <c r="F491">
        <v>3.5369955156950601</v>
      </c>
      <c r="G491">
        <v>3.6383712273359499</v>
      </c>
      <c r="H491">
        <v>0.102907920527039</v>
      </c>
      <c r="I491">
        <v>-0.98511087505893202</v>
      </c>
      <c r="J491">
        <v>-2.87</v>
      </c>
      <c r="L491">
        <v>3.741279147862989</v>
      </c>
      <c r="M491">
        <v>3.5354633068089107</v>
      </c>
      <c r="N491">
        <v>3.8441870683900277</v>
      </c>
      <c r="O491">
        <v>3.4325553862818721</v>
      </c>
    </row>
    <row r="492" spans="1:15">
      <c r="A492" s="19">
        <v>43122</v>
      </c>
      <c r="B492">
        <v>3180</v>
      </c>
      <c r="C492">
        <v>3155</v>
      </c>
      <c r="D492">
        <v>897</v>
      </c>
      <c r="E492">
        <v>892</v>
      </c>
      <c r="F492">
        <v>3.5369955156950601</v>
      </c>
      <c r="G492">
        <v>3.6406221575181701</v>
      </c>
      <c r="H492">
        <v>0.10251144142852101</v>
      </c>
      <c r="I492">
        <v>-1.01087878951893</v>
      </c>
      <c r="J492">
        <v>-2.93</v>
      </c>
      <c r="L492">
        <v>3.7431335989466912</v>
      </c>
      <c r="M492">
        <v>3.538110716089649</v>
      </c>
      <c r="N492">
        <v>3.8456450403752123</v>
      </c>
      <c r="O492">
        <v>3.4355992746611279</v>
      </c>
    </row>
    <row r="493" spans="1:15">
      <c r="A493" s="19">
        <v>43119</v>
      </c>
      <c r="B493">
        <v>3115</v>
      </c>
      <c r="C493">
        <v>3180</v>
      </c>
      <c r="D493">
        <v>883</v>
      </c>
      <c r="E493">
        <v>898</v>
      </c>
      <c r="F493">
        <v>3.5412026726057899</v>
      </c>
      <c r="G493">
        <v>3.6427011823012898</v>
      </c>
      <c r="H493">
        <v>0.10196844791543599</v>
      </c>
      <c r="I493">
        <v>-0.99539133693273796</v>
      </c>
      <c r="J493">
        <v>-2.87</v>
      </c>
      <c r="L493">
        <v>3.7446696302167259</v>
      </c>
      <c r="M493">
        <v>3.5407327343858537</v>
      </c>
      <c r="N493">
        <v>3.8466380781321616</v>
      </c>
      <c r="O493">
        <v>3.438764286470418</v>
      </c>
    </row>
    <row r="494" spans="1:15">
      <c r="A494" s="19">
        <v>43118</v>
      </c>
      <c r="B494">
        <v>3130</v>
      </c>
      <c r="C494">
        <v>3100</v>
      </c>
      <c r="D494">
        <v>900</v>
      </c>
      <c r="E494">
        <v>880</v>
      </c>
      <c r="F494">
        <v>3.5227272727272698</v>
      </c>
      <c r="G494">
        <v>3.6443277392591402</v>
      </c>
      <c r="H494">
        <v>0.101307250647312</v>
      </c>
      <c r="I494">
        <v>-1.20031355855471</v>
      </c>
      <c r="J494">
        <v>-3.45</v>
      </c>
      <c r="L494">
        <v>3.7456349899064523</v>
      </c>
      <c r="M494">
        <v>3.5430204886118282</v>
      </c>
      <c r="N494">
        <v>3.8469422405537643</v>
      </c>
      <c r="O494">
        <v>3.4417132379645161</v>
      </c>
    </row>
    <row r="495" spans="1:15">
      <c r="A495" s="19">
        <v>43117</v>
      </c>
      <c r="B495">
        <v>3135</v>
      </c>
      <c r="C495">
        <v>3130</v>
      </c>
      <c r="D495">
        <v>901</v>
      </c>
      <c r="E495">
        <v>894</v>
      </c>
      <c r="F495">
        <v>3.50111856823266</v>
      </c>
      <c r="G495">
        <v>3.64648493402402</v>
      </c>
      <c r="H495">
        <v>0.100413572084985</v>
      </c>
      <c r="I495">
        <v>-1.4476764721438999</v>
      </c>
      <c r="J495">
        <v>-4.1500000000000004</v>
      </c>
      <c r="L495">
        <v>3.7468985061090048</v>
      </c>
      <c r="M495">
        <v>3.5460713619390352</v>
      </c>
      <c r="N495">
        <v>3.84731207819399</v>
      </c>
      <c r="O495">
        <v>3.4456577898540499</v>
      </c>
    </row>
    <row r="496" spans="1:15">
      <c r="A496" s="19">
        <v>43116</v>
      </c>
      <c r="B496">
        <v>3135</v>
      </c>
      <c r="C496">
        <v>3145</v>
      </c>
      <c r="D496">
        <v>899</v>
      </c>
      <c r="E496">
        <v>901</v>
      </c>
      <c r="F496">
        <v>3.4905660377358401</v>
      </c>
      <c r="G496">
        <v>3.6494873973480599</v>
      </c>
      <c r="H496">
        <v>9.9383425479776605E-2</v>
      </c>
      <c r="I496">
        <v>-1.5990730732515299</v>
      </c>
      <c r="J496">
        <v>-4.55</v>
      </c>
      <c r="L496">
        <v>3.7488708228278367</v>
      </c>
      <c r="M496">
        <v>3.5501039718682832</v>
      </c>
      <c r="N496">
        <v>3.848254248307613</v>
      </c>
      <c r="O496">
        <v>3.4507205463885069</v>
      </c>
    </row>
    <row r="497" spans="1:15">
      <c r="A497" s="19">
        <v>43115</v>
      </c>
      <c r="B497">
        <v>3190</v>
      </c>
      <c r="C497">
        <v>3145</v>
      </c>
      <c r="D497">
        <v>911</v>
      </c>
      <c r="E497">
        <v>899</v>
      </c>
      <c r="F497">
        <v>3.4983314794215699</v>
      </c>
      <c r="G497">
        <v>3.65280713014638</v>
      </c>
      <c r="H497">
        <v>9.8170457233554498E-2</v>
      </c>
      <c r="I497">
        <v>-1.5735451894382</v>
      </c>
      <c r="J497">
        <v>-4.42</v>
      </c>
      <c r="L497">
        <v>3.7509775873799347</v>
      </c>
      <c r="M497">
        <v>3.5546366729128254</v>
      </c>
      <c r="N497">
        <v>3.8491480446134889</v>
      </c>
      <c r="O497">
        <v>3.4564662156792711</v>
      </c>
    </row>
    <row r="498" spans="1:15">
      <c r="A498" s="19">
        <v>43112</v>
      </c>
      <c r="B498">
        <v>3180</v>
      </c>
      <c r="C498">
        <v>3170</v>
      </c>
      <c r="D498">
        <v>915</v>
      </c>
      <c r="E498">
        <v>908</v>
      </c>
      <c r="F498">
        <v>3.4911894273127699</v>
      </c>
      <c r="G498">
        <v>3.6558421976002502</v>
      </c>
      <c r="H498">
        <v>9.6857687267713002E-2</v>
      </c>
      <c r="I498">
        <v>-1.6999453004941401</v>
      </c>
      <c r="J498">
        <v>-4.72</v>
      </c>
      <c r="L498">
        <v>3.7526998848679631</v>
      </c>
      <c r="M498">
        <v>3.5589845103325373</v>
      </c>
      <c r="N498">
        <v>3.8495575721356761</v>
      </c>
      <c r="O498">
        <v>3.4621268230648243</v>
      </c>
    </row>
    <row r="499" spans="1:15">
      <c r="A499" s="19">
        <v>43111</v>
      </c>
      <c r="B499">
        <v>3165</v>
      </c>
      <c r="C499">
        <v>3185</v>
      </c>
      <c r="D499">
        <v>916</v>
      </c>
      <c r="E499">
        <v>913</v>
      </c>
      <c r="F499">
        <v>3.48849945235487</v>
      </c>
      <c r="G499">
        <v>3.65880991344864</v>
      </c>
      <c r="H499">
        <v>9.5162331179544105E-2</v>
      </c>
      <c r="I499">
        <v>-1.7896835752420099</v>
      </c>
      <c r="J499">
        <v>-4.88</v>
      </c>
      <c r="L499">
        <v>3.753972244628184</v>
      </c>
      <c r="M499">
        <v>3.5636475822690961</v>
      </c>
      <c r="N499">
        <v>3.8491345758077284</v>
      </c>
      <c r="O499">
        <v>3.4684852510895516</v>
      </c>
    </row>
    <row r="500" spans="1:15">
      <c r="A500" s="19">
        <v>43110</v>
      </c>
      <c r="B500">
        <v>3185</v>
      </c>
      <c r="C500">
        <v>3185</v>
      </c>
      <c r="D500">
        <v>922</v>
      </c>
      <c r="E500">
        <v>914</v>
      </c>
      <c r="F500">
        <v>3.4846827133479201</v>
      </c>
      <c r="G500">
        <v>3.6607378344196402</v>
      </c>
      <c r="H500">
        <v>9.3135536303226907E-2</v>
      </c>
      <c r="I500">
        <v>-1.89031091739817</v>
      </c>
      <c r="J500">
        <v>-5.05</v>
      </c>
      <c r="L500">
        <v>3.7538733707228671</v>
      </c>
      <c r="M500">
        <v>3.5676022981164133</v>
      </c>
      <c r="N500">
        <v>3.847008907026094</v>
      </c>
      <c r="O500">
        <v>3.4744667618131864</v>
      </c>
    </row>
    <row r="501" spans="1:15">
      <c r="A501" s="19">
        <v>43109</v>
      </c>
      <c r="B501">
        <v>3215</v>
      </c>
      <c r="C501">
        <v>3170</v>
      </c>
      <c r="D501">
        <v>923</v>
      </c>
      <c r="E501">
        <v>915</v>
      </c>
      <c r="F501">
        <v>3.46448087431693</v>
      </c>
      <c r="G501">
        <v>3.6632684109831399</v>
      </c>
      <c r="H501">
        <v>9.0868414253741495E-2</v>
      </c>
      <c r="I501">
        <v>-2.18764174877212</v>
      </c>
      <c r="J501">
        <v>-5.74</v>
      </c>
      <c r="L501">
        <v>3.7541368252368814</v>
      </c>
      <c r="M501">
        <v>3.5723999967293985</v>
      </c>
      <c r="N501">
        <v>3.8450052394906229</v>
      </c>
      <c r="O501">
        <v>3.481531582475657</v>
      </c>
    </row>
    <row r="502" spans="1:15">
      <c r="A502" s="19">
        <v>43105</v>
      </c>
      <c r="B502">
        <v>3200</v>
      </c>
      <c r="C502">
        <v>3215</v>
      </c>
      <c r="D502">
        <v>932</v>
      </c>
      <c r="E502">
        <v>924</v>
      </c>
      <c r="F502">
        <v>3.4794372294372198</v>
      </c>
      <c r="G502">
        <v>3.6665615636494602</v>
      </c>
      <c r="H502">
        <v>8.80358593300236E-2</v>
      </c>
      <c r="I502">
        <v>-2.1255467446595202</v>
      </c>
      <c r="J502">
        <v>-5.38</v>
      </c>
      <c r="L502">
        <v>3.7545974229794838</v>
      </c>
      <c r="M502">
        <v>3.5785257043194365</v>
      </c>
      <c r="N502">
        <v>3.8426332823095075</v>
      </c>
      <c r="O502">
        <v>3.4904898449894128</v>
      </c>
    </row>
    <row r="503" spans="1:15">
      <c r="A503" s="19">
        <v>43104</v>
      </c>
      <c r="B503">
        <v>3185</v>
      </c>
      <c r="C503">
        <v>3190</v>
      </c>
      <c r="D503">
        <v>915</v>
      </c>
      <c r="E503">
        <v>927</v>
      </c>
      <c r="F503">
        <v>3.44120819848975</v>
      </c>
      <c r="G503">
        <v>3.66940868912297</v>
      </c>
      <c r="H503">
        <v>8.5350060028441699E-2</v>
      </c>
      <c r="I503">
        <v>-2.6737004116597101</v>
      </c>
      <c r="J503">
        <v>-6.63</v>
      </c>
      <c r="L503">
        <v>3.7547587491514118</v>
      </c>
      <c r="M503">
        <v>3.5840586290945282</v>
      </c>
      <c r="N503">
        <v>3.8401088091798536</v>
      </c>
      <c r="O503">
        <v>3.4987085690660864</v>
      </c>
    </row>
    <row r="504" spans="1:15">
      <c r="A504" s="19">
        <v>43098</v>
      </c>
      <c r="B504">
        <v>3175</v>
      </c>
      <c r="C504">
        <v>3160</v>
      </c>
      <c r="D504">
        <v>904</v>
      </c>
      <c r="E504">
        <v>904</v>
      </c>
      <c r="F504">
        <v>3.4955752212389299</v>
      </c>
      <c r="G504">
        <v>3.6728263246657402</v>
      </c>
      <c r="H504">
        <v>8.1173627192361E-2</v>
      </c>
      <c r="I504">
        <v>-2.1836045715533801</v>
      </c>
      <c r="J504">
        <v>-5.07</v>
      </c>
      <c r="L504">
        <v>3.7539999518581011</v>
      </c>
      <c r="M504">
        <v>3.5916526974733793</v>
      </c>
      <c r="N504">
        <v>3.8351735790504624</v>
      </c>
      <c r="O504">
        <v>3.510479070281018</v>
      </c>
    </row>
    <row r="505" spans="1:15">
      <c r="A505" s="19">
        <v>43097</v>
      </c>
      <c r="B505">
        <v>3190</v>
      </c>
      <c r="C505">
        <v>3165</v>
      </c>
      <c r="D505">
        <v>908</v>
      </c>
      <c r="E505">
        <v>901</v>
      </c>
      <c r="F505">
        <v>3.5127635960044299</v>
      </c>
      <c r="G505">
        <v>3.6754151939861801</v>
      </c>
      <c r="H505">
        <v>7.8532566153972902E-2</v>
      </c>
      <c r="I505">
        <v>-2.0711356568031798</v>
      </c>
      <c r="J505">
        <v>-4.63</v>
      </c>
      <c r="L505">
        <v>3.7539477601401532</v>
      </c>
      <c r="M505">
        <v>3.596882627832207</v>
      </c>
      <c r="N505">
        <v>3.8324803262941258</v>
      </c>
      <c r="O505">
        <v>3.5183500616782344</v>
      </c>
    </row>
    <row r="506" spans="1:15">
      <c r="A506" s="19">
        <v>43096</v>
      </c>
      <c r="B506">
        <v>3145</v>
      </c>
      <c r="C506">
        <v>3175</v>
      </c>
      <c r="D506">
        <v>897</v>
      </c>
      <c r="E506">
        <v>906</v>
      </c>
      <c r="F506">
        <v>3.5044150110375201</v>
      </c>
      <c r="G506">
        <v>3.6778320773827402</v>
      </c>
      <c r="H506">
        <v>7.6245669579628805E-2</v>
      </c>
      <c r="I506">
        <v>-2.2744513531238102</v>
      </c>
      <c r="J506">
        <v>-4.95</v>
      </c>
      <c r="L506">
        <v>3.754077746962369</v>
      </c>
      <c r="M506">
        <v>3.6015864078031115</v>
      </c>
      <c r="N506">
        <v>3.8303234165419977</v>
      </c>
      <c r="O506">
        <v>3.5253407382234827</v>
      </c>
    </row>
    <row r="507" spans="1:15">
      <c r="A507" s="19">
        <v>43095</v>
      </c>
      <c r="B507">
        <v>3170</v>
      </c>
      <c r="C507">
        <v>3150</v>
      </c>
      <c r="D507">
        <v>899</v>
      </c>
      <c r="E507">
        <v>897</v>
      </c>
      <c r="F507">
        <v>3.5117056856187201</v>
      </c>
      <c r="G507">
        <v>3.6816523037678999</v>
      </c>
      <c r="H507">
        <v>7.4621597527620098E-2</v>
      </c>
      <c r="I507">
        <v>-2.2774454552017902</v>
      </c>
      <c r="J507">
        <v>-4.84</v>
      </c>
      <c r="L507">
        <v>3.7562739012955202</v>
      </c>
      <c r="M507">
        <v>3.6070307062402795</v>
      </c>
      <c r="N507">
        <v>3.8308954988231401</v>
      </c>
      <c r="O507">
        <v>3.5324091087126597</v>
      </c>
    </row>
    <row r="508" spans="1:15">
      <c r="A508" s="19">
        <v>43094</v>
      </c>
      <c r="B508">
        <v>3165</v>
      </c>
      <c r="C508">
        <v>3145</v>
      </c>
      <c r="D508">
        <v>900</v>
      </c>
      <c r="E508">
        <v>890</v>
      </c>
      <c r="F508">
        <v>3.5337078651685299</v>
      </c>
      <c r="G508">
        <v>3.6851886656444801</v>
      </c>
      <c r="H508">
        <v>7.2744969781142393E-2</v>
      </c>
      <c r="I508">
        <v>-2.08235429792175</v>
      </c>
      <c r="J508">
        <v>-4.29</v>
      </c>
      <c r="L508">
        <v>3.7579336354256223</v>
      </c>
      <c r="M508">
        <v>3.6124436958633379</v>
      </c>
      <c r="N508">
        <v>3.830678605206765</v>
      </c>
      <c r="O508">
        <v>3.5396987260821953</v>
      </c>
    </row>
    <row r="509" spans="1:15">
      <c r="A509" s="19">
        <v>43091</v>
      </c>
      <c r="B509">
        <v>3150</v>
      </c>
      <c r="C509">
        <v>3160</v>
      </c>
      <c r="D509">
        <v>898</v>
      </c>
      <c r="E509">
        <v>893</v>
      </c>
      <c r="F509">
        <v>3.53863381858902</v>
      </c>
      <c r="G509">
        <v>3.6889069638564398</v>
      </c>
      <c r="H509">
        <v>7.2030784580163196E-2</v>
      </c>
      <c r="I509">
        <v>-2.0862350194198198</v>
      </c>
      <c r="J509">
        <v>-4.25</v>
      </c>
      <c r="L509">
        <v>3.7609377484366031</v>
      </c>
      <c r="M509">
        <v>3.6168761792762765</v>
      </c>
      <c r="N509">
        <v>3.832968533016766</v>
      </c>
      <c r="O509">
        <v>3.5448453946961136</v>
      </c>
    </row>
    <row r="510" spans="1:15">
      <c r="A510" s="19">
        <v>43090</v>
      </c>
      <c r="B510">
        <v>3115</v>
      </c>
      <c r="C510">
        <v>3155</v>
      </c>
      <c r="D510">
        <v>869</v>
      </c>
      <c r="E510">
        <v>890</v>
      </c>
      <c r="F510">
        <v>3.5449438202247099</v>
      </c>
      <c r="G510">
        <v>3.6932094883448099</v>
      </c>
      <c r="H510">
        <v>7.2561651085958995E-2</v>
      </c>
      <c r="I510">
        <v>-2.0433061527838001</v>
      </c>
      <c r="J510">
        <v>-4.18</v>
      </c>
      <c r="L510">
        <v>3.7657711394307687</v>
      </c>
      <c r="M510">
        <v>3.6206478372588511</v>
      </c>
      <c r="N510">
        <v>3.8383327905167279</v>
      </c>
      <c r="O510">
        <v>3.5480861861728918</v>
      </c>
    </row>
    <row r="511" spans="1:15">
      <c r="A511" s="19">
        <v>43089</v>
      </c>
      <c r="B511">
        <v>3145</v>
      </c>
      <c r="C511">
        <v>3125</v>
      </c>
      <c r="D511">
        <v>874</v>
      </c>
      <c r="E511">
        <v>869</v>
      </c>
      <c r="F511">
        <v>3.5960874568469499</v>
      </c>
      <c r="G511">
        <v>3.69776747011288</v>
      </c>
      <c r="H511">
        <v>7.3830707846624793E-2</v>
      </c>
      <c r="I511">
        <v>-1.37720490879165</v>
      </c>
      <c r="J511">
        <v>-2.83</v>
      </c>
      <c r="L511">
        <v>3.7715981779595049</v>
      </c>
      <c r="M511">
        <v>3.6239367622662551</v>
      </c>
      <c r="N511">
        <v>3.8454288858061294</v>
      </c>
      <c r="O511">
        <v>3.5501060544196306</v>
      </c>
    </row>
    <row r="512" spans="1:15">
      <c r="A512" s="19">
        <v>43088</v>
      </c>
      <c r="B512">
        <v>3245</v>
      </c>
      <c r="C512">
        <v>3175</v>
      </c>
      <c r="D512">
        <v>896</v>
      </c>
      <c r="E512">
        <v>874</v>
      </c>
      <c r="F512">
        <v>3.63272311212814</v>
      </c>
      <c r="G512">
        <v>3.7009588778612499</v>
      </c>
      <c r="H512">
        <v>7.4536332278704195E-2</v>
      </c>
      <c r="I512">
        <v>-0.91546986076485803</v>
      </c>
      <c r="J512">
        <v>-1.88</v>
      </c>
      <c r="L512">
        <v>3.7754952101399541</v>
      </c>
      <c r="M512">
        <v>3.6264225455825456</v>
      </c>
      <c r="N512">
        <v>3.8500315424186584</v>
      </c>
      <c r="O512">
        <v>3.5518862133038414</v>
      </c>
    </row>
    <row r="513" spans="1:15">
      <c r="A513" s="19">
        <v>43087</v>
      </c>
      <c r="B513">
        <v>3265</v>
      </c>
      <c r="C513">
        <v>3245</v>
      </c>
      <c r="D513">
        <v>896</v>
      </c>
      <c r="E513">
        <v>892</v>
      </c>
      <c r="F513">
        <v>3.6378923766816098</v>
      </c>
      <c r="G513">
        <v>3.7039608099702699</v>
      </c>
      <c r="H513">
        <v>7.6242013942023595E-2</v>
      </c>
      <c r="I513">
        <v>-0.86656201577912395</v>
      </c>
      <c r="J513">
        <v>-1.82</v>
      </c>
      <c r="L513">
        <v>3.7802028239122936</v>
      </c>
      <c r="M513">
        <v>3.6277187960282462</v>
      </c>
      <c r="N513">
        <v>3.8564448378543172</v>
      </c>
      <c r="O513">
        <v>3.5514767820862225</v>
      </c>
    </row>
    <row r="514" spans="1:15">
      <c r="A514" s="19">
        <v>43084</v>
      </c>
      <c r="B514">
        <v>3270</v>
      </c>
      <c r="C514">
        <v>3235</v>
      </c>
      <c r="D514">
        <v>890</v>
      </c>
      <c r="E514">
        <v>877</v>
      </c>
      <c r="F514">
        <v>3.6887115165336302</v>
      </c>
      <c r="G514">
        <v>3.7061022199165601</v>
      </c>
      <c r="H514">
        <v>7.6610851678286906E-2</v>
      </c>
      <c r="I514">
        <v>-0.22700052279740901</v>
      </c>
      <c r="J514">
        <v>-0.47</v>
      </c>
      <c r="L514">
        <v>3.7827130715948472</v>
      </c>
      <c r="M514">
        <v>3.629491368238273</v>
      </c>
      <c r="N514">
        <v>3.8593239232731338</v>
      </c>
      <c r="O514">
        <v>3.5528805165599864</v>
      </c>
    </row>
    <row r="515" spans="1:15">
      <c r="A515" s="19">
        <v>43083</v>
      </c>
      <c r="B515">
        <v>3275</v>
      </c>
      <c r="C515">
        <v>3270</v>
      </c>
      <c r="D515">
        <v>893</v>
      </c>
      <c r="E515">
        <v>894</v>
      </c>
      <c r="F515">
        <v>3.65771812080536</v>
      </c>
      <c r="G515">
        <v>3.7084692935389998</v>
      </c>
      <c r="H515">
        <v>7.8749712519380802E-2</v>
      </c>
      <c r="I515">
        <v>-0.64446168893813405</v>
      </c>
      <c r="J515">
        <v>-1.39</v>
      </c>
      <c r="L515">
        <v>3.7872190060583808</v>
      </c>
      <c r="M515">
        <v>3.6297195810196188</v>
      </c>
      <c r="N515">
        <v>3.8659687185777614</v>
      </c>
      <c r="O515">
        <v>3.5509698685002382</v>
      </c>
    </row>
    <row r="516" spans="1:15">
      <c r="A516" s="19">
        <v>43082</v>
      </c>
      <c r="B516">
        <v>3245</v>
      </c>
      <c r="C516">
        <v>3260</v>
      </c>
      <c r="D516">
        <v>894</v>
      </c>
      <c r="E516">
        <v>892</v>
      </c>
      <c r="F516">
        <v>3.6547085201793701</v>
      </c>
      <c r="G516">
        <v>3.7112961426051401</v>
      </c>
      <c r="H516">
        <v>8.0659314458741901E-2</v>
      </c>
      <c r="I516">
        <v>-0.70156339420315805</v>
      </c>
      <c r="J516">
        <v>-1.55</v>
      </c>
      <c r="L516">
        <v>3.791955457063882</v>
      </c>
      <c r="M516">
        <v>3.6306368281463981</v>
      </c>
      <c r="N516">
        <v>3.872614771522624</v>
      </c>
      <c r="O516">
        <v>3.5499775136876561</v>
      </c>
    </row>
    <row r="517" spans="1:15">
      <c r="A517" s="19">
        <v>43081</v>
      </c>
      <c r="B517">
        <v>3220</v>
      </c>
      <c r="C517">
        <v>3240</v>
      </c>
      <c r="D517">
        <v>877</v>
      </c>
      <c r="E517">
        <v>889</v>
      </c>
      <c r="F517">
        <v>3.6445444319460001</v>
      </c>
      <c r="G517">
        <v>3.71336034646307</v>
      </c>
      <c r="H517">
        <v>8.1164139937989502E-2</v>
      </c>
      <c r="I517">
        <v>-0.84786106979809195</v>
      </c>
      <c r="J517">
        <v>-1.89</v>
      </c>
      <c r="L517">
        <v>3.7945244864010594</v>
      </c>
      <c r="M517">
        <v>3.6321962065250806</v>
      </c>
      <c r="N517">
        <v>3.8756886263390489</v>
      </c>
      <c r="O517">
        <v>3.5510320665870911</v>
      </c>
    </row>
    <row r="518" spans="1:15">
      <c r="A518" s="19">
        <v>43080</v>
      </c>
      <c r="B518">
        <v>3280</v>
      </c>
      <c r="C518">
        <v>3220</v>
      </c>
      <c r="D518">
        <v>901</v>
      </c>
      <c r="E518">
        <v>875</v>
      </c>
      <c r="F518">
        <v>3.68</v>
      </c>
      <c r="G518">
        <v>3.7164602726485798</v>
      </c>
      <c r="H518">
        <v>8.2897980888602396E-2</v>
      </c>
      <c r="I518">
        <v>-0.43982099754130199</v>
      </c>
      <c r="J518">
        <v>-0.99</v>
      </c>
      <c r="L518">
        <v>3.7993582535371822</v>
      </c>
      <c r="M518">
        <v>3.6335622917599775</v>
      </c>
      <c r="N518">
        <v>3.8822562344257845</v>
      </c>
      <c r="O518">
        <v>3.5506643108713751</v>
      </c>
    </row>
    <row r="519" spans="1:15">
      <c r="A519" s="19">
        <v>43077</v>
      </c>
      <c r="B519">
        <v>3265</v>
      </c>
      <c r="C519">
        <v>3285</v>
      </c>
      <c r="D519">
        <v>888</v>
      </c>
      <c r="E519">
        <v>908</v>
      </c>
      <c r="F519">
        <v>3.6178414096916298</v>
      </c>
      <c r="G519">
        <v>3.7189469225226399</v>
      </c>
      <c r="H519">
        <v>8.4547743983752505E-2</v>
      </c>
      <c r="I519">
        <v>-1.1958392745575701</v>
      </c>
      <c r="J519">
        <v>-2.79</v>
      </c>
      <c r="L519">
        <v>3.8034946665063925</v>
      </c>
      <c r="M519">
        <v>3.6343991785388874</v>
      </c>
      <c r="N519">
        <v>3.888042410490145</v>
      </c>
      <c r="O519">
        <v>3.5498514345551349</v>
      </c>
    </row>
    <row r="520" spans="1:15">
      <c r="A520" s="19">
        <v>43076</v>
      </c>
      <c r="B520">
        <v>3180</v>
      </c>
      <c r="C520">
        <v>3255</v>
      </c>
      <c r="D520">
        <v>883</v>
      </c>
      <c r="E520">
        <v>895</v>
      </c>
      <c r="F520">
        <v>3.6368715083798802</v>
      </c>
      <c r="G520">
        <v>3.7222545675529801</v>
      </c>
      <c r="H520">
        <v>8.5376090777749505E-2</v>
      </c>
      <c r="I520">
        <v>-1.00008161998615</v>
      </c>
      <c r="J520">
        <v>-2.35</v>
      </c>
      <c r="L520">
        <v>3.8076306583307296</v>
      </c>
      <c r="M520">
        <v>3.6368784767752307</v>
      </c>
      <c r="N520">
        <v>3.893006749108479</v>
      </c>
      <c r="O520">
        <v>3.5515023859974812</v>
      </c>
    </row>
    <row r="521" spans="1:15">
      <c r="A521" s="19">
        <v>43075</v>
      </c>
      <c r="B521">
        <v>3205</v>
      </c>
      <c r="C521">
        <v>3180</v>
      </c>
      <c r="D521">
        <v>898</v>
      </c>
      <c r="E521">
        <v>879</v>
      </c>
      <c r="F521">
        <v>3.6177474402730301</v>
      </c>
      <c r="G521">
        <v>3.7256900969541702</v>
      </c>
      <c r="H521">
        <v>8.7039167412725604E-2</v>
      </c>
      <c r="I521">
        <v>-1.24016187068159</v>
      </c>
      <c r="J521">
        <v>-2.98</v>
      </c>
      <c r="L521">
        <v>3.812729264366896</v>
      </c>
      <c r="M521">
        <v>3.6386509295414444</v>
      </c>
      <c r="N521">
        <v>3.8997684317796213</v>
      </c>
      <c r="O521">
        <v>3.5516117621287191</v>
      </c>
    </row>
    <row r="522" spans="1:15">
      <c r="A522" s="19">
        <v>43074</v>
      </c>
      <c r="B522">
        <v>3210</v>
      </c>
      <c r="C522">
        <v>3245</v>
      </c>
      <c r="D522">
        <v>882</v>
      </c>
      <c r="E522">
        <v>901</v>
      </c>
      <c r="F522">
        <v>3.6015538290787998</v>
      </c>
      <c r="G522">
        <v>3.7286528027133099</v>
      </c>
      <c r="H522">
        <v>8.7096247240715699E-2</v>
      </c>
      <c r="I522">
        <v>-1.4592933411153</v>
      </c>
      <c r="J522">
        <v>-3.53</v>
      </c>
      <c r="L522">
        <v>3.8157490499540256</v>
      </c>
      <c r="M522">
        <v>3.6415565554725942</v>
      </c>
      <c r="N522">
        <v>3.9028452971947414</v>
      </c>
      <c r="O522">
        <v>3.5544603082318784</v>
      </c>
    </row>
    <row r="523" spans="1:15">
      <c r="A523" s="19">
        <v>43073</v>
      </c>
      <c r="B523">
        <v>3290</v>
      </c>
      <c r="C523">
        <v>3225</v>
      </c>
      <c r="D523">
        <v>888</v>
      </c>
      <c r="E523">
        <v>881</v>
      </c>
      <c r="F523">
        <v>3.6606129398410898</v>
      </c>
      <c r="G523">
        <v>3.7340863164257598</v>
      </c>
      <c r="H523">
        <v>9.1592988403841294E-2</v>
      </c>
      <c r="I523">
        <v>-0.802172501029498</v>
      </c>
      <c r="J523">
        <v>-2.0099999999999998</v>
      </c>
      <c r="L523">
        <v>3.8256793048296012</v>
      </c>
      <c r="M523">
        <v>3.6424933280219185</v>
      </c>
      <c r="N523">
        <v>3.9172722932334425</v>
      </c>
      <c r="O523">
        <v>3.5509003396180772</v>
      </c>
    </row>
    <row r="524" spans="1:15">
      <c r="A524" s="19">
        <v>43070</v>
      </c>
      <c r="B524">
        <v>3285</v>
      </c>
      <c r="C524">
        <v>3260</v>
      </c>
      <c r="D524">
        <v>896</v>
      </c>
      <c r="E524">
        <v>888</v>
      </c>
      <c r="F524">
        <v>3.6711711711711699</v>
      </c>
      <c r="G524">
        <v>3.7391441232759899</v>
      </c>
      <c r="H524">
        <v>9.7668170761408796E-2</v>
      </c>
      <c r="I524">
        <v>-0.69595807492772699</v>
      </c>
      <c r="J524">
        <v>-1.85</v>
      </c>
      <c r="L524">
        <v>3.8368122940373985</v>
      </c>
      <c r="M524">
        <v>3.6414759525145812</v>
      </c>
      <c r="N524">
        <v>3.9344804647988076</v>
      </c>
      <c r="O524">
        <v>3.5438077817531721</v>
      </c>
    </row>
    <row r="525" spans="1:15">
      <c r="A525" s="19">
        <v>43069</v>
      </c>
      <c r="B525">
        <v>3285</v>
      </c>
      <c r="C525">
        <v>3255</v>
      </c>
      <c r="D525">
        <v>883</v>
      </c>
      <c r="E525">
        <v>896</v>
      </c>
      <c r="F525">
        <v>3.6328125</v>
      </c>
      <c r="G525">
        <v>3.7439419443528799</v>
      </c>
      <c r="H525">
        <v>0.102908891256777</v>
      </c>
      <c r="I525">
        <v>-1.07988185467469</v>
      </c>
      <c r="J525">
        <v>-3.06</v>
      </c>
      <c r="L525">
        <v>3.8468508356096569</v>
      </c>
      <c r="M525">
        <v>3.6410330530961028</v>
      </c>
      <c r="N525">
        <v>3.949759726866434</v>
      </c>
      <c r="O525">
        <v>3.5381241618393258</v>
      </c>
    </row>
    <row r="526" spans="1:15">
      <c r="A526" s="19">
        <v>43068</v>
      </c>
      <c r="B526">
        <v>3175</v>
      </c>
      <c r="C526">
        <v>3235</v>
      </c>
      <c r="D526">
        <v>869</v>
      </c>
      <c r="E526">
        <v>874</v>
      </c>
      <c r="F526">
        <v>3.7013729977116698</v>
      </c>
      <c r="G526">
        <v>3.75037623922467</v>
      </c>
      <c r="H526">
        <v>0.110561167724847</v>
      </c>
      <c r="I526">
        <v>-0.44322290114521101</v>
      </c>
      <c r="J526">
        <v>-1.32</v>
      </c>
      <c r="L526">
        <v>3.860937406949517</v>
      </c>
      <c r="M526">
        <v>3.639815071499823</v>
      </c>
      <c r="N526">
        <v>3.9714985746743641</v>
      </c>
      <c r="O526">
        <v>3.5292539037749759</v>
      </c>
    </row>
    <row r="527" spans="1:15">
      <c r="A527" s="19">
        <v>43067</v>
      </c>
      <c r="B527">
        <v>3185</v>
      </c>
      <c r="C527">
        <v>3160</v>
      </c>
      <c r="D527">
        <v>860</v>
      </c>
      <c r="E527">
        <v>862</v>
      </c>
      <c r="F527">
        <v>3.6658932714617101</v>
      </c>
      <c r="G527">
        <v>3.7557774509662099</v>
      </c>
      <c r="H527">
        <v>0.117699730561745</v>
      </c>
      <c r="I527">
        <v>-0.76367362164307095</v>
      </c>
      <c r="J527">
        <v>-2.4500000000000002</v>
      </c>
      <c r="L527">
        <v>3.8734771815279547</v>
      </c>
      <c r="M527">
        <v>3.638077720404465</v>
      </c>
      <c r="N527">
        <v>3.9911769120897</v>
      </c>
      <c r="O527">
        <v>3.5203779898427197</v>
      </c>
    </row>
    <row r="528" spans="1:15">
      <c r="A528" s="19">
        <v>43066</v>
      </c>
      <c r="B528">
        <v>3165</v>
      </c>
      <c r="C528">
        <v>3155</v>
      </c>
      <c r="D528">
        <v>864</v>
      </c>
      <c r="E528">
        <v>860</v>
      </c>
      <c r="F528">
        <v>3.6686046511627901</v>
      </c>
      <c r="G528">
        <v>3.7607891279036401</v>
      </c>
      <c r="H528">
        <v>0.12170019169683</v>
      </c>
      <c r="I528">
        <v>-0.75747191073043796</v>
      </c>
      <c r="J528">
        <v>-2.5099999999999998</v>
      </c>
      <c r="L528">
        <v>3.8824893196004702</v>
      </c>
      <c r="M528">
        <v>3.63908893620681</v>
      </c>
      <c r="N528">
        <v>4.0041895112972998</v>
      </c>
      <c r="O528">
        <v>3.5173887445099803</v>
      </c>
    </row>
    <row r="529" spans="1:15">
      <c r="A529" s="19">
        <v>43063</v>
      </c>
      <c r="B529">
        <v>3180</v>
      </c>
      <c r="C529">
        <v>3160</v>
      </c>
      <c r="D529">
        <v>870</v>
      </c>
      <c r="E529">
        <v>868</v>
      </c>
      <c r="F529">
        <v>3.6405529953917002</v>
      </c>
      <c r="G529">
        <v>3.76608151896257</v>
      </c>
      <c r="H529">
        <v>0.12612644405128401</v>
      </c>
      <c r="I529">
        <v>-0.99525935671216403</v>
      </c>
      <c r="J529">
        <v>-3.45</v>
      </c>
      <c r="L529">
        <v>3.892207963013854</v>
      </c>
      <c r="M529">
        <v>3.6399550749112861</v>
      </c>
      <c r="N529">
        <v>4.0183344070651383</v>
      </c>
      <c r="O529">
        <v>3.5138286308600022</v>
      </c>
    </row>
    <row r="530" spans="1:15">
      <c r="A530" s="19">
        <v>43061</v>
      </c>
      <c r="B530">
        <v>3185</v>
      </c>
      <c r="C530">
        <v>3210</v>
      </c>
      <c r="D530">
        <v>866</v>
      </c>
      <c r="E530">
        <v>874</v>
      </c>
      <c r="F530">
        <v>3.67276887871853</v>
      </c>
      <c r="G530">
        <v>3.7716555255743098</v>
      </c>
      <c r="H530">
        <v>0.12964425527842699</v>
      </c>
      <c r="I530">
        <v>-0.76275378838349905</v>
      </c>
      <c r="J530">
        <v>-2.69</v>
      </c>
      <c r="L530">
        <v>3.901299780852737</v>
      </c>
      <c r="M530">
        <v>3.6420112702958827</v>
      </c>
      <c r="N530">
        <v>4.0309440361311637</v>
      </c>
      <c r="O530">
        <v>3.512367015017456</v>
      </c>
    </row>
    <row r="531" spans="1:15">
      <c r="A531" s="19">
        <v>43060</v>
      </c>
      <c r="B531">
        <v>3220</v>
      </c>
      <c r="C531">
        <v>3190</v>
      </c>
      <c r="D531">
        <v>870</v>
      </c>
      <c r="E531">
        <v>873</v>
      </c>
      <c r="F531">
        <v>3.6540664375715899</v>
      </c>
      <c r="G531">
        <v>3.7776425388153299</v>
      </c>
      <c r="H531">
        <v>0.13518891166470801</v>
      </c>
      <c r="I531">
        <v>-0.91409938671766899</v>
      </c>
      <c r="J531">
        <v>-3.38</v>
      </c>
      <c r="L531">
        <v>3.9128314504800379</v>
      </c>
      <c r="M531">
        <v>3.6424536271506218</v>
      </c>
      <c r="N531">
        <v>4.0480203621447455</v>
      </c>
      <c r="O531">
        <v>3.5072647154859138</v>
      </c>
    </row>
    <row r="532" spans="1:15">
      <c r="A532" s="19">
        <v>43059</v>
      </c>
      <c r="B532">
        <v>3160</v>
      </c>
      <c r="C532">
        <v>3180</v>
      </c>
      <c r="D532">
        <v>843</v>
      </c>
      <c r="E532">
        <v>866</v>
      </c>
      <c r="F532">
        <v>3.6720554272517298</v>
      </c>
      <c r="G532">
        <v>3.7842463283057102</v>
      </c>
      <c r="H532">
        <v>0.14096468833237399</v>
      </c>
      <c r="I532">
        <v>-0.79587946727095504</v>
      </c>
      <c r="J532">
        <v>-3.06</v>
      </c>
      <c r="L532">
        <v>3.9252110166380842</v>
      </c>
      <c r="M532">
        <v>3.6432816399733361</v>
      </c>
      <c r="N532">
        <v>4.0661757049704583</v>
      </c>
      <c r="O532">
        <v>3.502316951640962</v>
      </c>
    </row>
    <row r="533" spans="1:15">
      <c r="A533" s="19">
        <v>43056</v>
      </c>
      <c r="B533">
        <v>3240</v>
      </c>
      <c r="C533">
        <v>3165</v>
      </c>
      <c r="D533">
        <v>865</v>
      </c>
      <c r="E533">
        <v>852</v>
      </c>
      <c r="F533">
        <v>3.7147887323943598</v>
      </c>
      <c r="G533">
        <v>3.7902984427461299</v>
      </c>
      <c r="H533">
        <v>0.145683003856763</v>
      </c>
      <c r="I533">
        <v>-0.51831516616727602</v>
      </c>
      <c r="J533">
        <v>-2.0299999999999998</v>
      </c>
      <c r="L533">
        <v>3.9359814466028928</v>
      </c>
      <c r="M533">
        <v>3.644615438889367</v>
      </c>
      <c r="N533">
        <v>4.0816644504596562</v>
      </c>
      <c r="O533">
        <v>3.4989324350326041</v>
      </c>
    </row>
    <row r="534" spans="1:15">
      <c r="A534" s="19">
        <v>43055</v>
      </c>
      <c r="B534">
        <v>3190</v>
      </c>
      <c r="C534">
        <v>3190</v>
      </c>
      <c r="D534">
        <v>844</v>
      </c>
      <c r="E534">
        <v>854</v>
      </c>
      <c r="F534">
        <v>3.7353629976580698</v>
      </c>
      <c r="G534">
        <v>3.7965430690458701</v>
      </c>
      <c r="H534">
        <v>0.152204251683599</v>
      </c>
      <c r="I534">
        <v>-0.40196033100949402</v>
      </c>
      <c r="J534">
        <v>-1.64</v>
      </c>
      <c r="L534">
        <v>3.9487473207294692</v>
      </c>
      <c r="M534">
        <v>3.6443388173622711</v>
      </c>
      <c r="N534">
        <v>4.1009515724130683</v>
      </c>
      <c r="O534">
        <v>3.492134565678672</v>
      </c>
    </row>
    <row r="535" spans="1:15">
      <c r="A535" s="19">
        <v>43054</v>
      </c>
      <c r="B535">
        <v>3230</v>
      </c>
      <c r="C535">
        <v>3205</v>
      </c>
      <c r="D535">
        <v>872</v>
      </c>
      <c r="E535">
        <v>845</v>
      </c>
      <c r="F535">
        <v>3.7928994082840202</v>
      </c>
      <c r="G535">
        <v>3.8026465183187099</v>
      </c>
      <c r="H535">
        <v>0.158669373825121</v>
      </c>
      <c r="I535">
        <v>-6.1430317645535998E-2</v>
      </c>
      <c r="J535">
        <v>-0.26</v>
      </c>
      <c r="L535">
        <v>3.9613158921438307</v>
      </c>
      <c r="M535">
        <v>3.6439771444935891</v>
      </c>
      <c r="N535">
        <v>4.1199852659689515</v>
      </c>
      <c r="O535">
        <v>3.4853077706684679</v>
      </c>
    </row>
    <row r="536" spans="1:15">
      <c r="A536" s="19">
        <v>43053</v>
      </c>
      <c r="B536">
        <v>3290</v>
      </c>
      <c r="C536">
        <v>3260</v>
      </c>
      <c r="D536">
        <v>892</v>
      </c>
      <c r="E536">
        <v>873</v>
      </c>
      <c r="F536">
        <v>3.7342497136311499</v>
      </c>
      <c r="G536">
        <v>3.80807452620826</v>
      </c>
      <c r="H536">
        <v>0.165077064923457</v>
      </c>
      <c r="I536">
        <v>-0.447214230585814</v>
      </c>
      <c r="J536">
        <v>-1.98</v>
      </c>
      <c r="L536">
        <v>3.973151591131717</v>
      </c>
      <c r="M536">
        <v>3.6429974612848031</v>
      </c>
      <c r="N536">
        <v>4.1382286560551744</v>
      </c>
      <c r="O536">
        <v>3.4779203963613461</v>
      </c>
    </row>
    <row r="537" spans="1:15">
      <c r="A537" s="19">
        <v>43052</v>
      </c>
      <c r="B537">
        <v>3350</v>
      </c>
      <c r="C537">
        <v>3305</v>
      </c>
      <c r="D537">
        <v>925</v>
      </c>
      <c r="E537">
        <v>882</v>
      </c>
      <c r="F537">
        <v>3.7471655328798099</v>
      </c>
      <c r="G537">
        <v>3.8136637187390301</v>
      </c>
      <c r="H537">
        <v>0.169519575844406</v>
      </c>
      <c r="I537">
        <v>-0.39227437614789301</v>
      </c>
      <c r="J537">
        <v>-1.77</v>
      </c>
      <c r="L537">
        <v>3.9831832945834362</v>
      </c>
      <c r="M537">
        <v>3.644144142894624</v>
      </c>
      <c r="N537">
        <v>4.1527028704278424</v>
      </c>
      <c r="O537">
        <v>3.4746245670502183</v>
      </c>
    </row>
    <row r="538" spans="1:15">
      <c r="A538" s="19">
        <v>43049</v>
      </c>
      <c r="B538">
        <v>3315</v>
      </c>
      <c r="C538">
        <v>3365</v>
      </c>
      <c r="D538">
        <v>969</v>
      </c>
      <c r="E538">
        <v>927</v>
      </c>
      <c r="F538">
        <v>3.6299892125134798</v>
      </c>
      <c r="G538">
        <v>3.8198652855547501</v>
      </c>
      <c r="H538">
        <v>0.175379869428548</v>
      </c>
      <c r="I538">
        <v>-1.08265602922364</v>
      </c>
      <c r="J538">
        <v>-5.23</v>
      </c>
      <c r="L538">
        <v>3.9952451549832979</v>
      </c>
      <c r="M538">
        <v>3.6444854161262024</v>
      </c>
      <c r="N538">
        <v>4.1706250244118461</v>
      </c>
      <c r="O538">
        <v>3.4691055466976541</v>
      </c>
    </row>
    <row r="539" spans="1:15">
      <c r="A539" s="19">
        <v>43048</v>
      </c>
      <c r="B539">
        <v>3405</v>
      </c>
      <c r="C539">
        <v>3355</v>
      </c>
      <c r="D539">
        <v>968</v>
      </c>
      <c r="E539">
        <v>977</v>
      </c>
      <c r="F539">
        <v>3.4339815762538302</v>
      </c>
      <c r="G539">
        <v>3.8281541711097602</v>
      </c>
      <c r="H539">
        <v>0.180816461307274</v>
      </c>
      <c r="I539">
        <v>-2.1799596784834798</v>
      </c>
      <c r="J539">
        <v>-11.48</v>
      </c>
      <c r="L539">
        <v>4.008970632417034</v>
      </c>
      <c r="M539">
        <v>3.6473377098024864</v>
      </c>
      <c r="N539">
        <v>4.1897870937243082</v>
      </c>
      <c r="O539">
        <v>3.4665212484952121</v>
      </c>
    </row>
    <row r="540" spans="1:15">
      <c r="A540" s="19">
        <v>43047</v>
      </c>
      <c r="B540">
        <v>3495</v>
      </c>
      <c r="C540">
        <v>3430</v>
      </c>
      <c r="D540">
        <v>974</v>
      </c>
      <c r="E540">
        <v>963</v>
      </c>
      <c r="F540">
        <v>3.5617860851505698</v>
      </c>
      <c r="G540">
        <v>3.83881865277908</v>
      </c>
      <c r="H540">
        <v>0.180840831620733</v>
      </c>
      <c r="I540">
        <v>-1.53191381142021</v>
      </c>
      <c r="J540">
        <v>-7.78</v>
      </c>
      <c r="L540">
        <v>4.0196594843998126</v>
      </c>
      <c r="M540">
        <v>3.6579778211583469</v>
      </c>
      <c r="N540">
        <v>4.2005003160205456</v>
      </c>
      <c r="O540">
        <v>3.4771369895376139</v>
      </c>
    </row>
    <row r="541" spans="1:15">
      <c r="A541" s="19">
        <v>43046</v>
      </c>
      <c r="B541">
        <v>3570</v>
      </c>
      <c r="C541">
        <v>3545</v>
      </c>
      <c r="D541">
        <v>975</v>
      </c>
      <c r="E541">
        <v>974</v>
      </c>
      <c r="F541">
        <v>3.6396303901437301</v>
      </c>
      <c r="G541">
        <v>3.8475562418191802</v>
      </c>
      <c r="H541">
        <v>0.18306222202640601</v>
      </c>
      <c r="I541">
        <v>-1.1358206481589499</v>
      </c>
      <c r="J541">
        <v>-5.71</v>
      </c>
      <c r="L541">
        <v>4.0306184638455864</v>
      </c>
      <c r="M541">
        <v>3.664494019792774</v>
      </c>
      <c r="N541">
        <v>4.2136806858719922</v>
      </c>
      <c r="O541">
        <v>3.4814317977663682</v>
      </c>
    </row>
    <row r="542" spans="1:15">
      <c r="A542" s="19">
        <v>43045</v>
      </c>
      <c r="B542">
        <v>3550</v>
      </c>
      <c r="C542">
        <v>3570</v>
      </c>
      <c r="D542">
        <v>980</v>
      </c>
      <c r="E542">
        <v>973</v>
      </c>
      <c r="F542">
        <v>3.6690647482014298</v>
      </c>
      <c r="G542">
        <v>3.8554244722967699</v>
      </c>
      <c r="H542">
        <v>0.18660393846209999</v>
      </c>
      <c r="I542">
        <v>-0.99869126895832605</v>
      </c>
      <c r="J542">
        <v>-5.08</v>
      </c>
      <c r="L542">
        <v>4.0420284107588698</v>
      </c>
      <c r="M542">
        <v>3.66882053383467</v>
      </c>
      <c r="N542">
        <v>4.2286323492209696</v>
      </c>
      <c r="O542">
        <v>3.4822165953725701</v>
      </c>
    </row>
    <row r="543" spans="1:15">
      <c r="A543" s="19">
        <v>43041</v>
      </c>
      <c r="B543">
        <v>3500</v>
      </c>
      <c r="C543">
        <v>3540</v>
      </c>
      <c r="D543">
        <v>941</v>
      </c>
      <c r="E543">
        <v>961</v>
      </c>
      <c r="F543">
        <v>3.68366285119667</v>
      </c>
      <c r="G543">
        <v>3.86295522189064</v>
      </c>
      <c r="H543">
        <v>0.19029155271701501</v>
      </c>
      <c r="I543">
        <v>-0.94219826436860299</v>
      </c>
      <c r="J543">
        <v>-4.87</v>
      </c>
      <c r="L543">
        <v>4.053246774607655</v>
      </c>
      <c r="M543">
        <v>3.672663669173625</v>
      </c>
      <c r="N543">
        <v>4.2435383273246696</v>
      </c>
      <c r="O543">
        <v>3.4823721164566099</v>
      </c>
    </row>
    <row r="544" spans="1:15">
      <c r="A544" s="19">
        <v>43040</v>
      </c>
      <c r="B544">
        <v>3490</v>
      </c>
      <c r="C544">
        <v>3510</v>
      </c>
      <c r="D544">
        <v>928</v>
      </c>
      <c r="E544">
        <v>937</v>
      </c>
      <c r="F544">
        <v>3.7459978655282802</v>
      </c>
      <c r="G544">
        <v>3.8702986151303298</v>
      </c>
      <c r="H544">
        <v>0.19382499236649001</v>
      </c>
      <c r="I544">
        <v>-0.64130403455414597</v>
      </c>
      <c r="J544">
        <v>-3.32</v>
      </c>
      <c r="L544">
        <v>4.0641236074968194</v>
      </c>
      <c r="M544">
        <v>3.6764736227638397</v>
      </c>
      <c r="N544">
        <v>4.25794859986331</v>
      </c>
      <c r="O544">
        <v>3.4826486303973496</v>
      </c>
    </row>
    <row r="545" spans="1:15">
      <c r="A545" s="19">
        <v>43039</v>
      </c>
      <c r="B545">
        <v>3380</v>
      </c>
      <c r="C545">
        <v>3420</v>
      </c>
      <c r="D545">
        <v>919</v>
      </c>
      <c r="E545">
        <v>921</v>
      </c>
      <c r="F545">
        <v>3.7133550488599298</v>
      </c>
      <c r="G545">
        <v>3.87732499932841</v>
      </c>
      <c r="H545">
        <v>0.198682519519884</v>
      </c>
      <c r="I545">
        <v>-0.82528624493344405</v>
      </c>
      <c r="J545">
        <v>-4.42</v>
      </c>
      <c r="L545">
        <v>4.0760075188482938</v>
      </c>
      <c r="M545">
        <v>3.6786424798085262</v>
      </c>
      <c r="N545">
        <v>4.2746900383681776</v>
      </c>
      <c r="O545">
        <v>3.479959960288642</v>
      </c>
    </row>
    <row r="546" spans="1:15">
      <c r="A546" s="19">
        <v>43038</v>
      </c>
      <c r="B546">
        <v>3370</v>
      </c>
      <c r="C546">
        <v>3390</v>
      </c>
      <c r="D546">
        <v>913</v>
      </c>
      <c r="E546">
        <v>918</v>
      </c>
      <c r="F546">
        <v>3.6928104575163401</v>
      </c>
      <c r="G546">
        <v>3.8844620504073699</v>
      </c>
      <c r="H546">
        <v>0.20224637103943399</v>
      </c>
      <c r="I546">
        <v>-0.94761449565718303</v>
      </c>
      <c r="J546">
        <v>-5.19</v>
      </c>
      <c r="L546">
        <v>4.0867084214468044</v>
      </c>
      <c r="M546">
        <v>3.6822156793679359</v>
      </c>
      <c r="N546">
        <v>4.2889547924862379</v>
      </c>
      <c r="O546">
        <v>3.4799693083285019</v>
      </c>
    </row>
    <row r="547" spans="1:15">
      <c r="A547" s="19">
        <v>43035</v>
      </c>
      <c r="B547">
        <v>3380</v>
      </c>
      <c r="C547">
        <v>3395</v>
      </c>
      <c r="D547">
        <v>903</v>
      </c>
      <c r="E547">
        <v>913</v>
      </c>
      <c r="F547">
        <v>3.7185104052573901</v>
      </c>
      <c r="G547">
        <v>3.8919047395837998</v>
      </c>
      <c r="H547">
        <v>0.205304447510538</v>
      </c>
      <c r="I547">
        <v>-0.84457173933122598</v>
      </c>
      <c r="J547">
        <v>-4.66</v>
      </c>
      <c r="L547">
        <v>4.0972091870943377</v>
      </c>
      <c r="M547">
        <v>3.6866002920732619</v>
      </c>
      <c r="N547">
        <v>4.3025136346048756</v>
      </c>
      <c r="O547">
        <v>3.481295844562724</v>
      </c>
    </row>
    <row r="548" spans="1:15">
      <c r="A548" s="19">
        <v>43034</v>
      </c>
      <c r="B548">
        <v>3405</v>
      </c>
      <c r="C548">
        <v>3365</v>
      </c>
      <c r="D548">
        <v>892</v>
      </c>
      <c r="E548">
        <v>896</v>
      </c>
      <c r="F548">
        <v>3.7555803571428501</v>
      </c>
      <c r="G548">
        <v>3.9008337429004798</v>
      </c>
      <c r="H548">
        <v>0.21202180173743099</v>
      </c>
      <c r="I548">
        <v>-0.68508702674600896</v>
      </c>
      <c r="J548">
        <v>-3.87</v>
      </c>
      <c r="L548">
        <v>4.1128555446379105</v>
      </c>
      <c r="M548">
        <v>3.6888119411630487</v>
      </c>
      <c r="N548">
        <v>4.3248773463753416</v>
      </c>
      <c r="O548">
        <v>3.476790139425618</v>
      </c>
    </row>
    <row r="549" spans="1:15">
      <c r="A549" s="19">
        <v>43033</v>
      </c>
      <c r="B549">
        <v>3370</v>
      </c>
      <c r="C549">
        <v>3370</v>
      </c>
      <c r="D549">
        <v>890</v>
      </c>
      <c r="E549">
        <v>889</v>
      </c>
      <c r="F549">
        <v>3.7907761529808699</v>
      </c>
      <c r="G549">
        <v>3.9083992064977702</v>
      </c>
      <c r="H549">
        <v>0.216773863106281</v>
      </c>
      <c r="I549">
        <v>-0.54260717519817603</v>
      </c>
      <c r="J549">
        <v>-3.1</v>
      </c>
      <c r="L549">
        <v>4.1251730696040507</v>
      </c>
      <c r="M549">
        <v>3.6916253433914892</v>
      </c>
      <c r="N549">
        <v>4.3419469327103322</v>
      </c>
      <c r="O549">
        <v>3.4748514802852082</v>
      </c>
    </row>
    <row r="550" spans="1:15">
      <c r="A550" s="19">
        <v>43032</v>
      </c>
      <c r="B550">
        <v>3310</v>
      </c>
      <c r="C550">
        <v>3305</v>
      </c>
      <c r="D550">
        <v>878</v>
      </c>
      <c r="E550">
        <v>886</v>
      </c>
      <c r="F550">
        <v>3.7302483069977401</v>
      </c>
      <c r="G550">
        <v>3.91447147650966</v>
      </c>
      <c r="H550">
        <v>0.219752115152657</v>
      </c>
      <c r="I550">
        <v>-0.83832262266939195</v>
      </c>
      <c r="J550">
        <v>-4.9400000000000004</v>
      </c>
      <c r="L550">
        <v>4.1342235916623169</v>
      </c>
      <c r="M550">
        <v>3.6947193613570031</v>
      </c>
      <c r="N550">
        <v>4.3539757068149738</v>
      </c>
      <c r="O550">
        <v>3.4749672462043462</v>
      </c>
    </row>
    <row r="551" spans="1:15">
      <c r="A551" s="19">
        <v>43031</v>
      </c>
      <c r="B551">
        <v>3350</v>
      </c>
      <c r="C551">
        <v>3310</v>
      </c>
      <c r="D551">
        <v>887</v>
      </c>
      <c r="E551">
        <v>881</v>
      </c>
      <c r="F551">
        <v>3.7570942111237202</v>
      </c>
      <c r="G551">
        <v>3.9216890992716098</v>
      </c>
      <c r="H551">
        <v>0.222455944464688</v>
      </c>
      <c r="I551">
        <v>-0.73989880802678798</v>
      </c>
      <c r="J551">
        <v>-4.38</v>
      </c>
      <c r="L551">
        <v>4.1441450437362981</v>
      </c>
      <c r="M551">
        <v>3.6992331548069219</v>
      </c>
      <c r="N551">
        <v>4.366600988200986</v>
      </c>
      <c r="O551">
        <v>3.4767772103422336</v>
      </c>
    </row>
    <row r="552" spans="1:15">
      <c r="A552" s="19">
        <v>43028</v>
      </c>
      <c r="B552">
        <v>3305</v>
      </c>
      <c r="C552">
        <v>3315</v>
      </c>
      <c r="D552">
        <v>861</v>
      </c>
      <c r="E552">
        <v>874</v>
      </c>
      <c r="F552">
        <v>3.7929061784896998</v>
      </c>
      <c r="G552">
        <v>3.9291221673176202</v>
      </c>
      <c r="H552">
        <v>0.22611566567375799</v>
      </c>
      <c r="I552">
        <v>-0.60241730011072203</v>
      </c>
      <c r="J552">
        <v>-3.59</v>
      </c>
      <c r="L552">
        <v>4.1552378329913786</v>
      </c>
      <c r="M552">
        <v>3.7030065016438622</v>
      </c>
      <c r="N552">
        <v>4.3813534986651366</v>
      </c>
      <c r="O552">
        <v>3.4768908359701043</v>
      </c>
    </row>
    <row r="553" spans="1:15">
      <c r="A553" s="19">
        <v>43027</v>
      </c>
      <c r="B553">
        <v>3320</v>
      </c>
      <c r="C553">
        <v>3320</v>
      </c>
      <c r="D553">
        <v>888</v>
      </c>
      <c r="E553">
        <v>865</v>
      </c>
      <c r="F553">
        <v>3.83815028901734</v>
      </c>
      <c r="G553">
        <v>3.9362643706520499</v>
      </c>
      <c r="H553">
        <v>0.23012463742647701</v>
      </c>
      <c r="I553">
        <v>-0.42635192273167799</v>
      </c>
      <c r="J553">
        <v>-2.56</v>
      </c>
      <c r="L553">
        <v>4.1663890080785269</v>
      </c>
      <c r="M553">
        <v>3.706139733225573</v>
      </c>
      <c r="N553">
        <v>4.3965136455050038</v>
      </c>
      <c r="O553">
        <v>3.4760150957990961</v>
      </c>
    </row>
    <row r="554" spans="1:15">
      <c r="A554" s="19">
        <v>43026</v>
      </c>
      <c r="B554">
        <v>3340</v>
      </c>
      <c r="C554">
        <v>3320</v>
      </c>
      <c r="D554">
        <v>890</v>
      </c>
      <c r="E554">
        <v>888</v>
      </c>
      <c r="F554">
        <v>3.7387387387387299</v>
      </c>
      <c r="G554">
        <v>3.9418509382270499</v>
      </c>
      <c r="H554">
        <v>0.23274584295843401</v>
      </c>
      <c r="I554">
        <v>-0.87267809773337701</v>
      </c>
      <c r="J554">
        <v>-5.43</v>
      </c>
      <c r="L554">
        <v>4.1745967811854836</v>
      </c>
      <c r="M554">
        <v>3.7091050952686158</v>
      </c>
      <c r="N554">
        <v>4.4073426241439178</v>
      </c>
      <c r="O554">
        <v>3.4763592523101821</v>
      </c>
    </row>
    <row r="555" spans="1:15">
      <c r="A555" s="19">
        <v>43025</v>
      </c>
      <c r="B555">
        <v>3330</v>
      </c>
      <c r="C555">
        <v>3340</v>
      </c>
      <c r="D555">
        <v>893</v>
      </c>
      <c r="E555">
        <v>891</v>
      </c>
      <c r="F555">
        <v>3.7485970819304102</v>
      </c>
      <c r="G555">
        <v>3.9485269099734501</v>
      </c>
      <c r="H555">
        <v>0.23400162630269999</v>
      </c>
      <c r="I555">
        <v>-0.85439503648752502</v>
      </c>
      <c r="J555">
        <v>-5.33</v>
      </c>
      <c r="L555">
        <v>4.1825285362761502</v>
      </c>
      <c r="M555">
        <v>3.7145252836707501</v>
      </c>
      <c r="N555">
        <v>4.4165301625788498</v>
      </c>
      <c r="O555">
        <v>3.48052365736805</v>
      </c>
    </row>
    <row r="556" spans="1:15">
      <c r="A556" s="19">
        <v>43024</v>
      </c>
      <c r="B556">
        <v>3305</v>
      </c>
      <c r="C556">
        <v>3305</v>
      </c>
      <c r="D556">
        <v>885</v>
      </c>
      <c r="E556">
        <v>890</v>
      </c>
      <c r="F556">
        <v>3.7134831460674098</v>
      </c>
      <c r="G556">
        <v>3.9556749828753799</v>
      </c>
      <c r="H556">
        <v>0.235965169378238</v>
      </c>
      <c r="I556">
        <v>-1.0263880785716499</v>
      </c>
      <c r="J556">
        <v>-6.52</v>
      </c>
      <c r="L556">
        <v>4.1916401522536182</v>
      </c>
      <c r="M556">
        <v>3.719709813497142</v>
      </c>
      <c r="N556">
        <v>4.4276053216318561</v>
      </c>
      <c r="O556">
        <v>3.4837446441189037</v>
      </c>
    </row>
    <row r="557" spans="1:15">
      <c r="A557" s="19">
        <v>43021</v>
      </c>
      <c r="B557">
        <v>3290</v>
      </c>
      <c r="C557">
        <v>3325</v>
      </c>
      <c r="D557">
        <v>861</v>
      </c>
      <c r="E557">
        <v>876</v>
      </c>
      <c r="F557">
        <v>3.79566210045662</v>
      </c>
      <c r="G557">
        <v>3.9636782141304199</v>
      </c>
      <c r="H557">
        <v>0.23778720146844401</v>
      </c>
      <c r="I557">
        <v>-0.70658182036809303</v>
      </c>
      <c r="J557">
        <v>-4.43</v>
      </c>
      <c r="L557">
        <v>4.2014654155988636</v>
      </c>
      <c r="M557">
        <v>3.7258910126619758</v>
      </c>
      <c r="N557">
        <v>4.4392526170673081</v>
      </c>
      <c r="O557">
        <v>3.4881038111935316</v>
      </c>
    </row>
    <row r="558" spans="1:15">
      <c r="A558" s="19">
        <v>43020</v>
      </c>
      <c r="B558">
        <v>3335</v>
      </c>
      <c r="C558">
        <v>3300</v>
      </c>
      <c r="D558">
        <v>874</v>
      </c>
      <c r="E558">
        <v>867</v>
      </c>
      <c r="F558">
        <v>3.8062283737024201</v>
      </c>
      <c r="G558">
        <v>3.9699075873297098</v>
      </c>
      <c r="H558">
        <v>0.23941816916183201</v>
      </c>
      <c r="I558">
        <v>-0.68365410277888605</v>
      </c>
      <c r="J558">
        <v>-4.3</v>
      </c>
      <c r="L558">
        <v>4.2093257564915421</v>
      </c>
      <c r="M558">
        <v>3.7304894181678776</v>
      </c>
      <c r="N558">
        <v>4.4487439256533738</v>
      </c>
      <c r="O558">
        <v>3.4910712490060458</v>
      </c>
    </row>
    <row r="559" spans="1:15">
      <c r="A559" s="19">
        <v>43019</v>
      </c>
      <c r="B559">
        <v>3345</v>
      </c>
      <c r="C559">
        <v>3335</v>
      </c>
      <c r="D559">
        <v>881</v>
      </c>
      <c r="E559">
        <v>874</v>
      </c>
      <c r="F559">
        <v>3.8157894736842102</v>
      </c>
      <c r="G559">
        <v>3.97641928646873</v>
      </c>
      <c r="H559">
        <v>0.24151017542953099</v>
      </c>
      <c r="I559">
        <v>-0.66510577659446501</v>
      </c>
      <c r="J559">
        <v>-4.21</v>
      </c>
      <c r="L559">
        <v>4.2179294618982608</v>
      </c>
      <c r="M559">
        <v>3.7349091110391992</v>
      </c>
      <c r="N559">
        <v>4.459439637327792</v>
      </c>
      <c r="O559">
        <v>3.493398935609668</v>
      </c>
    </row>
    <row r="560" spans="1:15">
      <c r="A560" s="19">
        <v>43018</v>
      </c>
      <c r="B560">
        <v>3185</v>
      </c>
      <c r="C560">
        <v>3360</v>
      </c>
      <c r="D560">
        <v>858</v>
      </c>
      <c r="E560">
        <v>884</v>
      </c>
      <c r="F560">
        <v>3.8009049773755601</v>
      </c>
      <c r="G560">
        <v>3.98322727867146</v>
      </c>
      <c r="H560">
        <v>0.24406933418534199</v>
      </c>
      <c r="I560">
        <v>-0.74701027847048496</v>
      </c>
      <c r="J560">
        <v>-4.8</v>
      </c>
      <c r="L560">
        <v>4.2272966128568017</v>
      </c>
      <c r="M560">
        <v>3.7391579444861178</v>
      </c>
      <c r="N560">
        <v>4.4713659470421439</v>
      </c>
      <c r="O560">
        <v>3.4950886103007761</v>
      </c>
    </row>
    <row r="561" spans="1:15">
      <c r="A561" s="19">
        <v>43014</v>
      </c>
      <c r="B561">
        <v>3200</v>
      </c>
      <c r="C561">
        <v>3195</v>
      </c>
      <c r="D561">
        <v>869</v>
      </c>
      <c r="E561">
        <v>862</v>
      </c>
      <c r="F561">
        <v>3.7064965197215698</v>
      </c>
      <c r="G561">
        <v>3.98996879529304</v>
      </c>
      <c r="H561">
        <v>0.24591611917665401</v>
      </c>
      <c r="I561">
        <v>-1.1527193765116199</v>
      </c>
      <c r="J561">
        <v>-7.65</v>
      </c>
      <c r="L561">
        <v>4.2358849144696942</v>
      </c>
      <c r="M561">
        <v>3.7440526761163859</v>
      </c>
      <c r="N561">
        <v>4.4818010336463479</v>
      </c>
      <c r="O561">
        <v>3.4981365569397322</v>
      </c>
    </row>
    <row r="562" spans="1:15">
      <c r="A562" s="19">
        <v>43013</v>
      </c>
      <c r="B562">
        <v>3165</v>
      </c>
      <c r="C562">
        <v>3170</v>
      </c>
      <c r="D562">
        <v>877</v>
      </c>
      <c r="E562">
        <v>867</v>
      </c>
      <c r="F562">
        <v>3.6562860438292901</v>
      </c>
      <c r="G562">
        <v>3.9978636565115702</v>
      </c>
      <c r="H562">
        <v>0.24619326313255999</v>
      </c>
      <c r="I562">
        <v>-1.38743687920639</v>
      </c>
      <c r="J562">
        <v>-9.34</v>
      </c>
      <c r="L562">
        <v>4.2440569196441302</v>
      </c>
      <c r="M562">
        <v>3.7516703933790101</v>
      </c>
      <c r="N562">
        <v>4.4902501827766903</v>
      </c>
      <c r="O562">
        <v>3.50547713024645</v>
      </c>
    </row>
    <row r="563" spans="1:15">
      <c r="A563" s="19">
        <v>43012</v>
      </c>
      <c r="B563">
        <v>3165</v>
      </c>
      <c r="C563">
        <v>3170</v>
      </c>
      <c r="D563">
        <v>884</v>
      </c>
      <c r="E563">
        <v>878</v>
      </c>
      <c r="F563">
        <v>3.6104783599088801</v>
      </c>
      <c r="G563">
        <v>4.0067910785488996</v>
      </c>
      <c r="H563">
        <v>0.245784506735546</v>
      </c>
      <c r="I563">
        <v>-1.6124397908711099</v>
      </c>
      <c r="J563">
        <v>-10.98</v>
      </c>
      <c r="L563">
        <v>4.252575585284446</v>
      </c>
      <c r="M563">
        <v>3.7610065718133536</v>
      </c>
      <c r="N563">
        <v>4.4983600920199915</v>
      </c>
      <c r="O563">
        <v>3.5152220650778077</v>
      </c>
    </row>
    <row r="564" spans="1:15">
      <c r="A564" s="19">
        <v>43011</v>
      </c>
      <c r="B564">
        <v>3195</v>
      </c>
      <c r="C564">
        <v>3165</v>
      </c>
      <c r="D564">
        <v>892</v>
      </c>
      <c r="E564">
        <v>884</v>
      </c>
      <c r="F564">
        <v>3.5803167420814401</v>
      </c>
      <c r="G564">
        <v>4.0157008535446996</v>
      </c>
      <c r="H564">
        <v>0.243356389158637</v>
      </c>
      <c r="I564">
        <v>-1.7890802578412699</v>
      </c>
      <c r="J564">
        <v>-12.16</v>
      </c>
      <c r="L564">
        <v>4.2590572427033369</v>
      </c>
      <c r="M564">
        <v>3.7723444643860624</v>
      </c>
      <c r="N564">
        <v>4.5024136318619732</v>
      </c>
      <c r="O564">
        <v>3.5289880752274256</v>
      </c>
    </row>
    <row r="565" spans="1:15">
      <c r="A565" s="19">
        <v>43010</v>
      </c>
      <c r="B565">
        <v>3225</v>
      </c>
      <c r="C565">
        <v>3180</v>
      </c>
      <c r="D565">
        <v>885</v>
      </c>
      <c r="E565">
        <v>883</v>
      </c>
      <c r="F565">
        <v>3.6013590033975</v>
      </c>
      <c r="G565">
        <v>4.0258036725704702</v>
      </c>
      <c r="H565">
        <v>0.24078636348951199</v>
      </c>
      <c r="I565">
        <v>-1.76274379919963</v>
      </c>
      <c r="J565">
        <v>-11.79</v>
      </c>
      <c r="L565">
        <v>4.2665900360599824</v>
      </c>
      <c r="M565">
        <v>3.785017309080958</v>
      </c>
      <c r="N565">
        <v>4.5073763995494946</v>
      </c>
      <c r="O565">
        <v>3.5442309455914462</v>
      </c>
    </row>
    <row r="566" spans="1:15">
      <c r="A566" s="19">
        <v>43007</v>
      </c>
      <c r="B566">
        <v>3220</v>
      </c>
      <c r="C566">
        <v>3250</v>
      </c>
      <c r="D566">
        <v>878</v>
      </c>
      <c r="E566">
        <v>877</v>
      </c>
      <c r="F566">
        <v>3.7058152793614498</v>
      </c>
      <c r="G566">
        <v>4.0348747544031003</v>
      </c>
      <c r="H566">
        <v>0.23741689721453699</v>
      </c>
      <c r="I566">
        <v>-1.3859985489756399</v>
      </c>
      <c r="J566">
        <v>-8.8800000000000008</v>
      </c>
      <c r="L566">
        <v>4.2722916516176372</v>
      </c>
      <c r="M566">
        <v>3.7974578571885633</v>
      </c>
      <c r="N566">
        <v>4.5097085488321742</v>
      </c>
      <c r="O566">
        <v>3.5600409599740264</v>
      </c>
    </row>
    <row r="567" spans="1:15">
      <c r="A567" s="19">
        <v>43006</v>
      </c>
      <c r="B567">
        <v>3190</v>
      </c>
      <c r="C567">
        <v>3235</v>
      </c>
      <c r="D567">
        <v>869</v>
      </c>
      <c r="E567">
        <v>876</v>
      </c>
      <c r="F567">
        <v>3.6929223744292199</v>
      </c>
      <c r="G567">
        <v>4.0419897056078602</v>
      </c>
      <c r="H567">
        <v>0.23543654375227999</v>
      </c>
      <c r="I567">
        <v>-1.4826387000733401</v>
      </c>
      <c r="J567">
        <v>-9.4499999999999993</v>
      </c>
      <c r="L567">
        <v>4.2774262493601398</v>
      </c>
      <c r="M567">
        <v>3.8065531618555801</v>
      </c>
      <c r="N567">
        <v>4.5128627931124203</v>
      </c>
      <c r="O567">
        <v>3.5711166181033001</v>
      </c>
    </row>
    <row r="568" spans="1:15">
      <c r="A568" s="19">
        <v>43005</v>
      </c>
      <c r="B568">
        <v>3200</v>
      </c>
      <c r="C568">
        <v>3165</v>
      </c>
      <c r="D568">
        <v>865</v>
      </c>
      <c r="E568">
        <v>864</v>
      </c>
      <c r="F568">
        <v>3.6631944444444402</v>
      </c>
      <c r="G568">
        <v>4.0491100786769403</v>
      </c>
      <c r="H568">
        <v>0.232832913526312</v>
      </c>
      <c r="I568">
        <v>-1.6574788692359299</v>
      </c>
      <c r="J568">
        <v>-10.53</v>
      </c>
      <c r="L568">
        <v>4.2819429922032519</v>
      </c>
      <c r="M568">
        <v>3.8162771651506282</v>
      </c>
      <c r="N568">
        <v>4.5147759057295644</v>
      </c>
      <c r="O568">
        <v>3.5834442516243161</v>
      </c>
    </row>
    <row r="569" spans="1:15">
      <c r="A569" s="19">
        <v>43004</v>
      </c>
      <c r="B569">
        <v>3155</v>
      </c>
      <c r="C569">
        <v>3165</v>
      </c>
      <c r="D569">
        <v>845</v>
      </c>
      <c r="E569">
        <v>859</v>
      </c>
      <c r="F569">
        <v>3.6845168800931298</v>
      </c>
      <c r="G569">
        <v>4.0565295284735603</v>
      </c>
      <c r="H569">
        <v>0.22925569062592599</v>
      </c>
      <c r="I569">
        <v>-1.6226975538305699</v>
      </c>
      <c r="J569">
        <v>-10.1</v>
      </c>
      <c r="L569">
        <v>4.2857852190994858</v>
      </c>
      <c r="M569">
        <v>3.8272738378476343</v>
      </c>
      <c r="N569">
        <v>4.5150409097254123</v>
      </c>
      <c r="O569">
        <v>3.5980181472217083</v>
      </c>
    </row>
    <row r="570" spans="1:15">
      <c r="A570" s="19">
        <v>43003</v>
      </c>
      <c r="B570">
        <v>3150</v>
      </c>
      <c r="C570">
        <v>3145</v>
      </c>
      <c r="D570">
        <v>838</v>
      </c>
      <c r="E570">
        <v>844</v>
      </c>
      <c r="F570">
        <v>3.7263033175355398</v>
      </c>
      <c r="G570">
        <v>4.0643934446731897</v>
      </c>
      <c r="H570">
        <v>0.22645853102025701</v>
      </c>
      <c r="I570">
        <v>-1.4929449803213599</v>
      </c>
      <c r="J570">
        <v>-9.07</v>
      </c>
      <c r="L570">
        <v>4.2908519756934469</v>
      </c>
      <c r="M570">
        <v>3.8379349136529326</v>
      </c>
      <c r="N570">
        <v>4.517310506713704</v>
      </c>
      <c r="O570">
        <v>3.6114763826326759</v>
      </c>
    </row>
    <row r="571" spans="1:15">
      <c r="A571" s="19">
        <v>43000</v>
      </c>
      <c r="B571">
        <v>3095</v>
      </c>
      <c r="C571">
        <v>3130</v>
      </c>
      <c r="D571">
        <v>836</v>
      </c>
      <c r="E571">
        <v>837</v>
      </c>
      <c r="F571">
        <v>3.7395459976105099</v>
      </c>
      <c r="G571">
        <v>4.0713095903729002</v>
      </c>
      <c r="H571">
        <v>0.22393425908768799</v>
      </c>
      <c r="I571">
        <v>-1.4815222740548999</v>
      </c>
      <c r="J571">
        <v>-8.8699999999999992</v>
      </c>
      <c r="L571">
        <v>4.2952438494605882</v>
      </c>
      <c r="M571">
        <v>3.8473753312852121</v>
      </c>
      <c r="N571">
        <v>4.5191781085482763</v>
      </c>
      <c r="O571">
        <v>3.6234410721975241</v>
      </c>
    </row>
    <row r="572" spans="1:15">
      <c r="A572" s="19">
        <v>42999</v>
      </c>
      <c r="B572">
        <v>3100</v>
      </c>
      <c r="C572">
        <v>3100</v>
      </c>
      <c r="D572">
        <v>830</v>
      </c>
      <c r="E572">
        <v>832</v>
      </c>
      <c r="F572">
        <v>3.7259615384615299</v>
      </c>
      <c r="G572">
        <v>4.0780686953812904</v>
      </c>
      <c r="H572">
        <v>0.22145525396417101</v>
      </c>
      <c r="I572">
        <v>-1.589969759655</v>
      </c>
      <c r="J572">
        <v>-9.4499999999999993</v>
      </c>
      <c r="L572">
        <v>4.2995239493454616</v>
      </c>
      <c r="M572">
        <v>3.8566134414171191</v>
      </c>
      <c r="N572">
        <v>4.5209792033096328</v>
      </c>
      <c r="O572">
        <v>3.6351581874529484</v>
      </c>
    </row>
    <row r="573" spans="1:15">
      <c r="A573" s="19">
        <v>42998</v>
      </c>
      <c r="B573">
        <v>3025</v>
      </c>
      <c r="C573">
        <v>3075</v>
      </c>
      <c r="D573">
        <v>831</v>
      </c>
      <c r="E573">
        <v>828</v>
      </c>
      <c r="F573">
        <v>3.7137681159420199</v>
      </c>
      <c r="G573">
        <v>4.0851862286859699</v>
      </c>
      <c r="H573">
        <v>0.21858395966161601</v>
      </c>
      <c r="I573">
        <v>-1.6992011368031199</v>
      </c>
      <c r="J573">
        <v>-10</v>
      </c>
      <c r="L573">
        <v>4.3037701883475856</v>
      </c>
      <c r="M573">
        <v>3.8666022690243538</v>
      </c>
      <c r="N573">
        <v>4.5223541480092022</v>
      </c>
      <c r="O573">
        <v>3.6480183093627381</v>
      </c>
    </row>
    <row r="574" spans="1:15">
      <c r="A574" s="19">
        <v>42997</v>
      </c>
      <c r="B574">
        <v>3000</v>
      </c>
      <c r="C574">
        <v>3030</v>
      </c>
      <c r="D574">
        <v>818</v>
      </c>
      <c r="E574">
        <v>834</v>
      </c>
      <c r="F574">
        <v>3.63309352517985</v>
      </c>
      <c r="G574">
        <v>4.0926118169671</v>
      </c>
      <c r="H574">
        <v>0.21527485730644799</v>
      </c>
      <c r="I574">
        <v>-2.1345655388502398</v>
      </c>
      <c r="J574">
        <v>-12.65</v>
      </c>
      <c r="L574">
        <v>4.307886674273548</v>
      </c>
      <c r="M574">
        <v>3.8773369596606519</v>
      </c>
      <c r="N574">
        <v>4.523161531579996</v>
      </c>
      <c r="O574">
        <v>3.6620621023542039</v>
      </c>
    </row>
    <row r="575" spans="1:15">
      <c r="A575" s="19">
        <v>42993</v>
      </c>
      <c r="B575">
        <v>3005</v>
      </c>
      <c r="C575">
        <v>2980</v>
      </c>
      <c r="D575">
        <v>811</v>
      </c>
      <c r="E575">
        <v>811</v>
      </c>
      <c r="F575">
        <v>3.6744759556103501</v>
      </c>
      <c r="G575">
        <v>4.1023367590764499</v>
      </c>
      <c r="H575">
        <v>0.210723039900506</v>
      </c>
      <c r="I575">
        <v>-2.0304414916760498</v>
      </c>
      <c r="J575">
        <v>-11.64</v>
      </c>
      <c r="L575">
        <v>4.3130597989769557</v>
      </c>
      <c r="M575">
        <v>3.8916137191759441</v>
      </c>
      <c r="N575">
        <v>4.5237828388774624</v>
      </c>
      <c r="O575">
        <v>3.6808906792754379</v>
      </c>
    </row>
    <row r="576" spans="1:15">
      <c r="A576" s="19">
        <v>42992</v>
      </c>
      <c r="B576">
        <v>2995</v>
      </c>
      <c r="C576">
        <v>3010</v>
      </c>
      <c r="D576">
        <v>813</v>
      </c>
      <c r="E576">
        <v>811</v>
      </c>
      <c r="F576">
        <v>3.7114673242909899</v>
      </c>
      <c r="G576">
        <v>4.1115099354467297</v>
      </c>
      <c r="H576">
        <v>0.20683666142625501</v>
      </c>
      <c r="I576">
        <v>-1.9340991504949401</v>
      </c>
      <c r="J576">
        <v>-10.78</v>
      </c>
      <c r="L576">
        <v>4.3183465968729848</v>
      </c>
      <c r="M576">
        <v>3.9046732740204746</v>
      </c>
      <c r="N576">
        <v>4.52518325829924</v>
      </c>
      <c r="O576">
        <v>3.6978366125942195</v>
      </c>
    </row>
    <row r="577" spans="1:15">
      <c r="A577" s="19">
        <v>42991</v>
      </c>
      <c r="B577">
        <v>3005</v>
      </c>
      <c r="C577">
        <v>2995</v>
      </c>
      <c r="D577">
        <v>807</v>
      </c>
      <c r="E577">
        <v>811</v>
      </c>
      <c r="F577">
        <v>3.6929716399506698</v>
      </c>
      <c r="G577">
        <v>4.1195566611416803</v>
      </c>
      <c r="H577">
        <v>0.20281721568880601</v>
      </c>
      <c r="I577">
        <v>-2.1032978869285799</v>
      </c>
      <c r="J577">
        <v>-11.55</v>
      </c>
      <c r="L577">
        <v>4.3223738768304862</v>
      </c>
      <c r="M577">
        <v>3.9167394454528743</v>
      </c>
      <c r="N577">
        <v>4.5251910925192922</v>
      </c>
      <c r="O577">
        <v>3.7139222297640684</v>
      </c>
    </row>
    <row r="578" spans="1:15">
      <c r="A578" s="19">
        <v>42990</v>
      </c>
      <c r="B578">
        <v>3005</v>
      </c>
      <c r="C578">
        <v>2995</v>
      </c>
      <c r="D578">
        <v>820</v>
      </c>
      <c r="E578">
        <v>810</v>
      </c>
      <c r="F578">
        <v>3.69753086419753</v>
      </c>
      <c r="G578">
        <v>4.1276352640159901</v>
      </c>
      <c r="H578">
        <v>0.197666193439237</v>
      </c>
      <c r="I578">
        <v>-2.17591279689755</v>
      </c>
      <c r="J578">
        <v>-11.63</v>
      </c>
      <c r="L578">
        <v>4.3253014574552271</v>
      </c>
      <c r="M578">
        <v>3.9299690705767532</v>
      </c>
      <c r="N578">
        <v>4.5229676508944641</v>
      </c>
      <c r="O578">
        <v>3.7323028771375162</v>
      </c>
    </row>
    <row r="579" spans="1:15">
      <c r="A579" s="19">
        <v>42989</v>
      </c>
      <c r="B579">
        <v>3015</v>
      </c>
      <c r="C579">
        <v>2985</v>
      </c>
      <c r="D579">
        <v>815</v>
      </c>
      <c r="E579">
        <v>809</v>
      </c>
      <c r="F579">
        <v>3.6897404202719399</v>
      </c>
      <c r="G579">
        <v>4.1349456532382396</v>
      </c>
      <c r="H579">
        <v>0.19167199950432101</v>
      </c>
      <c r="I579">
        <v>-2.3227452842232199</v>
      </c>
      <c r="J579">
        <v>-12.07</v>
      </c>
      <c r="L579">
        <v>4.326617652742561</v>
      </c>
      <c r="M579">
        <v>3.9432736537339186</v>
      </c>
      <c r="N579">
        <v>4.5182896522468816</v>
      </c>
      <c r="O579">
        <v>3.7516016542295976</v>
      </c>
    </row>
    <row r="580" spans="1:15">
      <c r="A580" s="19">
        <v>42986</v>
      </c>
      <c r="B580">
        <v>3000</v>
      </c>
      <c r="C580">
        <v>2970</v>
      </c>
      <c r="D580">
        <v>791</v>
      </c>
      <c r="E580">
        <v>804</v>
      </c>
      <c r="F580">
        <v>3.6940298507462601</v>
      </c>
      <c r="G580">
        <v>4.1420597939129298</v>
      </c>
      <c r="H580">
        <v>0.18479411218713299</v>
      </c>
      <c r="I580">
        <v>-2.4244816994654101</v>
      </c>
      <c r="J580">
        <v>-12.13</v>
      </c>
      <c r="L580">
        <v>4.3268539061000624</v>
      </c>
      <c r="M580">
        <v>3.9572656817257967</v>
      </c>
      <c r="N580">
        <v>4.5116480182871959</v>
      </c>
      <c r="O580">
        <v>3.7724715695386637</v>
      </c>
    </row>
    <row r="581" spans="1:15">
      <c r="A581" s="19">
        <v>42985</v>
      </c>
      <c r="B581">
        <v>3020</v>
      </c>
      <c r="C581">
        <v>3010</v>
      </c>
      <c r="D581">
        <v>795</v>
      </c>
      <c r="E581">
        <v>794</v>
      </c>
      <c r="F581">
        <v>3.79093198992443</v>
      </c>
      <c r="G581">
        <v>4.1493520235724297</v>
      </c>
      <c r="H581">
        <v>0.177622236252483</v>
      </c>
      <c r="I581">
        <v>-2.0178781734203501</v>
      </c>
      <c r="J581">
        <v>-9.4499999999999993</v>
      </c>
      <c r="L581">
        <v>4.3269742598249126</v>
      </c>
      <c r="M581">
        <v>3.9717297873199469</v>
      </c>
      <c r="N581">
        <v>4.5045964960773954</v>
      </c>
      <c r="O581">
        <v>3.7941075510674636</v>
      </c>
    </row>
    <row r="582" spans="1:15">
      <c r="A582" s="19">
        <v>42984</v>
      </c>
      <c r="B582">
        <v>2965</v>
      </c>
      <c r="C582">
        <v>2980</v>
      </c>
      <c r="D582">
        <v>774</v>
      </c>
      <c r="E582">
        <v>789</v>
      </c>
      <c r="F582">
        <v>3.7769328263624802</v>
      </c>
      <c r="G582">
        <v>4.1546053504647604</v>
      </c>
      <c r="H582">
        <v>0.172702271040931</v>
      </c>
      <c r="I582">
        <v>-2.18684167744828</v>
      </c>
      <c r="J582">
        <v>-10</v>
      </c>
      <c r="L582">
        <v>4.3273076215056916</v>
      </c>
      <c r="M582">
        <v>3.9819030794238293</v>
      </c>
      <c r="N582">
        <v>4.5000098925466228</v>
      </c>
      <c r="O582">
        <v>3.8092008083828985</v>
      </c>
    </row>
    <row r="583" spans="1:15">
      <c r="A583" s="19">
        <v>42983</v>
      </c>
      <c r="B583">
        <v>3020</v>
      </c>
      <c r="C583">
        <v>2970</v>
      </c>
      <c r="D583">
        <v>787</v>
      </c>
      <c r="E583">
        <v>779</v>
      </c>
      <c r="F583">
        <v>3.8125802310654602</v>
      </c>
      <c r="G583">
        <v>4.1604156752108699</v>
      </c>
      <c r="H583">
        <v>0.16713917867379099</v>
      </c>
      <c r="I583">
        <v>-2.08111256083337</v>
      </c>
      <c r="J583">
        <v>-9.1199999999999992</v>
      </c>
      <c r="L583">
        <v>4.3275548538846609</v>
      </c>
      <c r="M583">
        <v>3.9932764965370788</v>
      </c>
      <c r="N583">
        <v>4.4946940325584519</v>
      </c>
      <c r="O583">
        <v>3.8261373178632878</v>
      </c>
    </row>
    <row r="584" spans="1:15">
      <c r="A584" s="19">
        <v>42982</v>
      </c>
      <c r="B584">
        <v>3090</v>
      </c>
      <c r="C584">
        <v>3035</v>
      </c>
      <c r="D584">
        <v>794</v>
      </c>
      <c r="E584">
        <v>786</v>
      </c>
      <c r="F584">
        <v>3.8613231552162799</v>
      </c>
      <c r="G584">
        <v>4.1656036810935797</v>
      </c>
      <c r="H584">
        <v>0.16222854360363101</v>
      </c>
      <c r="I584">
        <v>-1.8756287834324501</v>
      </c>
      <c r="J584">
        <v>-7.88</v>
      </c>
      <c r="L584">
        <v>4.327832224697211</v>
      </c>
      <c r="M584">
        <v>4.0033751374899484</v>
      </c>
      <c r="N584">
        <v>4.4900607683008413</v>
      </c>
      <c r="O584">
        <v>3.8411465938863176</v>
      </c>
    </row>
    <row r="585" spans="1:15">
      <c r="A585" s="19">
        <v>42979</v>
      </c>
      <c r="B585">
        <v>3055</v>
      </c>
      <c r="C585">
        <v>3090</v>
      </c>
      <c r="D585">
        <v>790</v>
      </c>
      <c r="E585">
        <v>795</v>
      </c>
      <c r="F585">
        <v>3.8867924528301798</v>
      </c>
      <c r="G585">
        <v>4.1700452982832896</v>
      </c>
      <c r="H585">
        <v>0.15835079542752101</v>
      </c>
      <c r="I585">
        <v>-1.7887680620003601</v>
      </c>
      <c r="J585">
        <v>-7.29</v>
      </c>
      <c r="L585">
        <v>4.3283960937108104</v>
      </c>
      <c r="M585">
        <v>4.0116945028557689</v>
      </c>
      <c r="N585">
        <v>4.486746889138332</v>
      </c>
      <c r="O585">
        <v>3.8533437074282477</v>
      </c>
    </row>
    <row r="586" spans="1:15">
      <c r="A586" s="19">
        <v>42978</v>
      </c>
      <c r="B586">
        <v>3055</v>
      </c>
      <c r="C586">
        <v>3030</v>
      </c>
      <c r="D586">
        <v>787</v>
      </c>
      <c r="E586">
        <v>790</v>
      </c>
      <c r="F586">
        <v>3.83544303797468</v>
      </c>
      <c r="G586">
        <v>4.17468207306952</v>
      </c>
      <c r="H586">
        <v>0.15504577214367199</v>
      </c>
      <c r="I586">
        <v>-2.1879928127320198</v>
      </c>
      <c r="J586">
        <v>-8.84</v>
      </c>
      <c r="L586">
        <v>4.329727845213192</v>
      </c>
      <c r="M586">
        <v>4.019636300925848</v>
      </c>
      <c r="N586">
        <v>4.484773617356864</v>
      </c>
      <c r="O586">
        <v>3.864590528782176</v>
      </c>
    </row>
    <row r="587" spans="1:15">
      <c r="A587" s="19">
        <v>42977</v>
      </c>
      <c r="B587">
        <v>3065</v>
      </c>
      <c r="C587">
        <v>3040</v>
      </c>
      <c r="D587">
        <v>802</v>
      </c>
      <c r="E587">
        <v>788</v>
      </c>
      <c r="F587">
        <v>3.8578680203045601</v>
      </c>
      <c r="G587">
        <v>4.1796289748852899</v>
      </c>
      <c r="H587">
        <v>0.14997914202577001</v>
      </c>
      <c r="I587">
        <v>-2.1453713512072099</v>
      </c>
      <c r="J587">
        <v>-8.34</v>
      </c>
      <c r="L587">
        <v>4.3296081169110598</v>
      </c>
      <c r="M587">
        <v>4.0296498328595201</v>
      </c>
      <c r="N587">
        <v>4.4795872589368297</v>
      </c>
      <c r="O587">
        <v>3.8796706908337502</v>
      </c>
    </row>
    <row r="588" spans="1:15">
      <c r="A588" s="19">
        <v>42976</v>
      </c>
      <c r="B588">
        <v>3015</v>
      </c>
      <c r="C588">
        <v>3035</v>
      </c>
      <c r="D588">
        <v>781</v>
      </c>
      <c r="E588">
        <v>799</v>
      </c>
      <c r="F588">
        <v>3.7984981226533101</v>
      </c>
      <c r="G588">
        <v>4.1840157465023404</v>
      </c>
      <c r="H588">
        <v>0.145240483416362</v>
      </c>
      <c r="I588">
        <v>-2.6543399937871399</v>
      </c>
      <c r="J588">
        <v>-10.15</v>
      </c>
      <c r="L588">
        <v>4.3292562299187027</v>
      </c>
      <c r="M588">
        <v>4.0387752630859781</v>
      </c>
      <c r="N588">
        <v>4.4744967133350642</v>
      </c>
      <c r="O588">
        <v>3.8935347796696163</v>
      </c>
    </row>
    <row r="589" spans="1:15">
      <c r="A589" s="19">
        <v>42975</v>
      </c>
      <c r="B589">
        <v>3040</v>
      </c>
      <c r="C589">
        <v>3035</v>
      </c>
      <c r="D589">
        <v>785</v>
      </c>
      <c r="E589">
        <v>785</v>
      </c>
      <c r="F589">
        <v>3.8662420382165599</v>
      </c>
      <c r="G589">
        <v>4.1913270628249197</v>
      </c>
      <c r="H589">
        <v>0.139331299651342</v>
      </c>
      <c r="I589">
        <v>-2.33318016426922</v>
      </c>
      <c r="J589">
        <v>-8.41</v>
      </c>
      <c r="L589">
        <v>4.330658362476262</v>
      </c>
      <c r="M589">
        <v>4.0519957631735775</v>
      </c>
      <c r="N589">
        <v>4.4699896621276034</v>
      </c>
      <c r="O589">
        <v>3.9126644635222356</v>
      </c>
    </row>
    <row r="590" spans="1:15">
      <c r="A590" s="19">
        <v>42972</v>
      </c>
      <c r="B590">
        <v>3050</v>
      </c>
      <c r="C590">
        <v>3030</v>
      </c>
      <c r="D590">
        <v>794</v>
      </c>
      <c r="E590">
        <v>783</v>
      </c>
      <c r="F590">
        <v>3.8697318007662802</v>
      </c>
      <c r="G590">
        <v>4.1936699428748101</v>
      </c>
      <c r="H590">
        <v>0.135263199200197</v>
      </c>
      <c r="I590">
        <v>-2.3948726928237298</v>
      </c>
      <c r="J590">
        <v>-8.3699999999999992</v>
      </c>
      <c r="L590">
        <v>4.328933142075007</v>
      </c>
      <c r="M590">
        <v>4.0584067436746132</v>
      </c>
      <c r="N590">
        <v>4.4641963412752039</v>
      </c>
      <c r="O590">
        <v>3.9231435444744163</v>
      </c>
    </row>
    <row r="591" spans="1:15">
      <c r="A591" s="19">
        <v>42971</v>
      </c>
      <c r="B591">
        <v>3075</v>
      </c>
      <c r="C591">
        <v>3040</v>
      </c>
      <c r="D591">
        <v>791</v>
      </c>
      <c r="E591">
        <v>798</v>
      </c>
      <c r="F591">
        <v>3.8095238095238</v>
      </c>
      <c r="G591">
        <v>4.19613007890168</v>
      </c>
      <c r="H591">
        <v>0.13095853235336299</v>
      </c>
      <c r="I591">
        <v>-2.9521273828474199</v>
      </c>
      <c r="J591">
        <v>-10.15</v>
      </c>
      <c r="L591">
        <v>4.3270886112550428</v>
      </c>
      <c r="M591">
        <v>4.0651715465483171</v>
      </c>
      <c r="N591">
        <v>4.4580471436084057</v>
      </c>
      <c r="O591">
        <v>3.9342130141949538</v>
      </c>
    </row>
    <row r="592" spans="1:15">
      <c r="A592" s="19">
        <v>42970</v>
      </c>
      <c r="B592">
        <v>3100</v>
      </c>
      <c r="C592">
        <v>3090</v>
      </c>
      <c r="D592">
        <v>803</v>
      </c>
      <c r="E592">
        <v>797</v>
      </c>
      <c r="F592">
        <v>3.8770388958594699</v>
      </c>
      <c r="G592">
        <v>4.2005056446124298</v>
      </c>
      <c r="H592">
        <v>0.123222025205876</v>
      </c>
      <c r="I592">
        <v>-2.6250724918091901</v>
      </c>
      <c r="J592">
        <v>-8.34</v>
      </c>
      <c r="L592">
        <v>4.3237276698183056</v>
      </c>
      <c r="M592">
        <v>4.077283619406554</v>
      </c>
      <c r="N592">
        <v>4.4469496950241822</v>
      </c>
      <c r="O592">
        <v>3.9540615942006778</v>
      </c>
    </row>
    <row r="593" spans="1:15">
      <c r="A593" s="19">
        <v>42969</v>
      </c>
      <c r="B593">
        <v>3065</v>
      </c>
      <c r="C593">
        <v>3070</v>
      </c>
      <c r="D593">
        <v>794</v>
      </c>
      <c r="E593">
        <v>794</v>
      </c>
      <c r="F593">
        <v>3.86649874055415</v>
      </c>
      <c r="G593">
        <v>4.2030475201077904</v>
      </c>
      <c r="H593">
        <v>0.118394960990367</v>
      </c>
      <c r="I593">
        <v>-2.84259377880969</v>
      </c>
      <c r="J593">
        <v>-8.6999999999999993</v>
      </c>
      <c r="L593">
        <v>4.3214424810981571</v>
      </c>
      <c r="M593">
        <v>4.0846525591174236</v>
      </c>
      <c r="N593">
        <v>4.4398374420885247</v>
      </c>
      <c r="O593">
        <v>3.9662575981270565</v>
      </c>
    </row>
    <row r="594" spans="1:15">
      <c r="A594" s="19">
        <v>42968</v>
      </c>
      <c r="B594">
        <v>3050</v>
      </c>
      <c r="C594">
        <v>3085</v>
      </c>
      <c r="D594">
        <v>788</v>
      </c>
      <c r="E594">
        <v>798</v>
      </c>
      <c r="F594">
        <v>3.86591478696741</v>
      </c>
      <c r="G594">
        <v>4.2064918123666803</v>
      </c>
      <c r="H594">
        <v>0.112146757036407</v>
      </c>
      <c r="I594">
        <v>-3.0368869720299099</v>
      </c>
      <c r="J594">
        <v>-8.81</v>
      </c>
      <c r="L594">
        <v>4.3186385694030873</v>
      </c>
      <c r="M594">
        <v>4.0943450553302734</v>
      </c>
      <c r="N594">
        <v>4.4307853264394943</v>
      </c>
      <c r="O594">
        <v>3.9821982982938664</v>
      </c>
    </row>
    <row r="595" spans="1:15">
      <c r="A595" s="19">
        <v>42965</v>
      </c>
      <c r="B595">
        <v>3065</v>
      </c>
      <c r="C595">
        <v>3065</v>
      </c>
      <c r="D595">
        <v>796</v>
      </c>
      <c r="E595">
        <v>787</v>
      </c>
      <c r="F595">
        <v>3.8945362134688599</v>
      </c>
      <c r="G595">
        <v>4.2093524121419801</v>
      </c>
      <c r="H595">
        <v>0.10599023676090499</v>
      </c>
      <c r="I595">
        <v>-2.97023771522734</v>
      </c>
      <c r="J595">
        <v>-8.08</v>
      </c>
      <c r="L595">
        <v>4.3153426489028854</v>
      </c>
      <c r="M595">
        <v>4.1033621753810747</v>
      </c>
      <c r="N595">
        <v>4.4213328856637899</v>
      </c>
      <c r="O595">
        <v>3.9973719386201703</v>
      </c>
    </row>
    <row r="596" spans="1:15">
      <c r="A596" s="19">
        <v>42964</v>
      </c>
      <c r="B596">
        <v>3095</v>
      </c>
      <c r="C596">
        <v>3095</v>
      </c>
      <c r="D596">
        <v>780</v>
      </c>
      <c r="E596">
        <v>806</v>
      </c>
      <c r="F596">
        <v>3.8399503722084298</v>
      </c>
      <c r="G596">
        <v>4.2123671230941797</v>
      </c>
      <c r="H596">
        <v>0.100041582763203</v>
      </c>
      <c r="I596">
        <v>-3.72261954078887</v>
      </c>
      <c r="J596">
        <v>-9.6999999999999993</v>
      </c>
      <c r="L596">
        <v>4.3124087058573828</v>
      </c>
      <c r="M596">
        <v>4.1123255403309766</v>
      </c>
      <c r="N596">
        <v>4.4124502886205859</v>
      </c>
      <c r="O596">
        <v>4.0122839575677736</v>
      </c>
    </row>
    <row r="597" spans="1:15">
      <c r="A597" s="19">
        <v>42963</v>
      </c>
      <c r="B597">
        <v>3130</v>
      </c>
      <c r="C597">
        <v>3095</v>
      </c>
      <c r="D597">
        <v>772</v>
      </c>
      <c r="E597">
        <v>772</v>
      </c>
      <c r="F597">
        <v>4.0090673575129498</v>
      </c>
      <c r="G597">
        <v>4.2158109910541803</v>
      </c>
      <c r="H597">
        <v>9.1218785413969106E-2</v>
      </c>
      <c r="I597">
        <v>-2.2664589602128999</v>
      </c>
      <c r="J597">
        <v>-5.16</v>
      </c>
      <c r="L597">
        <v>4.3070297764681493</v>
      </c>
      <c r="M597">
        <v>4.1245922056402113</v>
      </c>
      <c r="N597">
        <v>4.3982485618821183</v>
      </c>
      <c r="O597">
        <v>4.0333734202262423</v>
      </c>
    </row>
    <row r="598" spans="1:15">
      <c r="A598" s="19">
        <v>42962</v>
      </c>
      <c r="B598">
        <v>3165</v>
      </c>
      <c r="C598">
        <v>3135</v>
      </c>
      <c r="D598">
        <v>772</v>
      </c>
      <c r="E598">
        <v>776</v>
      </c>
      <c r="F598">
        <v>4.0399484536082397</v>
      </c>
      <c r="G598">
        <v>4.2170175697719596</v>
      </c>
      <c r="H598">
        <v>8.9048826263045597E-2</v>
      </c>
      <c r="I598">
        <v>-1.9884497482388801</v>
      </c>
      <c r="J598">
        <v>-4.38</v>
      </c>
      <c r="L598">
        <v>4.3060663960350052</v>
      </c>
      <c r="M598">
        <v>4.1279687435089141</v>
      </c>
      <c r="N598">
        <v>4.3951152222980507</v>
      </c>
      <c r="O598">
        <v>4.0389199172458685</v>
      </c>
    </row>
    <row r="599" spans="1:15">
      <c r="A599" s="19">
        <v>42961</v>
      </c>
      <c r="B599">
        <v>3180</v>
      </c>
      <c r="C599">
        <v>3120</v>
      </c>
      <c r="D599">
        <v>795</v>
      </c>
      <c r="E599">
        <v>774</v>
      </c>
      <c r="F599">
        <v>4.0310077519379801</v>
      </c>
      <c r="G599">
        <v>4.2185422926655001</v>
      </c>
      <c r="H599">
        <v>8.6958406731459603E-2</v>
      </c>
      <c r="I599">
        <v>-2.1566004688500202</v>
      </c>
      <c r="J599">
        <v>-4.6500000000000004</v>
      </c>
      <c r="L599">
        <v>4.3055006993969593</v>
      </c>
      <c r="M599">
        <v>4.1315838859340408</v>
      </c>
      <c r="N599">
        <v>4.3924591061284195</v>
      </c>
      <c r="O599">
        <v>4.0446254792025806</v>
      </c>
    </row>
    <row r="600" spans="1:15">
      <c r="A600" s="19">
        <v>42957</v>
      </c>
      <c r="B600">
        <v>3215</v>
      </c>
      <c r="C600">
        <v>3210</v>
      </c>
      <c r="D600">
        <v>794</v>
      </c>
      <c r="E600">
        <v>780</v>
      </c>
      <c r="F600">
        <v>4.1153846153846096</v>
      </c>
      <c r="G600">
        <v>4.2201847441965397</v>
      </c>
      <c r="H600">
        <v>8.4530217050152401E-2</v>
      </c>
      <c r="I600">
        <v>-1.23979486234792</v>
      </c>
      <c r="J600">
        <v>-2.5499999999999998</v>
      </c>
      <c r="L600">
        <v>4.3047149612466917</v>
      </c>
      <c r="M600">
        <v>4.1356545271463876</v>
      </c>
      <c r="N600">
        <v>4.3892451782968447</v>
      </c>
      <c r="O600">
        <v>4.0511243100962346</v>
      </c>
    </row>
    <row r="601" spans="1:15">
      <c r="A601" s="19">
        <v>42956</v>
      </c>
      <c r="B601">
        <v>3280</v>
      </c>
      <c r="C601">
        <v>3240</v>
      </c>
      <c r="D601">
        <v>799</v>
      </c>
      <c r="E601">
        <v>789</v>
      </c>
      <c r="F601">
        <v>4.1064638783269896</v>
      </c>
      <c r="G601">
        <v>4.2210040062353196</v>
      </c>
      <c r="H601">
        <v>8.3805179681702202E-2</v>
      </c>
      <c r="I601">
        <v>-1.3667428235743599</v>
      </c>
      <c r="J601">
        <v>-2.79</v>
      </c>
      <c r="L601">
        <v>4.3048091859170219</v>
      </c>
      <c r="M601">
        <v>4.1371988265536173</v>
      </c>
      <c r="N601">
        <v>4.3886143655987242</v>
      </c>
      <c r="O601">
        <v>4.0533936468719149</v>
      </c>
    </row>
    <row r="602" spans="1:15">
      <c r="A602" s="19">
        <v>42955</v>
      </c>
      <c r="B602">
        <v>3370</v>
      </c>
      <c r="C602">
        <v>3290</v>
      </c>
      <c r="D602">
        <v>824</v>
      </c>
      <c r="E602">
        <v>814</v>
      </c>
      <c r="F602">
        <v>4.0417690417690402</v>
      </c>
      <c r="G602">
        <v>4.2217555068028396</v>
      </c>
      <c r="H602">
        <v>8.3023767252813602E-2</v>
      </c>
      <c r="I602">
        <v>-2.1678908460721402</v>
      </c>
      <c r="J602">
        <v>-4.45</v>
      </c>
      <c r="L602">
        <v>4.3047792740556536</v>
      </c>
      <c r="M602">
        <v>4.1387317395500256</v>
      </c>
      <c r="N602">
        <v>4.3878030413084668</v>
      </c>
      <c r="O602">
        <v>4.0557079722972125</v>
      </c>
    </row>
    <row r="603" spans="1:15">
      <c r="A603" s="19">
        <v>42954</v>
      </c>
      <c r="B603">
        <v>3280</v>
      </c>
      <c r="C603">
        <v>3350</v>
      </c>
      <c r="D603">
        <v>805</v>
      </c>
      <c r="E603">
        <v>824</v>
      </c>
      <c r="F603">
        <v>4.0655339805825204</v>
      </c>
      <c r="G603">
        <v>4.2229777273502096</v>
      </c>
      <c r="H603">
        <v>8.1015569640271304E-2</v>
      </c>
      <c r="I603">
        <v>-1.9433764085937899</v>
      </c>
      <c r="J603">
        <v>-3.87</v>
      </c>
      <c r="L603">
        <v>4.3039932969904813</v>
      </c>
      <c r="M603">
        <v>4.1419621577099379</v>
      </c>
      <c r="N603">
        <v>4.3850088666307521</v>
      </c>
      <c r="O603">
        <v>4.0609465880696671</v>
      </c>
    </row>
    <row r="604" spans="1:15">
      <c r="A604" s="19">
        <v>42951</v>
      </c>
      <c r="B604">
        <v>3225</v>
      </c>
      <c r="C604">
        <v>3255</v>
      </c>
      <c r="D604">
        <v>783</v>
      </c>
      <c r="E604">
        <v>802</v>
      </c>
      <c r="F604">
        <v>4.0586034912718203</v>
      </c>
      <c r="G604">
        <v>4.2240724848287998</v>
      </c>
      <c r="H604">
        <v>7.9419680413665705E-2</v>
      </c>
      <c r="I604">
        <v>-2.0834759431808001</v>
      </c>
      <c r="J604">
        <v>-4.08</v>
      </c>
      <c r="L604">
        <v>4.3034921652424654</v>
      </c>
      <c r="M604">
        <v>4.1446528044151343</v>
      </c>
      <c r="N604">
        <v>4.3829118456561309</v>
      </c>
      <c r="O604">
        <v>4.0652331240014687</v>
      </c>
    </row>
    <row r="605" spans="1:15">
      <c r="A605" s="19">
        <v>42950</v>
      </c>
      <c r="B605">
        <v>3180</v>
      </c>
      <c r="C605">
        <v>3215</v>
      </c>
      <c r="D605">
        <v>770</v>
      </c>
      <c r="E605">
        <v>780</v>
      </c>
      <c r="F605">
        <v>4.1217948717948696</v>
      </c>
      <c r="G605">
        <v>4.2249141147037701</v>
      </c>
      <c r="H605">
        <v>7.79831748707768E-2</v>
      </c>
      <c r="I605">
        <v>-1.32232681062014</v>
      </c>
      <c r="J605">
        <v>-2.5</v>
      </c>
      <c r="L605">
        <v>4.3028972895745472</v>
      </c>
      <c r="M605">
        <v>4.146930939832993</v>
      </c>
      <c r="N605">
        <v>4.3808804644453234</v>
      </c>
      <c r="O605">
        <v>4.0689477649622168</v>
      </c>
    </row>
    <row r="606" spans="1:15">
      <c r="A606" s="19">
        <v>42949</v>
      </c>
      <c r="B606">
        <v>3215</v>
      </c>
      <c r="C606">
        <v>3195</v>
      </c>
      <c r="D606">
        <v>776</v>
      </c>
      <c r="E606">
        <v>770</v>
      </c>
      <c r="F606">
        <v>4.1493506493506498</v>
      </c>
      <c r="G606">
        <v>4.22484057067674</v>
      </c>
      <c r="H606">
        <v>7.8082926541413397E-2</v>
      </c>
      <c r="I606">
        <v>-0.96679164920974403</v>
      </c>
      <c r="J606">
        <v>-1.82</v>
      </c>
      <c r="L606">
        <v>4.3029234972181536</v>
      </c>
      <c r="M606">
        <v>4.1467576441353264</v>
      </c>
      <c r="N606">
        <v>4.3810064237595672</v>
      </c>
      <c r="O606">
        <v>4.0686747175939129</v>
      </c>
    </row>
    <row r="607" spans="1:15">
      <c r="A607" s="19">
        <v>42948</v>
      </c>
      <c r="B607">
        <v>3160</v>
      </c>
      <c r="C607">
        <v>3210</v>
      </c>
      <c r="D607">
        <v>759</v>
      </c>
      <c r="E607">
        <v>778</v>
      </c>
      <c r="F607">
        <v>4.1259640102827699</v>
      </c>
      <c r="G607">
        <v>4.2247481567099001</v>
      </c>
      <c r="H607">
        <v>7.8176262693338397E-2</v>
      </c>
      <c r="I607">
        <v>-1.2636079421528501</v>
      </c>
      <c r="J607">
        <v>-2.39</v>
      </c>
      <c r="L607">
        <v>4.3029244194032383</v>
      </c>
      <c r="M607">
        <v>4.1465718940165619</v>
      </c>
      <c r="N607">
        <v>4.3811006820965765</v>
      </c>
      <c r="O607">
        <v>4.0683956313232237</v>
      </c>
    </row>
    <row r="608" spans="1:15">
      <c r="A608" s="19">
        <v>42947</v>
      </c>
      <c r="B608">
        <v>3145</v>
      </c>
      <c r="C608">
        <v>3175</v>
      </c>
      <c r="D608">
        <v>754</v>
      </c>
      <c r="E608">
        <v>759</v>
      </c>
      <c r="F608">
        <v>4.1831357048748297</v>
      </c>
      <c r="G608">
        <v>4.2241713934650296</v>
      </c>
      <c r="H608">
        <v>7.9057540504215096E-2</v>
      </c>
      <c r="I608">
        <v>-0.51906103236301704</v>
      </c>
      <c r="J608">
        <v>-0.98</v>
      </c>
      <c r="L608">
        <v>4.3032289339692449</v>
      </c>
      <c r="M608">
        <v>4.1451138529608142</v>
      </c>
      <c r="N608">
        <v>4.3822864744734602</v>
      </c>
      <c r="O608">
        <v>4.0660563124565989</v>
      </c>
    </row>
    <row r="609" spans="1:15">
      <c r="A609" s="19">
        <v>42944</v>
      </c>
      <c r="B609">
        <v>3155</v>
      </c>
      <c r="C609">
        <v>3170</v>
      </c>
      <c r="D609">
        <v>751</v>
      </c>
      <c r="E609">
        <v>756</v>
      </c>
      <c r="F609">
        <v>4.1931216931216904</v>
      </c>
      <c r="G609">
        <v>4.2230147246289498</v>
      </c>
      <c r="H609">
        <v>8.0274699886237103E-2</v>
      </c>
      <c r="I609">
        <v>-0.37238422005466199</v>
      </c>
      <c r="J609">
        <v>-0.71</v>
      </c>
      <c r="L609">
        <v>4.3032894245151869</v>
      </c>
      <c r="M609">
        <v>4.1427400247427126</v>
      </c>
      <c r="N609">
        <v>4.3835641244014241</v>
      </c>
      <c r="O609">
        <v>4.0624653248564755</v>
      </c>
    </row>
    <row r="610" spans="1:15">
      <c r="A610" s="19">
        <v>42943</v>
      </c>
      <c r="B610">
        <v>3145</v>
      </c>
      <c r="C610">
        <v>3150</v>
      </c>
      <c r="D610">
        <v>765</v>
      </c>
      <c r="E610">
        <v>750</v>
      </c>
      <c r="F610">
        <v>4.2</v>
      </c>
      <c r="G610">
        <v>4.2229512541724201</v>
      </c>
      <c r="H610">
        <v>8.0300188041212098E-2</v>
      </c>
      <c r="I610">
        <v>-0.285818187133563</v>
      </c>
      <c r="J610">
        <v>-0.55000000000000004</v>
      </c>
      <c r="L610">
        <v>4.3032514422136323</v>
      </c>
      <c r="M610">
        <v>4.1426510661312079</v>
      </c>
      <c r="N610">
        <v>4.3835516302548445</v>
      </c>
      <c r="O610">
        <v>4.0623508780899957</v>
      </c>
    </row>
    <row r="611" spans="1:15">
      <c r="A611" s="19">
        <v>42942</v>
      </c>
      <c r="B611">
        <v>3170</v>
      </c>
      <c r="C611">
        <v>3140</v>
      </c>
      <c r="D611">
        <v>753</v>
      </c>
      <c r="E611">
        <v>756</v>
      </c>
      <c r="F611">
        <v>4.1534391534391499</v>
      </c>
      <c r="G611">
        <v>4.2220990625312398</v>
      </c>
      <c r="H611">
        <v>8.0876319137798997E-2</v>
      </c>
      <c r="I611">
        <v>-0.84894948019461203</v>
      </c>
      <c r="J611">
        <v>-1.65</v>
      </c>
      <c r="L611">
        <v>4.3029753816690386</v>
      </c>
      <c r="M611">
        <v>4.141222743393441</v>
      </c>
      <c r="N611">
        <v>4.3838517008068374</v>
      </c>
      <c r="O611">
        <v>4.0603464242556422</v>
      </c>
    </row>
    <row r="612" spans="1:15">
      <c r="A612" s="19">
        <v>42941</v>
      </c>
      <c r="B612">
        <v>3180</v>
      </c>
      <c r="C612">
        <v>3155</v>
      </c>
      <c r="D612">
        <v>750</v>
      </c>
      <c r="E612">
        <v>749</v>
      </c>
      <c r="F612">
        <v>4.21228304405874</v>
      </c>
      <c r="G612">
        <v>4.2227615404853802</v>
      </c>
      <c r="H612">
        <v>8.0513877971470194E-2</v>
      </c>
      <c r="I612">
        <v>-0.13014522080720201</v>
      </c>
      <c r="J612">
        <v>-0.25</v>
      </c>
      <c r="L612">
        <v>4.3032754184568507</v>
      </c>
      <c r="M612">
        <v>4.1422476625139097</v>
      </c>
      <c r="N612">
        <v>4.3837892964283203</v>
      </c>
      <c r="O612">
        <v>4.0617337845424402</v>
      </c>
    </row>
    <row r="613" spans="1:15">
      <c r="A613" s="19">
        <v>42940</v>
      </c>
      <c r="B613">
        <v>3175</v>
      </c>
      <c r="C613">
        <v>3210</v>
      </c>
      <c r="D613">
        <v>753</v>
      </c>
      <c r="E613">
        <v>755</v>
      </c>
      <c r="F613">
        <v>4.2516556291390701</v>
      </c>
      <c r="G613">
        <v>4.2222552589193398</v>
      </c>
      <c r="H613">
        <v>8.0697350891777306E-2</v>
      </c>
      <c r="I613">
        <v>0.36432881494656599</v>
      </c>
      <c r="J613">
        <v>0.69</v>
      </c>
      <c r="L613">
        <v>4.3029526098111175</v>
      </c>
      <c r="M613">
        <v>4.1415579080275622</v>
      </c>
      <c r="N613">
        <v>4.3836499607028943</v>
      </c>
      <c r="O613">
        <v>4.0608605571357854</v>
      </c>
    </row>
    <row r="614" spans="1:15">
      <c r="A614" s="19">
        <v>42937</v>
      </c>
      <c r="B614">
        <v>3210</v>
      </c>
      <c r="C614">
        <v>3205</v>
      </c>
      <c r="D614">
        <v>763</v>
      </c>
      <c r="E614">
        <v>757</v>
      </c>
      <c r="F614">
        <v>4.2338177014531002</v>
      </c>
      <c r="G614">
        <v>4.2210040488110403</v>
      </c>
      <c r="H614">
        <v>8.0958874365540404E-2</v>
      </c>
      <c r="I614">
        <v>0.15827360178210501</v>
      </c>
      <c r="J614">
        <v>0.3</v>
      </c>
      <c r="L614">
        <v>4.301962923176581</v>
      </c>
      <c r="M614">
        <v>4.1400451744454996</v>
      </c>
      <c r="N614">
        <v>4.3829217975421209</v>
      </c>
      <c r="O614">
        <v>4.0590863000799597</v>
      </c>
    </row>
    <row r="615" spans="1:15">
      <c r="A615" s="19">
        <v>42936</v>
      </c>
      <c r="B615">
        <v>3180</v>
      </c>
      <c r="C615">
        <v>3205</v>
      </c>
      <c r="D615">
        <v>750</v>
      </c>
      <c r="E615">
        <v>760</v>
      </c>
      <c r="F615">
        <v>4.2171052631578902</v>
      </c>
      <c r="G615">
        <v>4.2195953716590298</v>
      </c>
      <c r="H615">
        <v>8.1639954781286703E-2</v>
      </c>
      <c r="I615">
        <v>-3.0501100935304601E-2</v>
      </c>
      <c r="J615">
        <v>-0.06</v>
      </c>
      <c r="L615">
        <v>4.3012353264403167</v>
      </c>
      <c r="M615">
        <v>4.1379554168777428</v>
      </c>
      <c r="N615">
        <v>4.3828752812216027</v>
      </c>
      <c r="O615">
        <v>4.0563154620964568</v>
      </c>
    </row>
    <row r="616" spans="1:15">
      <c r="A616" s="19">
        <v>42935</v>
      </c>
      <c r="B616">
        <v>3150</v>
      </c>
      <c r="C616">
        <v>3185</v>
      </c>
      <c r="D616">
        <v>737</v>
      </c>
      <c r="E616">
        <v>753</v>
      </c>
      <c r="F616">
        <v>4.2297476759628099</v>
      </c>
      <c r="G616">
        <v>4.2178946646676696</v>
      </c>
      <c r="H616">
        <v>8.2991505725457507E-2</v>
      </c>
      <c r="I616">
        <v>0.142821981497151</v>
      </c>
      <c r="J616">
        <v>0.28000000000000003</v>
      </c>
      <c r="L616">
        <v>4.3008861703931274</v>
      </c>
      <c r="M616">
        <v>4.1349031589422118</v>
      </c>
      <c r="N616">
        <v>4.3838776761185843</v>
      </c>
      <c r="O616">
        <v>4.0519116532167549</v>
      </c>
    </row>
    <row r="617" spans="1:15">
      <c r="A617" s="19">
        <v>42934</v>
      </c>
      <c r="B617">
        <v>3160</v>
      </c>
      <c r="C617">
        <v>3150</v>
      </c>
      <c r="D617">
        <v>730</v>
      </c>
      <c r="E617">
        <v>744</v>
      </c>
      <c r="F617">
        <v>4.2338709677419297</v>
      </c>
      <c r="G617">
        <v>4.21573866015187</v>
      </c>
      <c r="H617">
        <v>8.4737583372198499E-2</v>
      </c>
      <c r="I617">
        <v>0.21398188228255399</v>
      </c>
      <c r="J617">
        <v>0.43</v>
      </c>
      <c r="L617">
        <v>4.3004762435240682</v>
      </c>
      <c r="M617">
        <v>4.1310010767796719</v>
      </c>
      <c r="N617">
        <v>4.3852138268962673</v>
      </c>
      <c r="O617">
        <v>4.0462634934074728</v>
      </c>
    </row>
    <row r="618" spans="1:15">
      <c r="A618" s="19">
        <v>42930</v>
      </c>
      <c r="B618">
        <v>3110</v>
      </c>
      <c r="C618">
        <v>3125</v>
      </c>
      <c r="D618">
        <v>729</v>
      </c>
      <c r="E618">
        <v>738</v>
      </c>
      <c r="F618">
        <v>4.2344173441734396</v>
      </c>
      <c r="G618">
        <v>4.2128122271047603</v>
      </c>
      <c r="H618">
        <v>8.7795608292891597E-2</v>
      </c>
      <c r="I618">
        <v>0.24608425738789599</v>
      </c>
      <c r="J618">
        <v>0.51</v>
      </c>
      <c r="L618">
        <v>4.3006078353976518</v>
      </c>
      <c r="M618">
        <v>4.1250166188118689</v>
      </c>
      <c r="N618">
        <v>4.3884034436905432</v>
      </c>
      <c r="O618">
        <v>4.0372210105189774</v>
      </c>
    </row>
    <row r="619" spans="1:15">
      <c r="A619" s="19">
        <v>42929</v>
      </c>
      <c r="B619">
        <v>3120</v>
      </c>
      <c r="C619">
        <v>3115</v>
      </c>
      <c r="D619">
        <v>732</v>
      </c>
      <c r="E619">
        <v>729</v>
      </c>
      <c r="F619">
        <v>4.2729766803840796</v>
      </c>
      <c r="G619">
        <v>4.2107442640266397</v>
      </c>
      <c r="H619">
        <v>8.9079574215240195E-2</v>
      </c>
      <c r="I619">
        <v>0.69861600603378005</v>
      </c>
      <c r="J619">
        <v>1.46</v>
      </c>
      <c r="L619">
        <v>4.2998238382418803</v>
      </c>
      <c r="M619">
        <v>4.1216646898113991</v>
      </c>
      <c r="N619">
        <v>4.38890341245712</v>
      </c>
      <c r="O619">
        <v>4.0325851155961594</v>
      </c>
    </row>
    <row r="620" spans="1:15">
      <c r="A620" s="19">
        <v>42928</v>
      </c>
      <c r="B620">
        <v>3150</v>
      </c>
      <c r="C620">
        <v>3110</v>
      </c>
      <c r="D620">
        <v>742</v>
      </c>
      <c r="E620">
        <v>732</v>
      </c>
      <c r="F620">
        <v>4.24863387978142</v>
      </c>
      <c r="G620">
        <v>4.2095376649791802</v>
      </c>
      <c r="H620">
        <v>8.8841018719456405E-2</v>
      </c>
      <c r="I620">
        <v>0.44006941124448801</v>
      </c>
      <c r="J620">
        <v>0.92</v>
      </c>
      <c r="L620">
        <v>4.2983786836986368</v>
      </c>
      <c r="M620">
        <v>4.1206966462597237</v>
      </c>
      <c r="N620">
        <v>4.3872197024180934</v>
      </c>
      <c r="O620">
        <v>4.0318556275402671</v>
      </c>
    </row>
    <row r="621" spans="1:15">
      <c r="A621" s="19">
        <v>42927</v>
      </c>
      <c r="B621">
        <v>3120</v>
      </c>
      <c r="C621">
        <v>3150</v>
      </c>
      <c r="D621">
        <v>711</v>
      </c>
      <c r="E621">
        <v>741</v>
      </c>
      <c r="F621">
        <v>4.2510121457489802</v>
      </c>
      <c r="G621">
        <v>4.20801923688943</v>
      </c>
      <c r="H621">
        <v>8.9132559659820795E-2</v>
      </c>
      <c r="I621">
        <v>0.48234796603666602</v>
      </c>
      <c r="J621">
        <v>1.01</v>
      </c>
      <c r="L621">
        <v>4.2971517965492509</v>
      </c>
      <c r="M621">
        <v>4.1188866772296091</v>
      </c>
      <c r="N621">
        <v>4.3862843562090719</v>
      </c>
      <c r="O621">
        <v>4.0297541175697882</v>
      </c>
    </row>
    <row r="622" spans="1:15">
      <c r="A622" s="19">
        <v>42926</v>
      </c>
      <c r="B622">
        <v>3085</v>
      </c>
      <c r="C622">
        <v>3120</v>
      </c>
      <c r="D622">
        <v>715</v>
      </c>
      <c r="E622">
        <v>711</v>
      </c>
      <c r="F622">
        <v>4.3881856540084296</v>
      </c>
      <c r="G622">
        <v>4.2068469433295101</v>
      </c>
      <c r="H622">
        <v>8.9137583057098402E-2</v>
      </c>
      <c r="I622">
        <v>2.03436871922769</v>
      </c>
      <c r="J622">
        <v>4.13</v>
      </c>
      <c r="L622">
        <v>4.2959845263866088</v>
      </c>
      <c r="M622">
        <v>4.1177093602724115</v>
      </c>
      <c r="N622">
        <v>4.3851221094437065</v>
      </c>
      <c r="O622">
        <v>4.0285717772153138</v>
      </c>
    </row>
    <row r="623" spans="1:15">
      <c r="A623" s="19">
        <v>42923</v>
      </c>
      <c r="B623">
        <v>3055</v>
      </c>
      <c r="C623">
        <v>3065</v>
      </c>
      <c r="D623">
        <v>717</v>
      </c>
      <c r="E623">
        <v>709</v>
      </c>
      <c r="F623">
        <v>4.3229901269393496</v>
      </c>
      <c r="G623">
        <v>4.2037355285487896</v>
      </c>
      <c r="H623">
        <v>8.6795481260278307E-2</v>
      </c>
      <c r="I623">
        <v>1.37397243104093</v>
      </c>
      <c r="J623">
        <v>2.76</v>
      </c>
      <c r="L623">
        <v>4.2905310098090679</v>
      </c>
      <c r="M623">
        <v>4.1169400472885114</v>
      </c>
      <c r="N623">
        <v>4.3773264910693461</v>
      </c>
      <c r="O623">
        <v>4.0301445660282331</v>
      </c>
    </row>
    <row r="624" spans="1:15">
      <c r="A624" s="19">
        <v>42922</v>
      </c>
      <c r="B624">
        <v>3035</v>
      </c>
      <c r="C624">
        <v>3070</v>
      </c>
      <c r="D624">
        <v>708</v>
      </c>
      <c r="E624">
        <v>723</v>
      </c>
      <c r="F624">
        <v>4.2461964038727498</v>
      </c>
      <c r="G624">
        <v>4.20135512723028</v>
      </c>
      <c r="H624">
        <v>8.5936109599282495E-2</v>
      </c>
      <c r="I624">
        <v>0.52179784320660805</v>
      </c>
      <c r="J624">
        <v>1.06</v>
      </c>
      <c r="L624">
        <v>4.2872912368295628</v>
      </c>
      <c r="M624">
        <v>4.1154190176309973</v>
      </c>
      <c r="N624">
        <v>4.3732273464288447</v>
      </c>
      <c r="O624">
        <v>4.0294829080317154</v>
      </c>
    </row>
    <row r="625" spans="1:15">
      <c r="A625" s="19">
        <v>42921</v>
      </c>
      <c r="B625">
        <v>2990</v>
      </c>
      <c r="C625">
        <v>3020</v>
      </c>
      <c r="D625">
        <v>693</v>
      </c>
      <c r="E625">
        <v>707</v>
      </c>
      <c r="F625">
        <v>4.2715700141442703</v>
      </c>
      <c r="G625">
        <v>4.1993184406365698</v>
      </c>
      <c r="H625">
        <v>8.6656324107872607E-2</v>
      </c>
      <c r="I625">
        <v>0.83377150198247796</v>
      </c>
      <c r="J625">
        <v>1.69</v>
      </c>
      <c r="L625">
        <v>4.2859747647444424</v>
      </c>
      <c r="M625">
        <v>4.1126621165286972</v>
      </c>
      <c r="N625">
        <v>4.372631088852315</v>
      </c>
      <c r="O625">
        <v>4.0260057924208246</v>
      </c>
    </row>
    <row r="626" spans="1:15">
      <c r="A626" s="19">
        <v>42920</v>
      </c>
      <c r="B626">
        <v>3050</v>
      </c>
      <c r="C626">
        <v>2990</v>
      </c>
      <c r="D626">
        <v>706</v>
      </c>
      <c r="E626">
        <v>693</v>
      </c>
      <c r="F626">
        <v>4.3145743145743101</v>
      </c>
      <c r="G626">
        <v>4.19781064409454</v>
      </c>
      <c r="H626">
        <v>8.6369395580875599E-2</v>
      </c>
      <c r="I626">
        <v>1.3519102419842099</v>
      </c>
      <c r="J626">
        <v>2.71</v>
      </c>
      <c r="L626">
        <v>4.2841800396754159</v>
      </c>
      <c r="M626">
        <v>4.111441248513664</v>
      </c>
      <c r="N626">
        <v>4.370549435256291</v>
      </c>
      <c r="O626">
        <v>4.0250718529327889</v>
      </c>
    </row>
    <row r="627" spans="1:15">
      <c r="A627" s="19">
        <v>42919</v>
      </c>
      <c r="B627">
        <v>2980</v>
      </c>
      <c r="C627">
        <v>3030</v>
      </c>
      <c r="D627">
        <v>715</v>
      </c>
      <c r="E627">
        <v>700</v>
      </c>
      <c r="F627">
        <v>4.3285714285714203</v>
      </c>
      <c r="G627">
        <v>4.19579205211779</v>
      </c>
      <c r="H627">
        <v>8.53803541821508E-2</v>
      </c>
      <c r="I627">
        <v>1.5551513896319</v>
      </c>
      <c r="J627">
        <v>3.07</v>
      </c>
      <c r="L627">
        <v>4.281172406299941</v>
      </c>
      <c r="M627">
        <v>4.1104116979356391</v>
      </c>
      <c r="N627">
        <v>4.366552760482092</v>
      </c>
      <c r="O627">
        <v>4.0250313437534881</v>
      </c>
    </row>
    <row r="628" spans="1:15">
      <c r="A628" s="19">
        <v>42916</v>
      </c>
      <c r="B628">
        <v>3000</v>
      </c>
      <c r="C628">
        <v>2980</v>
      </c>
      <c r="D628">
        <v>704</v>
      </c>
      <c r="E628">
        <v>700</v>
      </c>
      <c r="F628">
        <v>4.25714285714285</v>
      </c>
      <c r="G628">
        <v>4.19406662434222</v>
      </c>
      <c r="H628">
        <v>8.3975638768645597E-2</v>
      </c>
      <c r="I628">
        <v>0.75112537070909202</v>
      </c>
      <c r="J628">
        <v>1.48</v>
      </c>
      <c r="L628">
        <v>4.2780422631108657</v>
      </c>
      <c r="M628">
        <v>4.1100909855735743</v>
      </c>
      <c r="N628">
        <v>4.3620179018795113</v>
      </c>
      <c r="O628">
        <v>4.0261153468049287</v>
      </c>
    </row>
    <row r="629" spans="1:15">
      <c r="A629" s="19">
        <v>42915</v>
      </c>
      <c r="B629">
        <v>3030</v>
      </c>
      <c r="C629">
        <v>3010</v>
      </c>
      <c r="D629">
        <v>714</v>
      </c>
      <c r="E629">
        <v>710</v>
      </c>
      <c r="F629">
        <v>4.23943661971831</v>
      </c>
      <c r="G629">
        <v>4.1928137851312197</v>
      </c>
      <c r="H629">
        <v>8.3725802484599501E-2</v>
      </c>
      <c r="I629">
        <v>0.55685145084944199</v>
      </c>
      <c r="J629">
        <v>1.1000000000000001</v>
      </c>
      <c r="L629">
        <v>4.2765395876158196</v>
      </c>
      <c r="M629">
        <v>4.1090879826466198</v>
      </c>
      <c r="N629">
        <v>4.3602653901004187</v>
      </c>
      <c r="O629">
        <v>4.0253621801620207</v>
      </c>
    </row>
    <row r="630" spans="1:15">
      <c r="A630" s="19">
        <v>42914</v>
      </c>
      <c r="B630">
        <v>3055</v>
      </c>
      <c r="C630">
        <v>3025</v>
      </c>
      <c r="D630">
        <v>707</v>
      </c>
      <c r="E630">
        <v>706</v>
      </c>
      <c r="F630">
        <v>4.2847025495750701</v>
      </c>
      <c r="G630">
        <v>4.19167400144529</v>
      </c>
      <c r="H630">
        <v>8.3665189990430697E-2</v>
      </c>
      <c r="I630">
        <v>1.11191462232284</v>
      </c>
      <c r="J630">
        <v>2.17</v>
      </c>
      <c r="L630">
        <v>4.2753391914357204</v>
      </c>
      <c r="M630">
        <v>4.1080088114548596</v>
      </c>
      <c r="N630">
        <v>4.3590043814261517</v>
      </c>
      <c r="O630">
        <v>4.0243436214644284</v>
      </c>
    </row>
    <row r="631" spans="1:15">
      <c r="A631" s="19">
        <v>42913</v>
      </c>
      <c r="B631">
        <v>3065</v>
      </c>
      <c r="C631">
        <v>3080</v>
      </c>
      <c r="D631">
        <v>719</v>
      </c>
      <c r="E631">
        <v>714</v>
      </c>
      <c r="F631">
        <v>4.3137254901960702</v>
      </c>
      <c r="G631">
        <v>4.1904705600435497</v>
      </c>
      <c r="H631">
        <v>8.2964614582108506E-2</v>
      </c>
      <c r="I631">
        <v>1.4856325286793699</v>
      </c>
      <c r="J631">
        <v>2.86</v>
      </c>
      <c r="L631">
        <v>4.273435174625658</v>
      </c>
      <c r="M631">
        <v>4.1075059454614413</v>
      </c>
      <c r="N631">
        <v>4.3563997892077664</v>
      </c>
      <c r="O631">
        <v>4.024541330879333</v>
      </c>
    </row>
    <row r="632" spans="1:15">
      <c r="A632" s="19">
        <v>42912</v>
      </c>
      <c r="B632">
        <v>3080</v>
      </c>
      <c r="C632">
        <v>3065</v>
      </c>
      <c r="D632">
        <v>722</v>
      </c>
      <c r="E632">
        <v>719</v>
      </c>
      <c r="F632">
        <v>4.2628650904033298</v>
      </c>
      <c r="G632">
        <v>4.1885870435400498</v>
      </c>
      <c r="H632">
        <v>8.1739505929510195E-2</v>
      </c>
      <c r="I632">
        <v>0.90871661161418105</v>
      </c>
      <c r="J632">
        <v>1.74</v>
      </c>
      <c r="L632">
        <v>4.2703265494695604</v>
      </c>
      <c r="M632">
        <v>4.1068475376105393</v>
      </c>
      <c r="N632">
        <v>4.35206605539907</v>
      </c>
      <c r="O632">
        <v>4.0251080316810297</v>
      </c>
    </row>
    <row r="633" spans="1:15">
      <c r="A633" s="19">
        <v>42909</v>
      </c>
      <c r="B633">
        <v>3095</v>
      </c>
      <c r="C633">
        <v>3105</v>
      </c>
      <c r="D633">
        <v>727</v>
      </c>
      <c r="E633">
        <v>723</v>
      </c>
      <c r="F633">
        <v>4.2946058091286297</v>
      </c>
      <c r="G633">
        <v>4.1865041516606203</v>
      </c>
      <c r="H633">
        <v>8.1810543350848197E-2</v>
      </c>
      <c r="I633">
        <v>1.32136584161783</v>
      </c>
      <c r="J633">
        <v>2.52</v>
      </c>
      <c r="L633">
        <v>4.2683146950114681</v>
      </c>
      <c r="M633">
        <v>4.1046936083097725</v>
      </c>
      <c r="N633">
        <v>4.3501252383623168</v>
      </c>
      <c r="O633">
        <v>4.0228830649589238</v>
      </c>
    </row>
    <row r="634" spans="1:15">
      <c r="A634" s="19">
        <v>42908</v>
      </c>
      <c r="B634">
        <v>3105</v>
      </c>
      <c r="C634">
        <v>3115</v>
      </c>
      <c r="D634">
        <v>723</v>
      </c>
      <c r="E634">
        <v>720</v>
      </c>
      <c r="F634">
        <v>4.3263888888888804</v>
      </c>
      <c r="G634">
        <v>4.1858083974378903</v>
      </c>
      <c r="H634">
        <v>8.1107102682019497E-2</v>
      </c>
      <c r="I634">
        <v>1.7332697976172999</v>
      </c>
      <c r="J634">
        <v>3.25</v>
      </c>
      <c r="L634">
        <v>4.2669155001199099</v>
      </c>
      <c r="M634">
        <v>4.1047012947558708</v>
      </c>
      <c r="N634">
        <v>4.3480226028019295</v>
      </c>
      <c r="O634">
        <v>4.0235941920738512</v>
      </c>
    </row>
    <row r="635" spans="1:15">
      <c r="A635" s="19">
        <v>42907</v>
      </c>
      <c r="B635">
        <v>3095</v>
      </c>
      <c r="C635">
        <v>3105</v>
      </c>
      <c r="D635">
        <v>719</v>
      </c>
      <c r="E635">
        <v>721</v>
      </c>
      <c r="F635">
        <v>4.3065187239944498</v>
      </c>
      <c r="G635">
        <v>4.1845926687221704</v>
      </c>
      <c r="H635">
        <v>7.9661272596999899E-2</v>
      </c>
      <c r="I635">
        <v>1.5305562075200101</v>
      </c>
      <c r="J635">
        <v>2.83</v>
      </c>
      <c r="L635">
        <v>4.2642539413191702</v>
      </c>
      <c r="M635">
        <v>4.1049313961251706</v>
      </c>
      <c r="N635">
        <v>4.3439152139161701</v>
      </c>
      <c r="O635">
        <v>4.0252701235281707</v>
      </c>
    </row>
    <row r="636" spans="1:15">
      <c r="A636" s="19">
        <v>42906</v>
      </c>
      <c r="B636">
        <v>3095</v>
      </c>
      <c r="C636">
        <v>3095</v>
      </c>
      <c r="D636">
        <v>719</v>
      </c>
      <c r="E636">
        <v>720</v>
      </c>
      <c r="F636">
        <v>4.2986111111111098</v>
      </c>
      <c r="G636">
        <v>4.1840408148422004</v>
      </c>
      <c r="H636">
        <v>7.89549477777646E-2</v>
      </c>
      <c r="I636">
        <v>1.4510844411092101</v>
      </c>
      <c r="J636">
        <v>2.67</v>
      </c>
      <c r="L636">
        <v>4.2629957626199646</v>
      </c>
      <c r="M636">
        <v>4.1050858670644361</v>
      </c>
      <c r="N636">
        <v>4.3419507103977297</v>
      </c>
      <c r="O636">
        <v>4.026130919286671</v>
      </c>
    </row>
    <row r="637" spans="1:15">
      <c r="A637" s="19">
        <v>42905</v>
      </c>
      <c r="B637">
        <v>3060</v>
      </c>
      <c r="C637">
        <v>3080</v>
      </c>
      <c r="D637">
        <v>713</v>
      </c>
      <c r="E637">
        <v>712</v>
      </c>
      <c r="F637">
        <v>4.3258426966292101</v>
      </c>
      <c r="G637">
        <v>4.1830545024428503</v>
      </c>
      <c r="H637">
        <v>7.7973506205690504E-2</v>
      </c>
      <c r="I637">
        <v>1.8312398805011301</v>
      </c>
      <c r="J637">
        <v>3.3</v>
      </c>
      <c r="L637">
        <v>4.261028008648541</v>
      </c>
      <c r="M637">
        <v>4.1050809962371595</v>
      </c>
      <c r="N637">
        <v>4.3390015148542309</v>
      </c>
      <c r="O637">
        <v>4.0271074900314696</v>
      </c>
    </row>
    <row r="638" spans="1:15">
      <c r="A638" s="19">
        <v>42902</v>
      </c>
      <c r="B638">
        <v>3090</v>
      </c>
      <c r="C638">
        <v>3055</v>
      </c>
      <c r="D638">
        <v>718</v>
      </c>
      <c r="E638">
        <v>714</v>
      </c>
      <c r="F638">
        <v>4.2787114845938303</v>
      </c>
      <c r="G638">
        <v>4.1823800161217601</v>
      </c>
      <c r="H638">
        <v>7.6947483749817594E-2</v>
      </c>
      <c r="I638">
        <v>1.2519118725867799</v>
      </c>
      <c r="J638">
        <v>2.25</v>
      </c>
      <c r="L638">
        <v>4.2593274998715778</v>
      </c>
      <c r="M638">
        <v>4.1054325323719425</v>
      </c>
      <c r="N638">
        <v>4.3362749836213954</v>
      </c>
      <c r="O638">
        <v>4.0284850486221249</v>
      </c>
    </row>
    <row r="639" spans="1:15">
      <c r="A639" s="19">
        <v>42901</v>
      </c>
      <c r="B639">
        <v>3000</v>
      </c>
      <c r="C639">
        <v>3080</v>
      </c>
      <c r="D639">
        <v>710</v>
      </c>
      <c r="E639">
        <v>710</v>
      </c>
      <c r="F639">
        <v>4.3380281690140796</v>
      </c>
      <c r="G639">
        <v>4.1823480735201599</v>
      </c>
      <c r="H639">
        <v>7.6907974907646295E-2</v>
      </c>
      <c r="I639">
        <v>2.0242386525047702</v>
      </c>
      <c r="J639">
        <v>3.59</v>
      </c>
      <c r="L639">
        <v>4.2592560484278064</v>
      </c>
      <c r="M639">
        <v>4.1054400986125135</v>
      </c>
      <c r="N639">
        <v>4.3361640233354528</v>
      </c>
      <c r="O639">
        <v>4.028532123704867</v>
      </c>
    </row>
    <row r="640" spans="1:15">
      <c r="A640" s="19">
        <v>42900</v>
      </c>
      <c r="B640">
        <v>3025</v>
      </c>
      <c r="C640">
        <v>3040</v>
      </c>
      <c r="D640">
        <v>709</v>
      </c>
      <c r="E640">
        <v>710</v>
      </c>
      <c r="F640">
        <v>4.28169014084507</v>
      </c>
      <c r="G640">
        <v>4.1805115403924704</v>
      </c>
      <c r="H640">
        <v>7.4783718079245401E-2</v>
      </c>
      <c r="I640">
        <v>1.35294958650458</v>
      </c>
      <c r="J640">
        <v>2.36</v>
      </c>
      <c r="L640">
        <v>4.2552952584717154</v>
      </c>
      <c r="M640">
        <v>4.1057278223132254</v>
      </c>
      <c r="N640">
        <v>4.3300789765509613</v>
      </c>
      <c r="O640">
        <v>4.0309441042339795</v>
      </c>
    </row>
    <row r="641" spans="1:15">
      <c r="A641" s="19">
        <v>42899</v>
      </c>
      <c r="B641">
        <v>2985</v>
      </c>
      <c r="C641">
        <v>3010</v>
      </c>
      <c r="D641">
        <v>697</v>
      </c>
      <c r="E641">
        <v>710</v>
      </c>
      <c r="F641">
        <v>4.23943661971831</v>
      </c>
      <c r="G641">
        <v>4.1797658020938897</v>
      </c>
      <c r="H641">
        <v>7.40462846480852E-2</v>
      </c>
      <c r="I641">
        <v>0.80585836153704105</v>
      </c>
      <c r="J641">
        <v>1.41</v>
      </c>
      <c r="L641">
        <v>4.2538120867419753</v>
      </c>
      <c r="M641">
        <v>4.1057195174458041</v>
      </c>
      <c r="N641">
        <v>4.32785837139006</v>
      </c>
      <c r="O641">
        <v>4.0316732327977194</v>
      </c>
    </row>
    <row r="642" spans="1:15">
      <c r="A642" s="19">
        <v>42898</v>
      </c>
      <c r="B642">
        <v>2940</v>
      </c>
      <c r="C642">
        <v>2980</v>
      </c>
      <c r="D642">
        <v>689</v>
      </c>
      <c r="E642">
        <v>705</v>
      </c>
      <c r="F642">
        <v>4.2269503546099196</v>
      </c>
      <c r="G642">
        <v>4.1798529624400604</v>
      </c>
      <c r="H642">
        <v>7.4120282655596406E-2</v>
      </c>
      <c r="I642">
        <v>0.63541841021714396</v>
      </c>
      <c r="J642">
        <v>1.1100000000000001</v>
      </c>
      <c r="L642">
        <v>4.2539732450956569</v>
      </c>
      <c r="M642">
        <v>4.105732679784464</v>
      </c>
      <c r="N642">
        <v>4.3280935277512533</v>
      </c>
      <c r="O642">
        <v>4.0316123971288675</v>
      </c>
    </row>
    <row r="643" spans="1:15">
      <c r="A643" s="19">
        <v>42895</v>
      </c>
      <c r="B643">
        <v>2930</v>
      </c>
      <c r="C643">
        <v>2920</v>
      </c>
      <c r="D643">
        <v>689</v>
      </c>
      <c r="E643">
        <v>692</v>
      </c>
      <c r="F643">
        <v>4.2196531791907503</v>
      </c>
      <c r="G643">
        <v>4.1814431043191602</v>
      </c>
      <c r="H643">
        <v>7.63591000522921E-2</v>
      </c>
      <c r="I643">
        <v>0.50039975386588498</v>
      </c>
      <c r="J643">
        <v>0.91</v>
      </c>
      <c r="L643">
        <v>4.2578022043714521</v>
      </c>
      <c r="M643">
        <v>4.1050840042668684</v>
      </c>
      <c r="N643">
        <v>4.3341613044237448</v>
      </c>
      <c r="O643">
        <v>4.0287249042145756</v>
      </c>
    </row>
    <row r="644" spans="1:15">
      <c r="A644" s="19">
        <v>42894</v>
      </c>
      <c r="B644">
        <v>2985</v>
      </c>
      <c r="C644">
        <v>2945</v>
      </c>
      <c r="D644">
        <v>694</v>
      </c>
      <c r="E644">
        <v>689</v>
      </c>
      <c r="F644">
        <v>4.2743105950653097</v>
      </c>
      <c r="G644">
        <v>4.1835642954628796</v>
      </c>
      <c r="H644">
        <v>7.9534730425651401E-2</v>
      </c>
      <c r="I644">
        <v>1.1409644455544301</v>
      </c>
      <c r="J644">
        <v>2.12</v>
      </c>
      <c r="L644">
        <v>4.2630990258885308</v>
      </c>
      <c r="M644">
        <v>4.1040295650372283</v>
      </c>
      <c r="N644">
        <v>4.3426337563141821</v>
      </c>
      <c r="O644">
        <v>4.024494834611577</v>
      </c>
    </row>
    <row r="645" spans="1:15">
      <c r="A645" s="19">
        <v>42893</v>
      </c>
      <c r="B645">
        <v>3010</v>
      </c>
      <c r="C645">
        <v>2980</v>
      </c>
      <c r="D645">
        <v>707</v>
      </c>
      <c r="E645">
        <v>702</v>
      </c>
      <c r="F645">
        <v>4.2450142450142403</v>
      </c>
      <c r="G645">
        <v>4.1850565214608197</v>
      </c>
      <c r="H645">
        <v>8.2227610707021698E-2</v>
      </c>
      <c r="I645">
        <v>0.729167770264605</v>
      </c>
      <c r="J645">
        <v>1.41</v>
      </c>
      <c r="L645">
        <v>4.2672841321678412</v>
      </c>
      <c r="M645">
        <v>4.1028289107537983</v>
      </c>
      <c r="N645">
        <v>4.3495117428748635</v>
      </c>
      <c r="O645">
        <v>4.020601300046776</v>
      </c>
    </row>
    <row r="646" spans="1:15">
      <c r="A646" s="19">
        <v>42892</v>
      </c>
      <c r="B646">
        <v>3050</v>
      </c>
      <c r="C646">
        <v>3015</v>
      </c>
      <c r="D646">
        <v>716</v>
      </c>
      <c r="E646">
        <v>710</v>
      </c>
      <c r="F646">
        <v>4.2464788732394299</v>
      </c>
      <c r="G646">
        <v>4.18585018218615</v>
      </c>
      <c r="H646">
        <v>8.3085284780089905E-2</v>
      </c>
      <c r="I646">
        <v>0.72971635366906795</v>
      </c>
      <c r="J646">
        <v>1.43</v>
      </c>
      <c r="L646">
        <v>4.2689354669662398</v>
      </c>
      <c r="M646">
        <v>4.1027648974060602</v>
      </c>
      <c r="N646">
        <v>4.3520207517463296</v>
      </c>
      <c r="O646">
        <v>4.0196796126259704</v>
      </c>
    </row>
    <row r="647" spans="1:15">
      <c r="A647" s="19">
        <v>42891</v>
      </c>
      <c r="B647">
        <v>3040</v>
      </c>
      <c r="C647">
        <v>3050</v>
      </c>
      <c r="D647">
        <v>709</v>
      </c>
      <c r="E647">
        <v>716</v>
      </c>
      <c r="F647">
        <v>4.2597765363128399</v>
      </c>
      <c r="G647">
        <v>4.18847858417704</v>
      </c>
      <c r="H647">
        <v>8.7938083168965495E-2</v>
      </c>
      <c r="I647">
        <v>0.81077446274111598</v>
      </c>
      <c r="J647">
        <v>1.67</v>
      </c>
      <c r="L647">
        <v>4.2764166673460053</v>
      </c>
      <c r="M647">
        <v>4.1005405010080747</v>
      </c>
      <c r="N647">
        <v>4.3643547505149707</v>
      </c>
      <c r="O647">
        <v>4.0126024178391093</v>
      </c>
    </row>
    <row r="648" spans="1:15">
      <c r="A648" s="19">
        <v>42888</v>
      </c>
      <c r="B648">
        <v>3035</v>
      </c>
      <c r="C648">
        <v>3045</v>
      </c>
      <c r="D648">
        <v>696</v>
      </c>
      <c r="E648">
        <v>713</v>
      </c>
      <c r="F648">
        <v>4.2706872370266398</v>
      </c>
      <c r="G648">
        <v>4.1901911306616499</v>
      </c>
      <c r="H648">
        <v>9.0522576908726907E-2</v>
      </c>
      <c r="I648">
        <v>0.88923790190102603</v>
      </c>
      <c r="J648">
        <v>1.88</v>
      </c>
      <c r="L648">
        <v>4.2807137075703769</v>
      </c>
      <c r="M648">
        <v>4.0996685537529229</v>
      </c>
      <c r="N648">
        <v>4.371236284479104</v>
      </c>
      <c r="O648">
        <v>4.0091459768441959</v>
      </c>
    </row>
    <row r="649" spans="1:15">
      <c r="A649" s="19">
        <v>42887</v>
      </c>
      <c r="B649">
        <v>3035</v>
      </c>
      <c r="C649">
        <v>3045</v>
      </c>
      <c r="D649">
        <v>695</v>
      </c>
      <c r="E649">
        <v>698</v>
      </c>
      <c r="F649">
        <v>4.3624641833810802</v>
      </c>
      <c r="G649">
        <v>4.1914815658948701</v>
      </c>
      <c r="H649">
        <v>9.2332624042214206E-2</v>
      </c>
      <c r="I649">
        <v>1.8518115266391599</v>
      </c>
      <c r="J649">
        <v>3.92</v>
      </c>
      <c r="L649">
        <v>4.2838141899370843</v>
      </c>
      <c r="M649">
        <v>4.0991489418526559</v>
      </c>
      <c r="N649">
        <v>4.3761468139792985</v>
      </c>
      <c r="O649">
        <v>4.0068163178104417</v>
      </c>
    </row>
    <row r="650" spans="1:15">
      <c r="A650" s="19">
        <v>42886</v>
      </c>
      <c r="B650">
        <v>3060</v>
      </c>
      <c r="C650">
        <v>3045</v>
      </c>
      <c r="D650">
        <v>702</v>
      </c>
      <c r="E650">
        <v>698</v>
      </c>
      <c r="F650">
        <v>4.3624641833810802</v>
      </c>
      <c r="G650">
        <v>4.1933153767831204</v>
      </c>
      <c r="H650">
        <v>9.69601198920646E-2</v>
      </c>
      <c r="I650">
        <v>1.7445193630768601</v>
      </c>
      <c r="J650">
        <v>3.88</v>
      </c>
      <c r="L650">
        <v>4.2902754966751848</v>
      </c>
      <c r="M650">
        <v>4.096355256891056</v>
      </c>
      <c r="N650">
        <v>4.3872356165672493</v>
      </c>
      <c r="O650">
        <v>3.9993951369989911</v>
      </c>
    </row>
    <row r="651" spans="1:15">
      <c r="A651" s="19">
        <v>42885</v>
      </c>
      <c r="B651">
        <v>3040</v>
      </c>
      <c r="C651">
        <v>3055</v>
      </c>
      <c r="D651">
        <v>705</v>
      </c>
      <c r="E651">
        <v>708</v>
      </c>
      <c r="F651">
        <v>4.3149717514124202</v>
      </c>
      <c r="G651">
        <v>4.1942666783678098</v>
      </c>
      <c r="H651">
        <v>9.8944712002139196E-2</v>
      </c>
      <c r="I651">
        <v>1.2199244467152499</v>
      </c>
      <c r="J651">
        <v>2.8</v>
      </c>
      <c r="L651">
        <v>4.2932113903699491</v>
      </c>
      <c r="M651">
        <v>4.0953219663656704</v>
      </c>
      <c r="N651">
        <v>4.3921561023720885</v>
      </c>
      <c r="O651">
        <v>3.9963772543635314</v>
      </c>
    </row>
    <row r="652" spans="1:15">
      <c r="A652" s="19">
        <v>42884</v>
      </c>
      <c r="B652">
        <v>3035</v>
      </c>
      <c r="C652">
        <v>3035</v>
      </c>
      <c r="D652">
        <v>712</v>
      </c>
      <c r="E652">
        <v>706</v>
      </c>
      <c r="F652">
        <v>4.2988668555240697</v>
      </c>
      <c r="G652">
        <v>4.1960164221042602</v>
      </c>
      <c r="H652">
        <v>0.102171525176134</v>
      </c>
      <c r="I652">
        <v>1.0066447891671699</v>
      </c>
      <c r="J652">
        <v>2.39</v>
      </c>
      <c r="L652">
        <v>4.2981879472803941</v>
      </c>
      <c r="M652">
        <v>4.0938448969281263</v>
      </c>
      <c r="N652">
        <v>4.400359472456528</v>
      </c>
      <c r="O652">
        <v>3.9916733717519923</v>
      </c>
    </row>
    <row r="653" spans="1:15">
      <c r="A653" s="19">
        <v>42881</v>
      </c>
      <c r="B653">
        <v>3045</v>
      </c>
      <c r="C653">
        <v>3040</v>
      </c>
      <c r="D653">
        <v>718</v>
      </c>
      <c r="E653">
        <v>716</v>
      </c>
      <c r="F653">
        <v>4.2458100558659204</v>
      </c>
      <c r="G653">
        <v>4.1979225160222198</v>
      </c>
      <c r="H653">
        <v>0.105356357595551</v>
      </c>
      <c r="I653">
        <v>0.45452918966252598</v>
      </c>
      <c r="J653">
        <v>1.1299999999999999</v>
      </c>
      <c r="L653">
        <v>4.3032788736177707</v>
      </c>
      <c r="M653">
        <v>4.0925661584266688</v>
      </c>
      <c r="N653">
        <v>4.4086352312133217</v>
      </c>
      <c r="O653">
        <v>3.9872098008311179</v>
      </c>
    </row>
    <row r="654" spans="1:15">
      <c r="A654" s="19">
        <v>42880</v>
      </c>
      <c r="B654">
        <v>3040</v>
      </c>
      <c r="C654">
        <v>3045</v>
      </c>
      <c r="D654">
        <v>718</v>
      </c>
      <c r="E654">
        <v>721</v>
      </c>
      <c r="F654">
        <v>4.2233009708737796</v>
      </c>
      <c r="G654">
        <v>4.2013222805177</v>
      </c>
      <c r="H654">
        <v>0.110819205463244</v>
      </c>
      <c r="I654">
        <v>0.19832925406937399</v>
      </c>
      <c r="J654">
        <v>0.52</v>
      </c>
      <c r="L654">
        <v>4.3121414859809439</v>
      </c>
      <c r="M654">
        <v>4.090503075054456</v>
      </c>
      <c r="N654">
        <v>4.4229606914441879</v>
      </c>
      <c r="O654">
        <v>3.979683869591212</v>
      </c>
    </row>
    <row r="655" spans="1:15">
      <c r="A655" s="19">
        <v>42879</v>
      </c>
      <c r="B655">
        <v>3060</v>
      </c>
      <c r="C655">
        <v>3045</v>
      </c>
      <c r="D655">
        <v>729</v>
      </c>
      <c r="E655">
        <v>718</v>
      </c>
      <c r="F655">
        <v>4.2409470752089096</v>
      </c>
      <c r="G655">
        <v>4.2058246090361298</v>
      </c>
      <c r="H655">
        <v>0.118232220916226</v>
      </c>
      <c r="I655">
        <v>0.29706340539495102</v>
      </c>
      <c r="J655">
        <v>0.83</v>
      </c>
      <c r="L655">
        <v>4.3240568299523554</v>
      </c>
      <c r="M655">
        <v>4.0875923881199041</v>
      </c>
      <c r="N655">
        <v>4.4422890508685819</v>
      </c>
      <c r="O655">
        <v>3.9693601672036776</v>
      </c>
    </row>
    <row r="656" spans="1:15">
      <c r="A656" s="19">
        <v>42878</v>
      </c>
      <c r="B656">
        <v>3050</v>
      </c>
      <c r="C656">
        <v>3055</v>
      </c>
      <c r="D656">
        <v>718</v>
      </c>
      <c r="E656">
        <v>730</v>
      </c>
      <c r="F656">
        <v>4.1849315068493098</v>
      </c>
      <c r="G656">
        <v>4.2103897591444497</v>
      </c>
      <c r="H656">
        <v>0.12586397733721999</v>
      </c>
      <c r="I656">
        <v>-0.20226797876355501</v>
      </c>
      <c r="J656">
        <v>-0.61</v>
      </c>
      <c r="L656">
        <v>4.3362537364816696</v>
      </c>
      <c r="M656">
        <v>4.0845257818072298</v>
      </c>
      <c r="N656">
        <v>4.4621177138188894</v>
      </c>
      <c r="O656">
        <v>3.9586618044700099</v>
      </c>
    </row>
    <row r="657" spans="1:15">
      <c r="A657" s="19">
        <v>42877</v>
      </c>
      <c r="B657">
        <v>3005</v>
      </c>
      <c r="C657">
        <v>3050</v>
      </c>
      <c r="D657">
        <v>719</v>
      </c>
      <c r="E657">
        <v>724</v>
      </c>
      <c r="F657">
        <v>4.2127071823204396</v>
      </c>
      <c r="G657">
        <v>4.2156220386809897</v>
      </c>
      <c r="H657">
        <v>0.132669555072323</v>
      </c>
      <c r="I657">
        <v>-2.1970800753491001E-2</v>
      </c>
      <c r="J657">
        <v>-7.0000000000000007E-2</v>
      </c>
      <c r="L657">
        <v>4.3482915937533129</v>
      </c>
      <c r="M657">
        <v>4.0829524836086666</v>
      </c>
      <c r="N657">
        <v>4.480961148825636</v>
      </c>
      <c r="O657">
        <v>3.9502829285363439</v>
      </c>
    </row>
    <row r="658" spans="1:15">
      <c r="A658" s="19">
        <v>42874</v>
      </c>
      <c r="B658">
        <v>3015</v>
      </c>
      <c r="C658">
        <v>3000</v>
      </c>
      <c r="D658">
        <v>718</v>
      </c>
      <c r="E658">
        <v>714</v>
      </c>
      <c r="F658">
        <v>4.2016806722688997</v>
      </c>
      <c r="G658">
        <v>4.2202052977554203</v>
      </c>
      <c r="H658">
        <v>0.13830746645199701</v>
      </c>
      <c r="I658">
        <v>-0.13393800032443601</v>
      </c>
      <c r="J658">
        <v>-0.44</v>
      </c>
      <c r="L658">
        <v>4.3585127642074175</v>
      </c>
      <c r="M658">
        <v>4.0818978313034231</v>
      </c>
      <c r="N658">
        <v>4.4968202306594147</v>
      </c>
      <c r="O658">
        <v>3.9435903648514263</v>
      </c>
    </row>
    <row r="659" spans="1:15">
      <c r="A659" s="19">
        <v>42873</v>
      </c>
      <c r="B659">
        <v>2965</v>
      </c>
      <c r="C659">
        <v>3020</v>
      </c>
      <c r="D659">
        <v>702</v>
      </c>
      <c r="E659">
        <v>720</v>
      </c>
      <c r="F659">
        <v>4.1944444444444402</v>
      </c>
      <c r="G659">
        <v>4.2245862858194396</v>
      </c>
      <c r="H659">
        <v>0.142782804023937</v>
      </c>
      <c r="I659">
        <v>-0.21110274154544001</v>
      </c>
      <c r="J659">
        <v>-0.72</v>
      </c>
      <c r="L659">
        <v>4.3673690898433764</v>
      </c>
      <c r="M659">
        <v>4.0818034817955029</v>
      </c>
      <c r="N659">
        <v>4.510151893867314</v>
      </c>
      <c r="O659">
        <v>3.9390206777715657</v>
      </c>
    </row>
    <row r="660" spans="1:15">
      <c r="A660" s="19">
        <v>42872</v>
      </c>
      <c r="B660">
        <v>2970</v>
      </c>
      <c r="C660">
        <v>3015</v>
      </c>
      <c r="D660">
        <v>704</v>
      </c>
      <c r="E660">
        <v>712</v>
      </c>
      <c r="F660">
        <v>4.2345505617977501</v>
      </c>
      <c r="G660">
        <v>4.2293441205772702</v>
      </c>
      <c r="H660">
        <v>0.14756438154565499</v>
      </c>
      <c r="I660">
        <v>3.5282506292785197E-2</v>
      </c>
      <c r="J660">
        <v>0.12</v>
      </c>
      <c r="L660">
        <v>4.3769085021229248</v>
      </c>
      <c r="M660">
        <v>4.0817797390316155</v>
      </c>
      <c r="N660">
        <v>4.5244728836685804</v>
      </c>
      <c r="O660">
        <v>3.93421535748596</v>
      </c>
    </row>
    <row r="661" spans="1:15">
      <c r="A661" s="19">
        <v>42871</v>
      </c>
      <c r="B661">
        <v>2950</v>
      </c>
      <c r="C661">
        <v>2995</v>
      </c>
      <c r="D661">
        <v>714</v>
      </c>
      <c r="E661">
        <v>712</v>
      </c>
      <c r="F661">
        <v>4.2064606741572996</v>
      </c>
      <c r="G661">
        <v>4.2340926492022097</v>
      </c>
      <c r="H661">
        <v>0.15327518832095499</v>
      </c>
      <c r="I661">
        <v>-0.18027689509045999</v>
      </c>
      <c r="J661">
        <v>-0.66</v>
      </c>
      <c r="L661">
        <v>4.3873678375231648</v>
      </c>
      <c r="M661">
        <v>4.0808174608812546</v>
      </c>
      <c r="N661">
        <v>4.5406430258441199</v>
      </c>
      <c r="O661">
        <v>3.9275422725602995</v>
      </c>
    </row>
    <row r="662" spans="1:15">
      <c r="A662" s="19">
        <v>42870</v>
      </c>
      <c r="B662">
        <v>2880</v>
      </c>
      <c r="C662">
        <v>2935</v>
      </c>
      <c r="D662">
        <v>656</v>
      </c>
      <c r="E662">
        <v>701</v>
      </c>
      <c r="F662">
        <v>4.1868758915834503</v>
      </c>
      <c r="G662">
        <v>4.2398957576944403</v>
      </c>
      <c r="H662">
        <v>0.16020177808476299</v>
      </c>
      <c r="I662">
        <v>-0.33095678927446398</v>
      </c>
      <c r="J662">
        <v>-1.27</v>
      </c>
      <c r="L662">
        <v>4.4000975357792029</v>
      </c>
      <c r="M662">
        <v>4.0796939796096776</v>
      </c>
      <c r="N662">
        <v>4.5602993138639665</v>
      </c>
      <c r="O662">
        <v>3.9194922015249141</v>
      </c>
    </row>
    <row r="663" spans="1:15">
      <c r="A663" s="19">
        <v>42867</v>
      </c>
      <c r="B663">
        <v>2875</v>
      </c>
      <c r="C663">
        <v>2895</v>
      </c>
      <c r="D663">
        <v>711</v>
      </c>
      <c r="E663">
        <v>666</v>
      </c>
      <c r="F663">
        <v>4.34684684684684</v>
      </c>
      <c r="G663">
        <v>4.2452089571887797</v>
      </c>
      <c r="H663">
        <v>0.16489459065119899</v>
      </c>
      <c r="I663">
        <v>0.61638098167247501</v>
      </c>
      <c r="J663">
        <v>2.34</v>
      </c>
      <c r="L663">
        <v>4.410103547839979</v>
      </c>
      <c r="M663">
        <v>4.0803143665375803</v>
      </c>
      <c r="N663">
        <v>4.5749981384911775</v>
      </c>
      <c r="O663">
        <v>3.9154197758863818</v>
      </c>
    </row>
    <row r="664" spans="1:15">
      <c r="A664" s="19">
        <v>42866</v>
      </c>
      <c r="B664">
        <v>2910</v>
      </c>
      <c r="C664">
        <v>2890</v>
      </c>
      <c r="D664">
        <v>712</v>
      </c>
      <c r="E664">
        <v>715</v>
      </c>
      <c r="F664">
        <v>4.0419580419580399</v>
      </c>
      <c r="G664">
        <v>4.2491089227280803</v>
      </c>
      <c r="H664">
        <v>0.17061217620590099</v>
      </c>
      <c r="I664">
        <v>-1.2141623498199201</v>
      </c>
      <c r="J664">
        <v>-5.13</v>
      </c>
      <c r="L664">
        <v>4.419721098933981</v>
      </c>
      <c r="M664">
        <v>4.0784967465221795</v>
      </c>
      <c r="N664">
        <v>4.5903332751398827</v>
      </c>
      <c r="O664">
        <v>3.9078845703162783</v>
      </c>
    </row>
    <row r="665" spans="1:15">
      <c r="A665" s="19">
        <v>42865</v>
      </c>
      <c r="B665">
        <v>2955</v>
      </c>
      <c r="C665">
        <v>2915</v>
      </c>
      <c r="D665">
        <v>720</v>
      </c>
      <c r="E665">
        <v>719</v>
      </c>
      <c r="F665">
        <v>4.0542420027816402</v>
      </c>
      <c r="G665">
        <v>4.2552375850625399</v>
      </c>
      <c r="H665">
        <v>0.17131513715193</v>
      </c>
      <c r="I665">
        <v>-1.1732505698118501</v>
      </c>
      <c r="J665">
        <v>-4.96</v>
      </c>
      <c r="L665">
        <v>4.4265527222144696</v>
      </c>
      <c r="M665">
        <v>4.0839224479106102</v>
      </c>
      <c r="N665">
        <v>4.5978678593664002</v>
      </c>
      <c r="O665">
        <v>3.9126073107586801</v>
      </c>
    </row>
    <row r="666" spans="1:15">
      <c r="A666" s="19">
        <v>42864</v>
      </c>
      <c r="B666">
        <v>2945</v>
      </c>
      <c r="C666">
        <v>2975</v>
      </c>
      <c r="D666">
        <v>720</v>
      </c>
      <c r="E666">
        <v>719</v>
      </c>
      <c r="F666">
        <v>4.1376912378303201</v>
      </c>
      <c r="G666">
        <v>4.2616311857971496</v>
      </c>
      <c r="H666">
        <v>0.17263744338498899</v>
      </c>
      <c r="I666">
        <v>-0.71792043218830404</v>
      </c>
      <c r="J666">
        <v>-3</v>
      </c>
      <c r="L666">
        <v>4.4342686291821387</v>
      </c>
      <c r="M666">
        <v>4.0889937424121605</v>
      </c>
      <c r="N666">
        <v>4.6069060725671278</v>
      </c>
      <c r="O666">
        <v>3.9163562990271714</v>
      </c>
    </row>
    <row r="667" spans="1:15">
      <c r="A667" s="19">
        <v>42863</v>
      </c>
      <c r="B667">
        <v>2900</v>
      </c>
      <c r="C667">
        <v>2945</v>
      </c>
      <c r="D667">
        <v>704</v>
      </c>
      <c r="E667">
        <v>724</v>
      </c>
      <c r="F667">
        <v>4.0676795580110499</v>
      </c>
      <c r="G667">
        <v>4.2662800538299299</v>
      </c>
      <c r="H667">
        <v>0.173927030703425</v>
      </c>
      <c r="I667">
        <v>-1.14186101502263</v>
      </c>
      <c r="J667">
        <v>-4.88</v>
      </c>
      <c r="L667">
        <v>4.4402070845333546</v>
      </c>
      <c r="M667">
        <v>4.0923530231265053</v>
      </c>
      <c r="N667">
        <v>4.6141341152367801</v>
      </c>
      <c r="O667">
        <v>3.9184259924230798</v>
      </c>
    </row>
    <row r="668" spans="1:15">
      <c r="A668" s="19">
        <v>42857</v>
      </c>
      <c r="B668">
        <v>2840</v>
      </c>
      <c r="C668">
        <v>2875</v>
      </c>
      <c r="D668">
        <v>693</v>
      </c>
      <c r="E668">
        <v>697</v>
      </c>
      <c r="F668">
        <v>4.1248206599713004</v>
      </c>
      <c r="G668">
        <v>4.2719585814808898</v>
      </c>
      <c r="H668">
        <v>0.17430225253916201</v>
      </c>
      <c r="I668">
        <v>-0.84415387274773201</v>
      </c>
      <c r="J668">
        <v>-3.57</v>
      </c>
      <c r="L668">
        <v>4.4462608340200518</v>
      </c>
      <c r="M668">
        <v>4.0976563289417278</v>
      </c>
      <c r="N668">
        <v>4.6205630865592138</v>
      </c>
      <c r="O668">
        <v>3.9233540764025658</v>
      </c>
    </row>
    <row r="669" spans="1:15">
      <c r="A669" s="19">
        <v>42856</v>
      </c>
      <c r="B669">
        <v>2850</v>
      </c>
      <c r="C669">
        <v>2840</v>
      </c>
      <c r="D669">
        <v>688</v>
      </c>
      <c r="E669">
        <v>696</v>
      </c>
      <c r="F669">
        <v>4.0804597701149401</v>
      </c>
      <c r="G669">
        <v>4.2771286875659698</v>
      </c>
      <c r="H669">
        <v>0.17560711171940699</v>
      </c>
      <c r="I669">
        <v>-1.11993708868279</v>
      </c>
      <c r="J669">
        <v>-4.82</v>
      </c>
      <c r="L669">
        <v>4.4527357992853771</v>
      </c>
      <c r="M669">
        <v>4.1015215758465624</v>
      </c>
      <c r="N669">
        <v>4.6283429110047836</v>
      </c>
      <c r="O669">
        <v>3.9259144641271559</v>
      </c>
    </row>
    <row r="670" spans="1:15">
      <c r="A670" s="19">
        <v>42853</v>
      </c>
      <c r="B670">
        <v>2765</v>
      </c>
      <c r="C670">
        <v>2835</v>
      </c>
      <c r="D670">
        <v>682</v>
      </c>
      <c r="E670">
        <v>688</v>
      </c>
      <c r="F670">
        <v>4.1206395348837201</v>
      </c>
      <c r="G670">
        <v>4.2834424321021496</v>
      </c>
      <c r="H670">
        <v>0.176930247457835</v>
      </c>
      <c r="I670">
        <v>-0.920152995644409</v>
      </c>
      <c r="J670">
        <v>-3.95</v>
      </c>
      <c r="L670">
        <v>4.4603726795599847</v>
      </c>
      <c r="M670">
        <v>4.1065121846443144</v>
      </c>
      <c r="N670">
        <v>4.6373029270178199</v>
      </c>
      <c r="O670">
        <v>3.9295819371864797</v>
      </c>
    </row>
    <row r="671" spans="1:15">
      <c r="A671" s="19">
        <v>42852</v>
      </c>
      <c r="B671">
        <v>2775</v>
      </c>
      <c r="C671">
        <v>2795</v>
      </c>
      <c r="D671">
        <v>680</v>
      </c>
      <c r="E671">
        <v>682</v>
      </c>
      <c r="F671">
        <v>4.0982404692082097</v>
      </c>
      <c r="G671">
        <v>4.2900309699598802</v>
      </c>
      <c r="H671">
        <v>0.17992025973678799</v>
      </c>
      <c r="I671">
        <v>-1.0659750104421499</v>
      </c>
      <c r="J671">
        <v>-4.68</v>
      </c>
      <c r="L671">
        <v>4.4699512296966679</v>
      </c>
      <c r="M671">
        <v>4.1101107102230925</v>
      </c>
      <c r="N671">
        <v>4.6498714894334565</v>
      </c>
      <c r="O671">
        <v>3.9301904504863043</v>
      </c>
    </row>
    <row r="672" spans="1:15">
      <c r="A672" s="19">
        <v>42851</v>
      </c>
      <c r="B672">
        <v>2820</v>
      </c>
      <c r="C672">
        <v>2800</v>
      </c>
      <c r="D672">
        <v>679</v>
      </c>
      <c r="E672">
        <v>683</v>
      </c>
      <c r="F672">
        <v>4.0995607613469902</v>
      </c>
      <c r="G672">
        <v>4.2958267631933102</v>
      </c>
      <c r="H672">
        <v>0.18064853697694799</v>
      </c>
      <c r="I672">
        <v>-1.08645220786571</v>
      </c>
      <c r="J672">
        <v>-4.79</v>
      </c>
      <c r="L672">
        <v>4.4764753001702582</v>
      </c>
      <c r="M672">
        <v>4.1151782262163623</v>
      </c>
      <c r="N672">
        <v>4.6571238371472061</v>
      </c>
      <c r="O672">
        <v>3.9345296892394144</v>
      </c>
    </row>
    <row r="673" spans="1:15">
      <c r="A673" s="19">
        <v>42850</v>
      </c>
      <c r="B673">
        <v>2790</v>
      </c>
      <c r="C673">
        <v>2800</v>
      </c>
      <c r="D673">
        <v>665</v>
      </c>
      <c r="E673">
        <v>674</v>
      </c>
      <c r="F673">
        <v>4.1543026706231396</v>
      </c>
      <c r="G673">
        <v>4.30307071494678</v>
      </c>
      <c r="H673">
        <v>0.18350353934994501</v>
      </c>
      <c r="I673">
        <v>-0.81070940021452897</v>
      </c>
      <c r="J673">
        <v>-3.58</v>
      </c>
      <c r="L673">
        <v>4.4865742542967251</v>
      </c>
      <c r="M673">
        <v>4.1195671755968348</v>
      </c>
      <c r="N673">
        <v>4.6700777936466702</v>
      </c>
      <c r="O673">
        <v>3.9360636362468897</v>
      </c>
    </row>
    <row r="674" spans="1:15">
      <c r="A674" s="19">
        <v>42849</v>
      </c>
      <c r="B674">
        <v>2760</v>
      </c>
      <c r="C674">
        <v>2775</v>
      </c>
      <c r="D674">
        <v>666</v>
      </c>
      <c r="E674">
        <v>668</v>
      </c>
      <c r="F674">
        <v>4.1541916167664601</v>
      </c>
      <c r="G674">
        <v>4.3097272567662896</v>
      </c>
      <c r="H674">
        <v>0.18700773824279701</v>
      </c>
      <c r="I674">
        <v>-0.831706973525841</v>
      </c>
      <c r="J674">
        <v>-3.74</v>
      </c>
      <c r="L674">
        <v>4.4967349950090867</v>
      </c>
      <c r="M674">
        <v>4.1227195185234926</v>
      </c>
      <c r="N674">
        <v>4.6837427332518837</v>
      </c>
      <c r="O674">
        <v>3.9357117802806956</v>
      </c>
    </row>
    <row r="675" spans="1:15">
      <c r="A675" s="19">
        <v>42846</v>
      </c>
      <c r="B675">
        <v>2700</v>
      </c>
      <c r="C675">
        <v>2740</v>
      </c>
      <c r="D675">
        <v>653</v>
      </c>
      <c r="E675">
        <v>656</v>
      </c>
      <c r="F675">
        <v>4.1768292682926802</v>
      </c>
      <c r="G675">
        <v>4.3165044402329498</v>
      </c>
      <c r="H675">
        <v>0.190427264307761</v>
      </c>
      <c r="I675">
        <v>-0.733483056893248</v>
      </c>
      <c r="J675">
        <v>-3.34</v>
      </c>
      <c r="L675">
        <v>4.5069317045407109</v>
      </c>
      <c r="M675">
        <v>4.1260771759251886</v>
      </c>
      <c r="N675">
        <v>4.697358968848472</v>
      </c>
      <c r="O675">
        <v>3.9356499116174279</v>
      </c>
    </row>
    <row r="676" spans="1:15">
      <c r="A676" s="19">
        <v>42845</v>
      </c>
      <c r="B676">
        <v>2685</v>
      </c>
      <c r="C676">
        <v>2710</v>
      </c>
      <c r="D676">
        <v>644</v>
      </c>
      <c r="E676">
        <v>651</v>
      </c>
      <c r="F676">
        <v>4.16282642089093</v>
      </c>
      <c r="G676">
        <v>4.3222960168112401</v>
      </c>
      <c r="H676">
        <v>0.19268315616156501</v>
      </c>
      <c r="I676">
        <v>-0.82762603175645899</v>
      </c>
      <c r="J676">
        <v>-3.83</v>
      </c>
      <c r="L676">
        <v>4.5149791729728053</v>
      </c>
      <c r="M676">
        <v>4.1296128606496749</v>
      </c>
      <c r="N676">
        <v>4.7076623291343704</v>
      </c>
      <c r="O676">
        <v>3.9369297044881102</v>
      </c>
    </row>
    <row r="677" spans="1:15">
      <c r="A677" s="19">
        <v>42844</v>
      </c>
      <c r="B677">
        <v>2700</v>
      </c>
      <c r="C677">
        <v>2695</v>
      </c>
      <c r="D677">
        <v>647</v>
      </c>
      <c r="E677">
        <v>652</v>
      </c>
      <c r="F677">
        <v>4.1334355828220799</v>
      </c>
      <c r="G677">
        <v>4.3279477963533299</v>
      </c>
      <c r="H677">
        <v>0.194133917583209</v>
      </c>
      <c r="I677">
        <v>-1.0019486339777599</v>
      </c>
      <c r="J677">
        <v>-4.71</v>
      </c>
      <c r="L677">
        <v>4.5220817139365392</v>
      </c>
      <c r="M677">
        <v>4.1338138787701206</v>
      </c>
      <c r="N677">
        <v>4.7162156315197477</v>
      </c>
      <c r="O677">
        <v>3.9396799611869118</v>
      </c>
    </row>
    <row r="678" spans="1:15">
      <c r="A678" s="19">
        <v>42843</v>
      </c>
      <c r="B678">
        <v>2700</v>
      </c>
      <c r="C678">
        <v>2725</v>
      </c>
      <c r="D678">
        <v>656</v>
      </c>
      <c r="E678">
        <v>657</v>
      </c>
      <c r="F678">
        <v>4.1476407914764</v>
      </c>
      <c r="G678">
        <v>4.3339105907329101</v>
      </c>
      <c r="H678">
        <v>0.19493426875018099</v>
      </c>
      <c r="I678">
        <v>-0.95555184037557905</v>
      </c>
      <c r="J678">
        <v>-4.49</v>
      </c>
      <c r="L678">
        <v>4.5288448594830912</v>
      </c>
      <c r="M678">
        <v>4.1389763219827289</v>
      </c>
      <c r="N678">
        <v>4.7237791282332724</v>
      </c>
      <c r="O678">
        <v>3.9440420532325482</v>
      </c>
    </row>
    <row r="679" spans="1:15">
      <c r="A679" s="19">
        <v>42842</v>
      </c>
      <c r="B679">
        <v>2640</v>
      </c>
      <c r="C679">
        <v>2675</v>
      </c>
      <c r="D679">
        <v>644</v>
      </c>
      <c r="E679">
        <v>649</v>
      </c>
      <c r="F679">
        <v>4.1217257318952196</v>
      </c>
      <c r="G679">
        <v>4.3394087135132198</v>
      </c>
      <c r="H679">
        <v>0.19541768825764699</v>
      </c>
      <c r="I679">
        <v>-1.1139369396848</v>
      </c>
      <c r="J679">
        <v>-5.28</v>
      </c>
      <c r="L679">
        <v>4.534826401770867</v>
      </c>
      <c r="M679">
        <v>4.1439910252555725</v>
      </c>
      <c r="N679">
        <v>4.7302440900285134</v>
      </c>
      <c r="O679">
        <v>3.9485733369979257</v>
      </c>
    </row>
    <row r="680" spans="1:15">
      <c r="A680" s="19">
        <v>42839</v>
      </c>
      <c r="B680">
        <v>2695</v>
      </c>
      <c r="C680">
        <v>2655</v>
      </c>
      <c r="D680">
        <v>648</v>
      </c>
      <c r="E680">
        <v>645</v>
      </c>
      <c r="F680">
        <v>4.1162790697674403</v>
      </c>
      <c r="G680">
        <v>4.3453125854750496</v>
      </c>
      <c r="H680">
        <v>0.19544065617716799</v>
      </c>
      <c r="I680">
        <v>-1.1718826583348601</v>
      </c>
      <c r="J680">
        <v>-5.56</v>
      </c>
      <c r="L680">
        <v>4.5407532416522178</v>
      </c>
      <c r="M680">
        <v>4.1498719292978814</v>
      </c>
      <c r="N680">
        <v>4.736193897829386</v>
      </c>
      <c r="O680">
        <v>3.9544312731207136</v>
      </c>
    </row>
    <row r="681" spans="1:15">
      <c r="A681" s="19">
        <v>42838</v>
      </c>
      <c r="B681">
        <v>2695</v>
      </c>
      <c r="C681">
        <v>2705</v>
      </c>
      <c r="D681">
        <v>660</v>
      </c>
      <c r="E681">
        <v>653</v>
      </c>
      <c r="F681">
        <v>4.1424196018376698</v>
      </c>
      <c r="G681">
        <v>4.35146023083934</v>
      </c>
      <c r="H681">
        <v>0.19539124505874</v>
      </c>
      <c r="I681">
        <v>-1.06985668134121</v>
      </c>
      <c r="J681">
        <v>-5.05</v>
      </c>
      <c r="L681">
        <v>4.5468514758980803</v>
      </c>
      <c r="M681">
        <v>4.1560689857805997</v>
      </c>
      <c r="N681">
        <v>4.7422427209568196</v>
      </c>
      <c r="O681">
        <v>3.9606777407218599</v>
      </c>
    </row>
    <row r="682" spans="1:15">
      <c r="A682" s="19">
        <v>42837</v>
      </c>
      <c r="B682">
        <v>2700</v>
      </c>
      <c r="C682">
        <v>2715</v>
      </c>
      <c r="D682">
        <v>654</v>
      </c>
      <c r="E682">
        <v>665</v>
      </c>
      <c r="F682">
        <v>4.0827067669172896</v>
      </c>
      <c r="G682">
        <v>4.3579210911746298</v>
      </c>
      <c r="H682">
        <v>0.19638109642472601</v>
      </c>
      <c r="I682">
        <v>-1.4014298181842999</v>
      </c>
      <c r="J682">
        <v>-6.74</v>
      </c>
      <c r="L682">
        <v>4.5543021875993555</v>
      </c>
      <c r="M682">
        <v>4.1615399947499041</v>
      </c>
      <c r="N682">
        <v>4.750683284024082</v>
      </c>
      <c r="O682">
        <v>3.9651588983251775</v>
      </c>
    </row>
    <row r="683" spans="1:15">
      <c r="A683" s="19">
        <v>42836</v>
      </c>
      <c r="B683">
        <v>2730</v>
      </c>
      <c r="C683">
        <v>2720</v>
      </c>
      <c r="D683">
        <v>654</v>
      </c>
      <c r="E683">
        <v>664</v>
      </c>
      <c r="F683">
        <v>4.0963855421686697</v>
      </c>
      <c r="G683">
        <v>4.3652916570504896</v>
      </c>
      <c r="H683">
        <v>0.196287116942478</v>
      </c>
      <c r="I683">
        <v>-1.36996313905116</v>
      </c>
      <c r="J683">
        <v>-6.56</v>
      </c>
      <c r="L683">
        <v>4.5615787739929674</v>
      </c>
      <c r="M683">
        <v>4.1690045401080118</v>
      </c>
      <c r="N683">
        <v>4.7578658909354452</v>
      </c>
      <c r="O683">
        <v>3.9727174231655336</v>
      </c>
    </row>
    <row r="684" spans="1:15">
      <c r="A684" s="19">
        <v>42835</v>
      </c>
      <c r="B684">
        <v>2725</v>
      </c>
      <c r="C684">
        <v>2735</v>
      </c>
      <c r="D684">
        <v>654</v>
      </c>
      <c r="E684">
        <v>653</v>
      </c>
      <c r="F684">
        <v>4.1883614088820798</v>
      </c>
      <c r="G684">
        <v>4.3719568270472502</v>
      </c>
      <c r="H684">
        <v>0.19552860322781401</v>
      </c>
      <c r="I684">
        <v>-0.93896961945387802</v>
      </c>
      <c r="J684">
        <v>-4.38</v>
      </c>
      <c r="L684">
        <v>4.567485430275064</v>
      </c>
      <c r="M684">
        <v>4.1764282238194363</v>
      </c>
      <c r="N684">
        <v>4.7630140335028779</v>
      </c>
      <c r="O684">
        <v>3.9808996205916221</v>
      </c>
    </row>
    <row r="685" spans="1:15">
      <c r="A685" s="19">
        <v>42832</v>
      </c>
      <c r="B685">
        <v>2710</v>
      </c>
      <c r="C685">
        <v>2705</v>
      </c>
      <c r="D685">
        <v>648</v>
      </c>
      <c r="E685">
        <v>654</v>
      </c>
      <c r="F685">
        <v>4.13608562691131</v>
      </c>
      <c r="G685">
        <v>4.3762797231468502</v>
      </c>
      <c r="H685">
        <v>0.19500506843912199</v>
      </c>
      <c r="I685">
        <v>-1.2317325808919799</v>
      </c>
      <c r="J685">
        <v>-5.81</v>
      </c>
      <c r="L685">
        <v>4.5712847915859722</v>
      </c>
      <c r="M685">
        <v>4.1812746547077282</v>
      </c>
      <c r="N685">
        <v>4.7662898600250942</v>
      </c>
      <c r="O685">
        <v>3.9862695862686062</v>
      </c>
    </row>
    <row r="686" spans="1:15">
      <c r="A686" s="19">
        <v>42831</v>
      </c>
      <c r="B686">
        <v>2700</v>
      </c>
      <c r="C686">
        <v>2690</v>
      </c>
      <c r="D686">
        <v>656</v>
      </c>
      <c r="E686">
        <v>640</v>
      </c>
      <c r="F686">
        <v>4.203125</v>
      </c>
      <c r="G686">
        <v>4.3807262985633804</v>
      </c>
      <c r="H686">
        <v>0.193271893525923</v>
      </c>
      <c r="I686">
        <v>-0.91891943170497703</v>
      </c>
      <c r="J686">
        <v>-4.2300000000000004</v>
      </c>
      <c r="L686">
        <v>4.5739981920893031</v>
      </c>
      <c r="M686">
        <v>4.1874544050374576</v>
      </c>
      <c r="N686">
        <v>4.7672700856152268</v>
      </c>
      <c r="O686">
        <v>3.9941825115115344</v>
      </c>
    </row>
    <row r="687" spans="1:15">
      <c r="A687" s="19">
        <v>42830</v>
      </c>
      <c r="B687">
        <v>2750</v>
      </c>
      <c r="C687">
        <v>2730</v>
      </c>
      <c r="D687">
        <v>657</v>
      </c>
      <c r="E687">
        <v>654</v>
      </c>
      <c r="F687">
        <v>4.1743119266055002</v>
      </c>
      <c r="G687">
        <v>4.3844002717071398</v>
      </c>
      <c r="H687">
        <v>0.192478252915952</v>
      </c>
      <c r="I687">
        <v>-1.0914913343139001</v>
      </c>
      <c r="J687">
        <v>-5.03</v>
      </c>
      <c r="L687">
        <v>4.5768785246230914</v>
      </c>
      <c r="M687">
        <v>4.1919220187911881</v>
      </c>
      <c r="N687">
        <v>4.769356777539044</v>
      </c>
      <c r="O687">
        <v>3.9994437658752355</v>
      </c>
    </row>
    <row r="688" spans="1:15">
      <c r="A688" s="19">
        <v>42829</v>
      </c>
      <c r="B688">
        <v>2755</v>
      </c>
      <c r="C688">
        <v>2740</v>
      </c>
      <c r="D688">
        <v>661</v>
      </c>
      <c r="E688">
        <v>659</v>
      </c>
      <c r="F688">
        <v>4.15781487101669</v>
      </c>
      <c r="G688">
        <v>4.3883863852224199</v>
      </c>
      <c r="H688">
        <v>0.19117740277749401</v>
      </c>
      <c r="I688">
        <v>-1.20606050116754</v>
      </c>
      <c r="J688">
        <v>-5.55</v>
      </c>
      <c r="L688">
        <v>4.5795637879999136</v>
      </c>
      <c r="M688">
        <v>4.1972089824449261</v>
      </c>
      <c r="N688">
        <v>4.7707411907774082</v>
      </c>
      <c r="O688">
        <v>4.0060315796674315</v>
      </c>
    </row>
    <row r="689" spans="1:15">
      <c r="A689" s="19">
        <v>42828</v>
      </c>
      <c r="B689">
        <v>2755</v>
      </c>
      <c r="C689">
        <v>2770</v>
      </c>
      <c r="D689">
        <v>668</v>
      </c>
      <c r="E689">
        <v>671</v>
      </c>
      <c r="F689">
        <v>4.1281669150521596</v>
      </c>
      <c r="G689">
        <v>4.39180302027553</v>
      </c>
      <c r="H689">
        <v>0.189306822734297</v>
      </c>
      <c r="I689">
        <v>-1.3926392161438499</v>
      </c>
      <c r="J689">
        <v>-6.39</v>
      </c>
      <c r="L689">
        <v>4.5811098430098269</v>
      </c>
      <c r="M689">
        <v>4.2024961975412332</v>
      </c>
      <c r="N689">
        <v>4.7704166657441238</v>
      </c>
      <c r="O689">
        <v>4.0131893748069363</v>
      </c>
    </row>
    <row r="690" spans="1:15">
      <c r="A690" s="19">
        <v>42825</v>
      </c>
      <c r="B690">
        <v>2775</v>
      </c>
      <c r="C690">
        <v>2740</v>
      </c>
      <c r="D690">
        <v>678</v>
      </c>
      <c r="E690">
        <v>670</v>
      </c>
      <c r="F690">
        <v>4.08955223880597</v>
      </c>
      <c r="G690">
        <v>4.3966460320915299</v>
      </c>
      <c r="H690">
        <v>0.18713401637224</v>
      </c>
      <c r="I690">
        <v>-1.64103672458301</v>
      </c>
      <c r="J690">
        <v>-7.51</v>
      </c>
      <c r="L690">
        <v>4.5837800484637699</v>
      </c>
      <c r="M690">
        <v>4.20951201571929</v>
      </c>
      <c r="N690">
        <v>4.7709140648360098</v>
      </c>
      <c r="O690">
        <v>4.0223779993470501</v>
      </c>
    </row>
    <row r="691" spans="1:15">
      <c r="A691" s="19">
        <v>42824</v>
      </c>
      <c r="B691">
        <v>2800</v>
      </c>
      <c r="C691">
        <v>2750</v>
      </c>
      <c r="D691">
        <v>691</v>
      </c>
      <c r="E691">
        <v>676</v>
      </c>
      <c r="F691">
        <v>4.0680473372780996</v>
      </c>
      <c r="G691">
        <v>4.4030019496645503</v>
      </c>
      <c r="H691">
        <v>0.184674966726459</v>
      </c>
      <c r="I691">
        <v>-1.8137521198667901</v>
      </c>
      <c r="J691">
        <v>-8.23</v>
      </c>
      <c r="L691">
        <v>4.5876769163910094</v>
      </c>
      <c r="M691">
        <v>4.2183269829380912</v>
      </c>
      <c r="N691">
        <v>4.7723518831174685</v>
      </c>
      <c r="O691">
        <v>4.0336520162116321</v>
      </c>
    </row>
    <row r="692" spans="1:15">
      <c r="A692" s="19">
        <v>42823</v>
      </c>
      <c r="B692">
        <v>2800</v>
      </c>
      <c r="C692">
        <v>2790</v>
      </c>
      <c r="D692">
        <v>701</v>
      </c>
      <c r="E692">
        <v>695</v>
      </c>
      <c r="F692">
        <v>4.0143884892086303</v>
      </c>
      <c r="G692">
        <v>4.4096262974037899</v>
      </c>
      <c r="H692">
        <v>0.18142325765074299</v>
      </c>
      <c r="I692">
        <v>-2.1785399144140301</v>
      </c>
      <c r="J692">
        <v>-9.85</v>
      </c>
      <c r="L692">
        <v>4.5910495550545329</v>
      </c>
      <c r="M692">
        <v>4.2282030397530468</v>
      </c>
      <c r="N692">
        <v>4.772472812705276</v>
      </c>
      <c r="O692">
        <v>4.0467797821023037</v>
      </c>
    </row>
    <row r="693" spans="1:15">
      <c r="A693" s="19">
        <v>42822</v>
      </c>
      <c r="B693">
        <v>2875</v>
      </c>
      <c r="C693">
        <v>2880</v>
      </c>
      <c r="D693">
        <v>695</v>
      </c>
      <c r="E693">
        <v>706</v>
      </c>
      <c r="F693">
        <v>4.0793201133144397</v>
      </c>
      <c r="G693">
        <v>4.4174173294256898</v>
      </c>
      <c r="H693">
        <v>0.17676988118534701</v>
      </c>
      <c r="I693">
        <v>-1.91264039916812</v>
      </c>
      <c r="J693">
        <v>-8.2899999999999991</v>
      </c>
      <c r="L693">
        <v>4.5941872106110369</v>
      </c>
      <c r="M693">
        <v>4.2406474482403427</v>
      </c>
      <c r="N693">
        <v>4.7709570917963839</v>
      </c>
      <c r="O693">
        <v>4.0638775670549956</v>
      </c>
    </row>
    <row r="694" spans="1:15">
      <c r="A694" s="19">
        <v>42821</v>
      </c>
      <c r="B694">
        <v>2900</v>
      </c>
      <c r="C694">
        <v>2865</v>
      </c>
      <c r="D694">
        <v>693</v>
      </c>
      <c r="E694">
        <v>685</v>
      </c>
      <c r="F694">
        <v>4.1824817518248096</v>
      </c>
      <c r="G694">
        <v>4.4243426064595104</v>
      </c>
      <c r="H694">
        <v>0.17353315910815101</v>
      </c>
      <c r="I694">
        <v>-1.3937443188247201</v>
      </c>
      <c r="J694">
        <v>-5.78</v>
      </c>
      <c r="L694">
        <v>4.597875765567661</v>
      </c>
      <c r="M694">
        <v>4.2508094473513598</v>
      </c>
      <c r="N694">
        <v>4.7714089246758125</v>
      </c>
      <c r="O694">
        <v>4.0772762882432083</v>
      </c>
    </row>
    <row r="695" spans="1:15">
      <c r="A695" s="19">
        <v>42818</v>
      </c>
      <c r="B695">
        <v>2905</v>
      </c>
      <c r="C695">
        <v>2915</v>
      </c>
      <c r="D695">
        <v>699</v>
      </c>
      <c r="E695">
        <v>705</v>
      </c>
      <c r="F695">
        <v>4.1347517730496399</v>
      </c>
      <c r="G695">
        <v>4.4297323149224797</v>
      </c>
      <c r="H695">
        <v>0.172209933398902</v>
      </c>
      <c r="I695">
        <v>-1.7129124670732601</v>
      </c>
      <c r="J695">
        <v>-7.13</v>
      </c>
      <c r="L695">
        <v>4.6019422483213814</v>
      </c>
      <c r="M695">
        <v>4.2575223815235779</v>
      </c>
      <c r="N695">
        <v>4.7741521817202841</v>
      </c>
      <c r="O695">
        <v>4.0853124481246752</v>
      </c>
    </row>
    <row r="696" spans="1:15">
      <c r="A696" s="19">
        <v>42817</v>
      </c>
      <c r="B696">
        <v>2920</v>
      </c>
      <c r="C696">
        <v>2910</v>
      </c>
      <c r="D696">
        <v>703</v>
      </c>
      <c r="E696">
        <v>699</v>
      </c>
      <c r="F696">
        <v>4.1630901287553597</v>
      </c>
      <c r="G696">
        <v>4.4349956990436503</v>
      </c>
      <c r="H696">
        <v>0.16911861836910599</v>
      </c>
      <c r="I696">
        <v>-1.6077802249711</v>
      </c>
      <c r="J696">
        <v>-6.53</v>
      </c>
      <c r="L696">
        <v>4.6041143174127566</v>
      </c>
      <c r="M696">
        <v>4.2658770806745441</v>
      </c>
      <c r="N696">
        <v>4.7732329357818619</v>
      </c>
      <c r="O696">
        <v>4.0967584623054387</v>
      </c>
    </row>
    <row r="697" spans="1:15">
      <c r="A697" s="19">
        <v>42816</v>
      </c>
      <c r="B697">
        <v>2925</v>
      </c>
      <c r="C697">
        <v>2925</v>
      </c>
      <c r="D697">
        <v>705</v>
      </c>
      <c r="E697">
        <v>704</v>
      </c>
      <c r="F697">
        <v>4.1548295454545396</v>
      </c>
      <c r="G697">
        <v>4.4390757862862298</v>
      </c>
      <c r="H697">
        <v>0.166175198098751</v>
      </c>
      <c r="I697">
        <v>-1.71052145015511</v>
      </c>
      <c r="J697">
        <v>-6.84</v>
      </c>
      <c r="L697">
        <v>4.6052509843849805</v>
      </c>
      <c r="M697">
        <v>4.2729005881874791</v>
      </c>
      <c r="N697">
        <v>4.7714261824837321</v>
      </c>
      <c r="O697">
        <v>4.1067253900887275</v>
      </c>
    </row>
    <row r="698" spans="1:15">
      <c r="A698" s="19">
        <v>42815</v>
      </c>
      <c r="B698">
        <v>2945</v>
      </c>
      <c r="C698">
        <v>2955</v>
      </c>
      <c r="D698">
        <v>715</v>
      </c>
      <c r="E698">
        <v>713</v>
      </c>
      <c r="F698">
        <v>4.1444600280504904</v>
      </c>
      <c r="G698">
        <v>4.4421283970270196</v>
      </c>
      <c r="H698">
        <v>0.16299808035786501</v>
      </c>
      <c r="I698">
        <v>-1.8262078198896601</v>
      </c>
      <c r="J698">
        <v>-7.18</v>
      </c>
      <c r="L698">
        <v>4.6051264773848848</v>
      </c>
      <c r="M698">
        <v>4.2791303166691543</v>
      </c>
      <c r="N698">
        <v>4.76812455774275</v>
      </c>
      <c r="O698">
        <v>4.1161322363112891</v>
      </c>
    </row>
    <row r="699" spans="1:15">
      <c r="A699" s="19">
        <v>42811</v>
      </c>
      <c r="B699">
        <v>2955</v>
      </c>
      <c r="C699">
        <v>2935</v>
      </c>
      <c r="D699">
        <v>711</v>
      </c>
      <c r="E699">
        <v>717</v>
      </c>
      <c r="F699">
        <v>4.0934449093444902</v>
      </c>
      <c r="G699">
        <v>4.4467817840168502</v>
      </c>
      <c r="H699">
        <v>0.15937515096368299</v>
      </c>
      <c r="I699">
        <v>-2.2170135842122498</v>
      </c>
      <c r="J699">
        <v>-8.6300000000000008</v>
      </c>
      <c r="L699">
        <v>4.6061569349805334</v>
      </c>
      <c r="M699">
        <v>4.287406633053167</v>
      </c>
      <c r="N699">
        <v>4.7655320859442165</v>
      </c>
      <c r="O699">
        <v>4.1280314820894839</v>
      </c>
    </row>
    <row r="700" spans="1:15">
      <c r="A700" s="19">
        <v>42810</v>
      </c>
      <c r="B700">
        <v>3000</v>
      </c>
      <c r="C700">
        <v>2965</v>
      </c>
      <c r="D700">
        <v>707</v>
      </c>
      <c r="E700">
        <v>713</v>
      </c>
      <c r="F700">
        <v>4.1584852734922801</v>
      </c>
      <c r="G700">
        <v>4.4515707102800599</v>
      </c>
      <c r="H700">
        <v>0.153991339232987</v>
      </c>
      <c r="I700">
        <v>-1.9032592238472601</v>
      </c>
      <c r="J700">
        <v>-7.05</v>
      </c>
      <c r="L700">
        <v>4.6055620495130469</v>
      </c>
      <c r="M700">
        <v>4.2975793710470729</v>
      </c>
      <c r="N700">
        <v>4.759553388746034</v>
      </c>
      <c r="O700">
        <v>4.1435880318140859</v>
      </c>
    </row>
    <row r="701" spans="1:15">
      <c r="A701" s="19">
        <v>42809</v>
      </c>
      <c r="B701">
        <v>3010</v>
      </c>
      <c r="C701">
        <v>2985</v>
      </c>
      <c r="D701">
        <v>713</v>
      </c>
      <c r="E701">
        <v>717</v>
      </c>
      <c r="F701">
        <v>4.1631799163179899</v>
      </c>
      <c r="L701">
        <v>0</v>
      </c>
      <c r="M701">
        <v>0</v>
      </c>
      <c r="N701">
        <v>0</v>
      </c>
      <c r="O701">
        <v>0</v>
      </c>
    </row>
    <row r="702" spans="1:15">
      <c r="A702" s="19">
        <v>42808</v>
      </c>
      <c r="B702">
        <v>2995</v>
      </c>
      <c r="C702">
        <v>3015</v>
      </c>
      <c r="D702">
        <v>718</v>
      </c>
      <c r="E702">
        <v>718</v>
      </c>
      <c r="F702">
        <v>4.1991643454038998</v>
      </c>
      <c r="L702">
        <v>0</v>
      </c>
      <c r="M702">
        <v>0</v>
      </c>
      <c r="N702">
        <v>0</v>
      </c>
      <c r="O702">
        <v>0</v>
      </c>
    </row>
    <row r="703" spans="1:15">
      <c r="A703" s="19">
        <v>42807</v>
      </c>
      <c r="B703">
        <v>2995</v>
      </c>
      <c r="C703">
        <v>2985</v>
      </c>
      <c r="D703">
        <v>722</v>
      </c>
      <c r="E703">
        <v>717</v>
      </c>
      <c r="F703">
        <v>4.1631799163179899</v>
      </c>
      <c r="L703">
        <v>0</v>
      </c>
      <c r="M703">
        <v>0</v>
      </c>
      <c r="N703">
        <v>0</v>
      </c>
      <c r="O703">
        <v>0</v>
      </c>
    </row>
    <row r="704" spans="1:15">
      <c r="A704" s="19">
        <v>42804</v>
      </c>
      <c r="B704">
        <v>3015</v>
      </c>
      <c r="C704">
        <v>2995</v>
      </c>
      <c r="D704">
        <v>727</v>
      </c>
      <c r="E704">
        <v>721</v>
      </c>
      <c r="F704">
        <v>4.1539528432732302</v>
      </c>
      <c r="L704">
        <v>0</v>
      </c>
      <c r="M704">
        <v>0</v>
      </c>
      <c r="N704">
        <v>0</v>
      </c>
      <c r="O704">
        <v>0</v>
      </c>
    </row>
    <row r="705" spans="1:15">
      <c r="A705" s="19">
        <v>42803</v>
      </c>
      <c r="B705">
        <v>3000</v>
      </c>
      <c r="C705">
        <v>3020</v>
      </c>
      <c r="D705">
        <v>720</v>
      </c>
      <c r="E705">
        <v>720</v>
      </c>
      <c r="F705">
        <v>4.1944444444444402</v>
      </c>
      <c r="L705">
        <v>0</v>
      </c>
      <c r="M705">
        <v>0</v>
      </c>
      <c r="N705">
        <v>0</v>
      </c>
      <c r="O705">
        <v>0</v>
      </c>
    </row>
    <row r="706" spans="1:15">
      <c r="A706" s="19">
        <v>42802</v>
      </c>
      <c r="B706">
        <v>2970</v>
      </c>
      <c r="C706">
        <v>3000</v>
      </c>
      <c r="D706">
        <v>719</v>
      </c>
      <c r="E706">
        <v>719</v>
      </c>
      <c r="F706">
        <v>4.1724617524339296</v>
      </c>
      <c r="L706">
        <v>0</v>
      </c>
      <c r="M706">
        <v>0</v>
      </c>
      <c r="N706">
        <v>0</v>
      </c>
      <c r="O706">
        <v>0</v>
      </c>
    </row>
    <row r="707" spans="1:15">
      <c r="A707" s="19">
        <v>42801</v>
      </c>
      <c r="B707">
        <v>2950</v>
      </c>
      <c r="C707">
        <v>2965</v>
      </c>
      <c r="D707">
        <v>698</v>
      </c>
      <c r="E707">
        <v>722</v>
      </c>
      <c r="F707">
        <v>4.1066481994459796</v>
      </c>
      <c r="L707">
        <v>0</v>
      </c>
      <c r="M707">
        <v>0</v>
      </c>
      <c r="N707">
        <v>0</v>
      </c>
      <c r="O707">
        <v>0</v>
      </c>
    </row>
    <row r="708" spans="1:15">
      <c r="A708" s="19">
        <v>42800</v>
      </c>
      <c r="B708">
        <v>2920</v>
      </c>
      <c r="C708">
        <v>2940</v>
      </c>
      <c r="D708">
        <v>693</v>
      </c>
      <c r="E708">
        <v>693</v>
      </c>
      <c r="F708">
        <v>4.2424242424242404</v>
      </c>
      <c r="L708">
        <v>0</v>
      </c>
      <c r="M708">
        <v>0</v>
      </c>
      <c r="N708">
        <v>0</v>
      </c>
      <c r="O708">
        <v>0</v>
      </c>
    </row>
    <row r="709" spans="1:15">
      <c r="A709" s="19">
        <v>42797</v>
      </c>
      <c r="B709">
        <v>2940</v>
      </c>
      <c r="C709">
        <v>2935</v>
      </c>
      <c r="D709">
        <v>692</v>
      </c>
      <c r="E709">
        <v>693</v>
      </c>
      <c r="F709">
        <v>4.2352092352092301</v>
      </c>
      <c r="L709">
        <v>0</v>
      </c>
      <c r="M709">
        <v>0</v>
      </c>
      <c r="N709">
        <v>0</v>
      </c>
      <c r="O709">
        <v>0</v>
      </c>
    </row>
    <row r="710" spans="1:15">
      <c r="A710" s="19">
        <v>42796</v>
      </c>
      <c r="B710">
        <v>2950</v>
      </c>
      <c r="C710">
        <v>2960</v>
      </c>
      <c r="D710">
        <v>694</v>
      </c>
      <c r="E710">
        <v>694</v>
      </c>
      <c r="F710">
        <v>4.2651296829971104</v>
      </c>
      <c r="L710">
        <v>0</v>
      </c>
      <c r="M710">
        <v>0</v>
      </c>
      <c r="N710">
        <v>0</v>
      </c>
      <c r="O710">
        <v>0</v>
      </c>
    </row>
    <row r="711" spans="1:15">
      <c r="A711" s="19">
        <v>42795</v>
      </c>
      <c r="B711">
        <v>2910</v>
      </c>
      <c r="C711">
        <v>2915</v>
      </c>
      <c r="D711">
        <v>679</v>
      </c>
      <c r="E711">
        <v>690</v>
      </c>
      <c r="F711">
        <v>4.22463768115942</v>
      </c>
      <c r="L711">
        <v>0</v>
      </c>
      <c r="M711">
        <v>0</v>
      </c>
      <c r="N711">
        <v>0</v>
      </c>
      <c r="O711">
        <v>0</v>
      </c>
    </row>
    <row r="712" spans="1:15">
      <c r="A712" s="19">
        <v>42794</v>
      </c>
      <c r="B712">
        <v>2920</v>
      </c>
      <c r="C712">
        <v>2920</v>
      </c>
      <c r="D712">
        <v>690</v>
      </c>
      <c r="E712">
        <v>683</v>
      </c>
      <c r="F712">
        <v>4.2752562225475801</v>
      </c>
      <c r="L712">
        <v>0</v>
      </c>
      <c r="M712">
        <v>0</v>
      </c>
      <c r="N712">
        <v>0</v>
      </c>
      <c r="O712">
        <v>0</v>
      </c>
    </row>
    <row r="713" spans="1:15">
      <c r="A713" s="19">
        <v>42793</v>
      </c>
      <c r="B713">
        <v>2910</v>
      </c>
      <c r="C713">
        <v>2925</v>
      </c>
      <c r="D713">
        <v>689</v>
      </c>
      <c r="E713">
        <v>684</v>
      </c>
      <c r="F713">
        <v>4.2763157894736796</v>
      </c>
      <c r="L713">
        <v>0</v>
      </c>
      <c r="M713">
        <v>0</v>
      </c>
      <c r="N713">
        <v>0</v>
      </c>
      <c r="O713">
        <v>0</v>
      </c>
    </row>
    <row r="714" spans="1:15">
      <c r="A714" s="19">
        <v>42790</v>
      </c>
      <c r="B714">
        <v>2885</v>
      </c>
      <c r="C714">
        <v>2915</v>
      </c>
      <c r="D714">
        <v>683</v>
      </c>
      <c r="E714">
        <v>694</v>
      </c>
      <c r="F714">
        <v>4.2002881844380404</v>
      </c>
      <c r="L714">
        <v>0</v>
      </c>
      <c r="M714">
        <v>0</v>
      </c>
      <c r="N714">
        <v>0</v>
      </c>
      <c r="O714">
        <v>0</v>
      </c>
    </row>
    <row r="715" spans="1:15">
      <c r="A715" s="19">
        <v>42789</v>
      </c>
      <c r="B715">
        <v>2905</v>
      </c>
      <c r="C715">
        <v>2920</v>
      </c>
      <c r="D715">
        <v>685</v>
      </c>
      <c r="E715">
        <v>691</v>
      </c>
      <c r="F715">
        <v>4.2257597684515096</v>
      </c>
      <c r="L715">
        <v>0</v>
      </c>
      <c r="M715">
        <v>0</v>
      </c>
      <c r="N715">
        <v>0</v>
      </c>
      <c r="O715">
        <v>0</v>
      </c>
    </row>
    <row r="716" spans="1:15">
      <c r="A716" s="19">
        <v>42788</v>
      </c>
      <c r="B716">
        <v>2915</v>
      </c>
      <c r="C716">
        <v>2900</v>
      </c>
      <c r="D716">
        <v>673</v>
      </c>
      <c r="E716">
        <v>683</v>
      </c>
      <c r="F716">
        <v>4.2459736456808201</v>
      </c>
      <c r="L716">
        <v>0</v>
      </c>
      <c r="M716">
        <v>0</v>
      </c>
      <c r="N716">
        <v>0</v>
      </c>
      <c r="O716">
        <v>0</v>
      </c>
    </row>
    <row r="717" spans="1:15">
      <c r="A717" s="19">
        <v>42787</v>
      </c>
      <c r="B717">
        <v>2930</v>
      </c>
      <c r="C717">
        <v>2925</v>
      </c>
      <c r="D717">
        <v>669</v>
      </c>
      <c r="E717">
        <v>673</v>
      </c>
      <c r="F717">
        <v>4.3462109955423402</v>
      </c>
      <c r="L717">
        <v>0</v>
      </c>
      <c r="M717">
        <v>0</v>
      </c>
      <c r="N717">
        <v>0</v>
      </c>
      <c r="O717">
        <v>0</v>
      </c>
    </row>
    <row r="718" spans="1:15">
      <c r="A718" s="19">
        <v>42786</v>
      </c>
      <c r="B718">
        <v>2915</v>
      </c>
      <c r="C718">
        <v>2925</v>
      </c>
      <c r="D718">
        <v>664</v>
      </c>
      <c r="E718">
        <v>668</v>
      </c>
      <c r="F718">
        <v>4.3787425149700603</v>
      </c>
      <c r="L718">
        <v>0</v>
      </c>
      <c r="M718">
        <v>0</v>
      </c>
      <c r="N718">
        <v>0</v>
      </c>
      <c r="O718">
        <v>0</v>
      </c>
    </row>
    <row r="719" spans="1:15">
      <c r="A719" s="19">
        <v>42783</v>
      </c>
      <c r="B719">
        <v>2920</v>
      </c>
      <c r="C719">
        <v>2930</v>
      </c>
      <c r="D719">
        <v>673</v>
      </c>
      <c r="E719">
        <v>668</v>
      </c>
      <c r="F719">
        <v>4.38622754491018</v>
      </c>
      <c r="L719">
        <v>0</v>
      </c>
      <c r="M719">
        <v>0</v>
      </c>
      <c r="N719">
        <v>0</v>
      </c>
      <c r="O719">
        <v>0</v>
      </c>
    </row>
    <row r="720" spans="1:15">
      <c r="A720" s="19">
        <v>42782</v>
      </c>
      <c r="B720">
        <v>2945</v>
      </c>
      <c r="C720">
        <v>2940</v>
      </c>
      <c r="D720">
        <v>673</v>
      </c>
      <c r="E720">
        <v>683</v>
      </c>
      <c r="F720">
        <v>4.30453879941434</v>
      </c>
      <c r="L720">
        <v>0</v>
      </c>
      <c r="M720">
        <v>0</v>
      </c>
      <c r="N720">
        <v>0</v>
      </c>
      <c r="O720">
        <v>0</v>
      </c>
    </row>
    <row r="721" spans="1:15">
      <c r="A721" s="19">
        <v>42781</v>
      </c>
      <c r="B721">
        <v>2925</v>
      </c>
      <c r="C721">
        <v>2955</v>
      </c>
      <c r="D721">
        <v>671</v>
      </c>
      <c r="E721">
        <v>665</v>
      </c>
      <c r="F721">
        <v>4.44360902255639</v>
      </c>
      <c r="L721">
        <v>0</v>
      </c>
      <c r="M721">
        <v>0</v>
      </c>
      <c r="N721">
        <v>0</v>
      </c>
      <c r="O721">
        <v>0</v>
      </c>
    </row>
    <row r="722" spans="1:15">
      <c r="A722" s="19">
        <v>42780</v>
      </c>
      <c r="B722">
        <v>2920</v>
      </c>
      <c r="C722">
        <v>2905</v>
      </c>
      <c r="D722">
        <v>670</v>
      </c>
      <c r="E722">
        <v>662</v>
      </c>
      <c r="F722">
        <v>4.3882175226586098</v>
      </c>
      <c r="L722">
        <v>0</v>
      </c>
      <c r="M722">
        <v>0</v>
      </c>
      <c r="N722">
        <v>0</v>
      </c>
      <c r="O722">
        <v>0</v>
      </c>
    </row>
    <row r="723" spans="1:15">
      <c r="A723" s="19">
        <v>42779</v>
      </c>
      <c r="B723">
        <v>2865</v>
      </c>
      <c r="C723">
        <v>2900</v>
      </c>
      <c r="D723">
        <v>636</v>
      </c>
      <c r="E723">
        <v>664</v>
      </c>
      <c r="F723">
        <v>4.3674698795180698</v>
      </c>
      <c r="L723">
        <v>0</v>
      </c>
      <c r="M723">
        <v>0</v>
      </c>
      <c r="N723">
        <v>0</v>
      </c>
      <c r="O723">
        <v>0</v>
      </c>
    </row>
    <row r="724" spans="1:15">
      <c r="A724" s="19">
        <v>42776</v>
      </c>
      <c r="B724">
        <v>2820</v>
      </c>
      <c r="C724">
        <v>2835</v>
      </c>
      <c r="D724">
        <v>637</v>
      </c>
      <c r="E724">
        <v>630</v>
      </c>
      <c r="F724">
        <v>4.5</v>
      </c>
      <c r="L724">
        <v>0</v>
      </c>
      <c r="M724">
        <v>0</v>
      </c>
      <c r="N724">
        <v>0</v>
      </c>
      <c r="O724">
        <v>0</v>
      </c>
    </row>
    <row r="725" spans="1:15">
      <c r="A725" s="19">
        <v>42775</v>
      </c>
      <c r="B725">
        <v>2800</v>
      </c>
      <c r="C725">
        <v>2780</v>
      </c>
      <c r="D725">
        <v>629</v>
      </c>
      <c r="E725">
        <v>627</v>
      </c>
      <c r="F725">
        <v>4.4338118022328503</v>
      </c>
      <c r="L725">
        <v>0</v>
      </c>
      <c r="M725">
        <v>0</v>
      </c>
      <c r="N725">
        <v>0</v>
      </c>
      <c r="O725">
        <v>0</v>
      </c>
    </row>
    <row r="726" spans="1:15">
      <c r="A726" s="19">
        <v>42774</v>
      </c>
      <c r="B726">
        <v>2835</v>
      </c>
      <c r="C726">
        <v>2810</v>
      </c>
      <c r="D726">
        <v>637</v>
      </c>
      <c r="E726">
        <v>632</v>
      </c>
      <c r="F726">
        <v>4.4462025316455698</v>
      </c>
      <c r="L726">
        <v>0</v>
      </c>
      <c r="M726">
        <v>0</v>
      </c>
      <c r="N726">
        <v>0</v>
      </c>
      <c r="O726">
        <v>0</v>
      </c>
    </row>
    <row r="727" spans="1:15">
      <c r="A727" s="19">
        <v>42773</v>
      </c>
      <c r="B727">
        <v>2815</v>
      </c>
      <c r="C727">
        <v>2825</v>
      </c>
      <c r="D727">
        <v>627</v>
      </c>
      <c r="E727">
        <v>636</v>
      </c>
      <c r="F727">
        <v>4.4418238993710597</v>
      </c>
      <c r="L727">
        <v>0</v>
      </c>
      <c r="M727">
        <v>0</v>
      </c>
      <c r="N727">
        <v>0</v>
      </c>
      <c r="O727">
        <v>0</v>
      </c>
    </row>
    <row r="728" spans="1:15">
      <c r="A728" s="19">
        <v>42772</v>
      </c>
      <c r="B728">
        <v>2840</v>
      </c>
      <c r="C728">
        <v>2840</v>
      </c>
      <c r="D728">
        <v>625</v>
      </c>
      <c r="E728">
        <v>631</v>
      </c>
      <c r="F728">
        <v>4.5007923930269396</v>
      </c>
      <c r="L728">
        <v>0</v>
      </c>
      <c r="M728">
        <v>0</v>
      </c>
      <c r="N728">
        <v>0</v>
      </c>
      <c r="O728">
        <v>0</v>
      </c>
    </row>
    <row r="729" spans="1:15">
      <c r="A729" s="19">
        <v>42769</v>
      </c>
      <c r="B729">
        <v>2825</v>
      </c>
      <c r="C729">
        <v>2805</v>
      </c>
      <c r="D729">
        <v>611</v>
      </c>
      <c r="E729">
        <v>615</v>
      </c>
      <c r="F729">
        <v>4.5609756097560901</v>
      </c>
      <c r="L729">
        <v>0</v>
      </c>
      <c r="M729">
        <v>0</v>
      </c>
      <c r="N729">
        <v>0</v>
      </c>
      <c r="O729">
        <v>0</v>
      </c>
    </row>
    <row r="730" spans="1:15">
      <c r="A730" s="19">
        <v>42768</v>
      </c>
      <c r="B730">
        <v>2860</v>
      </c>
      <c r="C730">
        <v>2805</v>
      </c>
      <c r="D730">
        <v>627</v>
      </c>
      <c r="E730">
        <v>612</v>
      </c>
      <c r="F730">
        <v>4.5833333333333304</v>
      </c>
      <c r="L730">
        <v>0</v>
      </c>
      <c r="M730">
        <v>0</v>
      </c>
      <c r="N730">
        <v>0</v>
      </c>
      <c r="O730">
        <v>0</v>
      </c>
    </row>
    <row r="731" spans="1:15">
      <c r="A731" s="19">
        <v>42767</v>
      </c>
      <c r="B731">
        <v>2800</v>
      </c>
      <c r="C731">
        <v>2870</v>
      </c>
      <c r="D731">
        <v>618</v>
      </c>
      <c r="E731">
        <v>627</v>
      </c>
      <c r="F731">
        <v>4.5773524720893102</v>
      </c>
      <c r="L731">
        <v>0</v>
      </c>
      <c r="M731">
        <v>0</v>
      </c>
      <c r="N731">
        <v>0</v>
      </c>
      <c r="O731">
        <v>0</v>
      </c>
    </row>
    <row r="732" spans="1:15">
      <c r="A732" s="19">
        <v>42766</v>
      </c>
      <c r="B732">
        <v>2825</v>
      </c>
      <c r="C732">
        <v>2825</v>
      </c>
      <c r="D732">
        <v>620</v>
      </c>
      <c r="E732">
        <v>620</v>
      </c>
      <c r="F732">
        <v>4.5564516129032198</v>
      </c>
      <c r="L732">
        <v>0</v>
      </c>
      <c r="M732">
        <v>0</v>
      </c>
      <c r="N732">
        <v>0</v>
      </c>
      <c r="O732">
        <v>0</v>
      </c>
    </row>
    <row r="733" spans="1:15">
      <c r="A733" s="19">
        <v>42765</v>
      </c>
      <c r="B733">
        <v>2840</v>
      </c>
      <c r="C733">
        <v>2845</v>
      </c>
      <c r="D733">
        <v>624</v>
      </c>
      <c r="E733">
        <v>628</v>
      </c>
      <c r="F733">
        <v>4.5302547770700601</v>
      </c>
      <c r="L733">
        <v>0</v>
      </c>
      <c r="M733">
        <v>0</v>
      </c>
      <c r="N733">
        <v>0</v>
      </c>
      <c r="O733">
        <v>0</v>
      </c>
    </row>
    <row r="734" spans="1:15">
      <c r="A734" s="19">
        <v>42762</v>
      </c>
      <c r="B734">
        <v>2870</v>
      </c>
      <c r="C734">
        <v>2840</v>
      </c>
      <c r="D734">
        <v>627</v>
      </c>
      <c r="E734">
        <v>624</v>
      </c>
      <c r="F734">
        <v>4.5512820512820502</v>
      </c>
      <c r="L734">
        <v>0</v>
      </c>
      <c r="M734">
        <v>0</v>
      </c>
      <c r="N734">
        <v>0</v>
      </c>
      <c r="O734">
        <v>0</v>
      </c>
    </row>
    <row r="735" spans="1:15">
      <c r="A735" s="19">
        <v>42761</v>
      </c>
      <c r="B735">
        <v>2885</v>
      </c>
      <c r="C735">
        <v>2860</v>
      </c>
      <c r="D735">
        <v>623</v>
      </c>
      <c r="E735">
        <v>623</v>
      </c>
      <c r="F735">
        <v>4.5906902086677297</v>
      </c>
      <c r="L735">
        <v>0</v>
      </c>
      <c r="M735">
        <v>0</v>
      </c>
      <c r="N735">
        <v>0</v>
      </c>
      <c r="O735">
        <v>0</v>
      </c>
    </row>
    <row r="736" spans="1:15">
      <c r="A736" s="19">
        <v>42760</v>
      </c>
      <c r="B736">
        <v>2840</v>
      </c>
      <c r="C736">
        <v>2850</v>
      </c>
      <c r="D736">
        <v>625</v>
      </c>
      <c r="E736">
        <v>614</v>
      </c>
      <c r="F736">
        <v>4.6416938110749104</v>
      </c>
      <c r="L736">
        <v>0</v>
      </c>
      <c r="M736">
        <v>0</v>
      </c>
      <c r="N736">
        <v>0</v>
      </c>
      <c r="O736">
        <v>0</v>
      </c>
    </row>
    <row r="737" spans="1:15">
      <c r="A737" s="19">
        <v>42759</v>
      </c>
      <c r="B737">
        <v>2835</v>
      </c>
      <c r="C737">
        <v>2820</v>
      </c>
      <c r="D737">
        <v>615</v>
      </c>
      <c r="E737">
        <v>615</v>
      </c>
      <c r="F737">
        <v>4.58536585365853</v>
      </c>
      <c r="L737">
        <v>0</v>
      </c>
      <c r="M737">
        <v>0</v>
      </c>
      <c r="N737">
        <v>0</v>
      </c>
      <c r="O737">
        <v>0</v>
      </c>
    </row>
    <row r="738" spans="1:15">
      <c r="A738" s="19">
        <v>42758</v>
      </c>
      <c r="B738">
        <v>2790</v>
      </c>
      <c r="C738">
        <v>2830</v>
      </c>
      <c r="D738">
        <v>613</v>
      </c>
      <c r="E738">
        <v>610</v>
      </c>
      <c r="F738">
        <v>4.6393442622950802</v>
      </c>
      <c r="L738">
        <v>0</v>
      </c>
      <c r="M738">
        <v>0</v>
      </c>
      <c r="N738">
        <v>0</v>
      </c>
      <c r="O738">
        <v>0</v>
      </c>
    </row>
    <row r="739" spans="1:15">
      <c r="A739" s="19">
        <v>42755</v>
      </c>
      <c r="B739">
        <v>2795</v>
      </c>
      <c r="C739">
        <v>2800</v>
      </c>
      <c r="D739">
        <v>621</v>
      </c>
      <c r="E739">
        <v>622</v>
      </c>
      <c r="F739">
        <v>4.5016077170418001</v>
      </c>
      <c r="L739">
        <v>0</v>
      </c>
      <c r="M739">
        <v>0</v>
      </c>
      <c r="N739">
        <v>0</v>
      </c>
      <c r="O739">
        <v>0</v>
      </c>
    </row>
    <row r="740" spans="1:15">
      <c r="A740" s="19">
        <v>42754</v>
      </c>
      <c r="B740">
        <v>2835</v>
      </c>
      <c r="C740">
        <v>2820</v>
      </c>
      <c r="D740">
        <v>620</v>
      </c>
      <c r="E740">
        <v>622</v>
      </c>
      <c r="F740">
        <v>4.5337620578778104</v>
      </c>
      <c r="L740">
        <v>0</v>
      </c>
      <c r="M740">
        <v>0</v>
      </c>
      <c r="N740">
        <v>0</v>
      </c>
      <c r="O740">
        <v>0</v>
      </c>
    </row>
    <row r="741" spans="1:15">
      <c r="A741" s="19">
        <v>42753</v>
      </c>
      <c r="B741">
        <v>2790</v>
      </c>
      <c r="C741">
        <v>2795</v>
      </c>
      <c r="D741">
        <v>618</v>
      </c>
      <c r="E741">
        <v>623</v>
      </c>
      <c r="F741">
        <v>4.4863563402889204</v>
      </c>
      <c r="L741">
        <v>0</v>
      </c>
      <c r="M741">
        <v>0</v>
      </c>
      <c r="N741">
        <v>0</v>
      </c>
      <c r="O741">
        <v>0</v>
      </c>
    </row>
    <row r="742" spans="1:15">
      <c r="A742" s="19">
        <v>42752</v>
      </c>
      <c r="B742">
        <v>2840</v>
      </c>
      <c r="C742">
        <v>2795</v>
      </c>
      <c r="D742">
        <v>635</v>
      </c>
      <c r="E742">
        <v>622</v>
      </c>
      <c r="F742">
        <v>4.4935691318327899</v>
      </c>
      <c r="L742">
        <v>0</v>
      </c>
      <c r="M742">
        <v>0</v>
      </c>
      <c r="N742">
        <v>0</v>
      </c>
      <c r="O742">
        <v>0</v>
      </c>
    </row>
    <row r="743" spans="1:15">
      <c r="A743" s="19">
        <v>42751</v>
      </c>
      <c r="B743">
        <v>2900</v>
      </c>
      <c r="C743">
        <v>2870</v>
      </c>
      <c r="D743">
        <v>641</v>
      </c>
      <c r="E743">
        <v>636</v>
      </c>
      <c r="F743">
        <v>4.5125786163521999</v>
      </c>
      <c r="L743">
        <v>0</v>
      </c>
      <c r="M743">
        <v>0</v>
      </c>
      <c r="N743">
        <v>0</v>
      </c>
      <c r="O743">
        <v>0</v>
      </c>
    </row>
    <row r="744" spans="1:15">
      <c r="A744" s="19">
        <v>42748</v>
      </c>
      <c r="B744">
        <v>2890</v>
      </c>
      <c r="C744">
        <v>2910</v>
      </c>
      <c r="D744">
        <v>639</v>
      </c>
      <c r="E744">
        <v>639</v>
      </c>
      <c r="F744">
        <v>4.5539906103286301</v>
      </c>
      <c r="L744">
        <v>0</v>
      </c>
      <c r="M744">
        <v>0</v>
      </c>
      <c r="N744">
        <v>0</v>
      </c>
      <c r="O744">
        <v>0</v>
      </c>
    </row>
    <row r="745" spans="1:15">
      <c r="A745" s="19">
        <v>42747</v>
      </c>
      <c r="B745">
        <v>2930</v>
      </c>
      <c r="C745">
        <v>2935</v>
      </c>
      <c r="D745">
        <v>650</v>
      </c>
      <c r="E745">
        <v>636</v>
      </c>
      <c r="F745">
        <v>4.6147798742138297</v>
      </c>
      <c r="L745">
        <v>0</v>
      </c>
      <c r="M745">
        <v>0</v>
      </c>
      <c r="N745">
        <v>0</v>
      </c>
      <c r="O745">
        <v>0</v>
      </c>
    </row>
    <row r="746" spans="1:15">
      <c r="A746" s="19">
        <v>42746</v>
      </c>
      <c r="B746">
        <v>2970</v>
      </c>
      <c r="C746">
        <v>2960</v>
      </c>
      <c r="D746">
        <v>645</v>
      </c>
      <c r="E746">
        <v>653</v>
      </c>
      <c r="F746">
        <v>4.5329249617151604</v>
      </c>
      <c r="L746">
        <v>0</v>
      </c>
      <c r="M746">
        <v>0</v>
      </c>
      <c r="N746">
        <v>0</v>
      </c>
      <c r="O746">
        <v>0</v>
      </c>
    </row>
    <row r="747" spans="1:15">
      <c r="A747" s="19">
        <v>42745</v>
      </c>
      <c r="B747">
        <v>2960</v>
      </c>
      <c r="C747">
        <v>2990</v>
      </c>
      <c r="D747">
        <v>640</v>
      </c>
      <c r="E747">
        <v>644</v>
      </c>
      <c r="F747">
        <v>4.6428571428571397</v>
      </c>
      <c r="L747">
        <v>0</v>
      </c>
      <c r="M747">
        <v>0</v>
      </c>
      <c r="N747">
        <v>0</v>
      </c>
      <c r="O747">
        <v>0</v>
      </c>
    </row>
    <row r="748" spans="1:15">
      <c r="A748" s="19">
        <v>42741</v>
      </c>
      <c r="B748">
        <v>2955</v>
      </c>
      <c r="C748">
        <v>2955</v>
      </c>
      <c r="D748">
        <v>630</v>
      </c>
      <c r="E748">
        <v>635</v>
      </c>
      <c r="F748">
        <v>4.6535433070866103</v>
      </c>
      <c r="L748">
        <v>0</v>
      </c>
      <c r="M748">
        <v>0</v>
      </c>
      <c r="N748">
        <v>0</v>
      </c>
      <c r="O748">
        <v>0</v>
      </c>
    </row>
    <row r="749" spans="1:15">
      <c r="A749" s="19">
        <v>42740</v>
      </c>
      <c r="B749">
        <v>2975</v>
      </c>
      <c r="C749">
        <v>2970</v>
      </c>
      <c r="D749">
        <v>646</v>
      </c>
      <c r="E749">
        <v>637</v>
      </c>
      <c r="F749">
        <v>4.6624803767660898</v>
      </c>
      <c r="L749">
        <v>0</v>
      </c>
      <c r="M749">
        <v>0</v>
      </c>
      <c r="N749">
        <v>0</v>
      </c>
      <c r="O749">
        <v>0</v>
      </c>
    </row>
    <row r="750" spans="1:15">
      <c r="A750" s="19">
        <v>42739</v>
      </c>
      <c r="B750">
        <v>2880</v>
      </c>
      <c r="C750">
        <v>2965</v>
      </c>
      <c r="D750">
        <v>625</v>
      </c>
      <c r="E750">
        <v>643</v>
      </c>
      <c r="F750">
        <v>4.61119751166407</v>
      </c>
      <c r="L750">
        <v>0</v>
      </c>
      <c r="M750">
        <v>0</v>
      </c>
      <c r="N750">
        <v>0</v>
      </c>
      <c r="O750">
        <v>0</v>
      </c>
    </row>
    <row r="751" spans="1:15">
      <c r="A751" s="19">
        <v>42734</v>
      </c>
      <c r="B751">
        <v>2840</v>
      </c>
      <c r="C751">
        <v>2830</v>
      </c>
      <c r="D751">
        <v>622</v>
      </c>
      <c r="E751">
        <v>617</v>
      </c>
      <c r="F751">
        <v>4.5867098865478102</v>
      </c>
      <c r="L751">
        <v>0</v>
      </c>
      <c r="M751">
        <v>0</v>
      </c>
      <c r="N751">
        <v>0</v>
      </c>
      <c r="O751">
        <v>0</v>
      </c>
    </row>
    <row r="752" spans="1:15">
      <c r="A752" s="19">
        <v>42733</v>
      </c>
      <c r="B752">
        <v>2845</v>
      </c>
      <c r="C752">
        <v>2840</v>
      </c>
      <c r="D752">
        <v>624</v>
      </c>
      <c r="E752">
        <v>620</v>
      </c>
      <c r="F752">
        <v>4.5806451612903203</v>
      </c>
      <c r="L752">
        <v>0</v>
      </c>
      <c r="M752">
        <v>0</v>
      </c>
      <c r="N752">
        <v>0</v>
      </c>
      <c r="O752">
        <v>0</v>
      </c>
    </row>
    <row r="753" spans="1:15">
      <c r="A753" s="19">
        <v>42732</v>
      </c>
      <c r="B753">
        <v>2825</v>
      </c>
      <c r="C753">
        <v>2850</v>
      </c>
      <c r="D753">
        <v>619</v>
      </c>
      <c r="E753">
        <v>625</v>
      </c>
      <c r="F753">
        <v>4.5599999999999996</v>
      </c>
      <c r="L753">
        <v>0</v>
      </c>
      <c r="M753">
        <v>0</v>
      </c>
      <c r="N753">
        <v>0</v>
      </c>
      <c r="O753">
        <v>0</v>
      </c>
    </row>
    <row r="754" spans="1:15">
      <c r="A754" s="19">
        <v>42731</v>
      </c>
      <c r="B754">
        <v>2850</v>
      </c>
      <c r="C754">
        <v>2830</v>
      </c>
      <c r="D754">
        <v>621</v>
      </c>
      <c r="E754">
        <v>620</v>
      </c>
      <c r="F754">
        <v>4.56451612903225</v>
      </c>
      <c r="L754">
        <v>0</v>
      </c>
      <c r="M754">
        <v>0</v>
      </c>
      <c r="N754">
        <v>0</v>
      </c>
      <c r="O754">
        <v>0</v>
      </c>
    </row>
    <row r="755" spans="1:15">
      <c r="A755" s="19">
        <v>42730</v>
      </c>
      <c r="B755">
        <v>2885</v>
      </c>
      <c r="C755">
        <v>2870</v>
      </c>
      <c r="D755">
        <v>635</v>
      </c>
      <c r="E755">
        <v>627</v>
      </c>
      <c r="F755">
        <v>4.5773524720893102</v>
      </c>
      <c r="L755">
        <v>0</v>
      </c>
      <c r="M755">
        <v>0</v>
      </c>
      <c r="N755">
        <v>0</v>
      </c>
      <c r="O755">
        <v>0</v>
      </c>
    </row>
    <row r="756" spans="1:15">
      <c r="A756" s="19">
        <v>42726</v>
      </c>
      <c r="B756">
        <v>2905</v>
      </c>
      <c r="C756">
        <v>2915</v>
      </c>
      <c r="D756">
        <v>631</v>
      </c>
      <c r="E756">
        <v>630</v>
      </c>
      <c r="F756">
        <v>4.6269841269841203</v>
      </c>
      <c r="L756">
        <v>0</v>
      </c>
      <c r="M756">
        <v>0</v>
      </c>
      <c r="N756">
        <v>0</v>
      </c>
      <c r="O756">
        <v>0</v>
      </c>
    </row>
    <row r="757" spans="1:15">
      <c r="A757" s="19">
        <v>42725</v>
      </c>
      <c r="B757">
        <v>3000</v>
      </c>
      <c r="C757">
        <v>2925</v>
      </c>
      <c r="D757">
        <v>645</v>
      </c>
      <c r="E757">
        <v>631</v>
      </c>
      <c r="F757">
        <v>4.6354992076069701</v>
      </c>
      <c r="L757">
        <v>0</v>
      </c>
      <c r="M757">
        <v>0</v>
      </c>
      <c r="N757">
        <v>0</v>
      </c>
      <c r="O757">
        <v>0</v>
      </c>
    </row>
    <row r="758" spans="1:15">
      <c r="A758" s="19">
        <v>42724</v>
      </c>
      <c r="B758">
        <v>2875</v>
      </c>
      <c r="C758">
        <v>2960</v>
      </c>
      <c r="D758">
        <v>636</v>
      </c>
      <c r="E758">
        <v>644</v>
      </c>
      <c r="F758">
        <v>4.5962732919254599</v>
      </c>
      <c r="L758">
        <v>0</v>
      </c>
      <c r="M758">
        <v>0</v>
      </c>
      <c r="N758">
        <v>0</v>
      </c>
      <c r="O758">
        <v>0</v>
      </c>
    </row>
    <row r="759" spans="1:15">
      <c r="A759" s="19">
        <v>42723</v>
      </c>
      <c r="B759">
        <v>2870</v>
      </c>
      <c r="C759">
        <v>2870</v>
      </c>
      <c r="D759">
        <v>641</v>
      </c>
      <c r="E759">
        <v>636</v>
      </c>
      <c r="F759">
        <v>4.5125786163521999</v>
      </c>
      <c r="L759">
        <v>0</v>
      </c>
      <c r="M759">
        <v>0</v>
      </c>
      <c r="N759">
        <v>0</v>
      </c>
      <c r="O759">
        <v>0</v>
      </c>
    </row>
    <row r="760" spans="1:15">
      <c r="A760" s="19">
        <v>42720</v>
      </c>
      <c r="B760">
        <v>2845</v>
      </c>
      <c r="C760">
        <v>2865</v>
      </c>
      <c r="D760">
        <v>638</v>
      </c>
      <c r="E760">
        <v>641</v>
      </c>
      <c r="F760">
        <v>4.4695787831513201</v>
      </c>
      <c r="L760">
        <v>0</v>
      </c>
      <c r="M760">
        <v>0</v>
      </c>
      <c r="N760">
        <v>0</v>
      </c>
      <c r="O760">
        <v>0</v>
      </c>
    </row>
    <row r="761" spans="1:15">
      <c r="A761" s="19">
        <v>42719</v>
      </c>
      <c r="B761">
        <v>2870</v>
      </c>
      <c r="C761">
        <v>2835</v>
      </c>
      <c r="D761">
        <v>639</v>
      </c>
      <c r="E761">
        <v>633</v>
      </c>
      <c r="F761">
        <v>4.4786729857819898</v>
      </c>
      <c r="L761">
        <v>0</v>
      </c>
      <c r="M761">
        <v>0</v>
      </c>
      <c r="N761">
        <v>0</v>
      </c>
      <c r="O761">
        <v>0</v>
      </c>
    </row>
    <row r="762" spans="1:15">
      <c r="A762" s="19">
        <v>42718</v>
      </c>
      <c r="B762">
        <v>2810</v>
      </c>
      <c r="C762">
        <v>2845</v>
      </c>
      <c r="D762">
        <v>640</v>
      </c>
      <c r="E762">
        <v>636</v>
      </c>
      <c r="F762">
        <v>4.4732704402515697</v>
      </c>
      <c r="L762">
        <v>0</v>
      </c>
      <c r="M762">
        <v>0</v>
      </c>
      <c r="N762">
        <v>0</v>
      </c>
      <c r="O762">
        <v>0</v>
      </c>
    </row>
    <row r="763" spans="1:15">
      <c r="A763" s="19">
        <v>42717</v>
      </c>
      <c r="B763">
        <v>2840</v>
      </c>
      <c r="C763">
        <v>2825</v>
      </c>
      <c r="D763">
        <v>639</v>
      </c>
      <c r="E763">
        <v>640</v>
      </c>
      <c r="F763">
        <v>4.4140625</v>
      </c>
      <c r="L763">
        <v>0</v>
      </c>
      <c r="M763">
        <v>0</v>
      </c>
      <c r="N763">
        <v>0</v>
      </c>
      <c r="O763">
        <v>0</v>
      </c>
    </row>
    <row r="764" spans="1:15">
      <c r="A764" s="19">
        <v>42716</v>
      </c>
      <c r="B764">
        <v>2890</v>
      </c>
      <c r="C764">
        <v>2870</v>
      </c>
      <c r="D764">
        <v>636</v>
      </c>
      <c r="E764">
        <v>639</v>
      </c>
      <c r="F764">
        <v>4.4913928012519504</v>
      </c>
      <c r="L764">
        <v>0</v>
      </c>
      <c r="M764">
        <v>0</v>
      </c>
      <c r="N764">
        <v>0</v>
      </c>
      <c r="O764">
        <v>0</v>
      </c>
    </row>
    <row r="765" spans="1:15">
      <c r="A765" s="19">
        <v>42713</v>
      </c>
      <c r="B765">
        <v>2865</v>
      </c>
      <c r="C765">
        <v>2895</v>
      </c>
      <c r="D765">
        <v>632</v>
      </c>
      <c r="E765">
        <v>634</v>
      </c>
      <c r="F765">
        <v>4.5662460567823304</v>
      </c>
      <c r="L765">
        <v>0</v>
      </c>
      <c r="M765">
        <v>0</v>
      </c>
      <c r="N765">
        <v>0</v>
      </c>
      <c r="O765">
        <v>0</v>
      </c>
    </row>
    <row r="766" spans="1:15">
      <c r="A766" s="19">
        <v>42712</v>
      </c>
      <c r="B766">
        <v>2875</v>
      </c>
      <c r="C766">
        <v>2885</v>
      </c>
      <c r="D766">
        <v>629</v>
      </c>
      <c r="E766">
        <v>632</v>
      </c>
      <c r="F766">
        <v>4.5648734177215102</v>
      </c>
      <c r="L766">
        <v>0</v>
      </c>
      <c r="M766">
        <v>0</v>
      </c>
      <c r="N766">
        <v>0</v>
      </c>
      <c r="O766">
        <v>0</v>
      </c>
    </row>
    <row r="767" spans="1:15">
      <c r="A767" s="19">
        <v>42711</v>
      </c>
      <c r="B767">
        <v>2870</v>
      </c>
      <c r="C767">
        <v>2865</v>
      </c>
      <c r="D767">
        <v>623</v>
      </c>
      <c r="E767">
        <v>623</v>
      </c>
      <c r="F767">
        <v>4.5987158908507197</v>
      </c>
      <c r="L767">
        <v>0</v>
      </c>
      <c r="M767">
        <v>0</v>
      </c>
      <c r="N767">
        <v>0</v>
      </c>
      <c r="O767">
        <v>0</v>
      </c>
    </row>
    <row r="768" spans="1:15">
      <c r="A768" s="19">
        <v>42710</v>
      </c>
      <c r="B768">
        <v>2845</v>
      </c>
      <c r="C768">
        <v>2865</v>
      </c>
      <c r="D768">
        <v>624</v>
      </c>
      <c r="E768">
        <v>623</v>
      </c>
      <c r="F768">
        <v>4.5987158908507197</v>
      </c>
      <c r="L768">
        <v>0</v>
      </c>
      <c r="M768">
        <v>0</v>
      </c>
      <c r="N768">
        <v>0</v>
      </c>
      <c r="O768">
        <v>0</v>
      </c>
    </row>
    <row r="769" spans="1:15">
      <c r="A769" s="19">
        <v>42709</v>
      </c>
      <c r="B769">
        <v>2840</v>
      </c>
      <c r="C769">
        <v>2830</v>
      </c>
      <c r="D769">
        <v>621</v>
      </c>
      <c r="E769">
        <v>617</v>
      </c>
      <c r="F769">
        <v>4.5867098865478102</v>
      </c>
      <c r="L769">
        <v>0</v>
      </c>
      <c r="M769">
        <v>0</v>
      </c>
      <c r="N769">
        <v>0</v>
      </c>
      <c r="O769">
        <v>0</v>
      </c>
    </row>
    <row r="770" spans="1:15">
      <c r="A770" s="19">
        <v>42706</v>
      </c>
      <c r="B770">
        <v>2830</v>
      </c>
      <c r="C770">
        <v>2840</v>
      </c>
      <c r="D770">
        <v>628</v>
      </c>
      <c r="E770">
        <v>627</v>
      </c>
      <c r="F770">
        <v>4.5295055821371601</v>
      </c>
      <c r="L770">
        <v>0</v>
      </c>
      <c r="M770">
        <v>0</v>
      </c>
      <c r="N770">
        <v>0</v>
      </c>
      <c r="O770">
        <v>0</v>
      </c>
    </row>
    <row r="771" spans="1:15">
      <c r="A771" s="19">
        <v>42705</v>
      </c>
      <c r="B771">
        <v>2810</v>
      </c>
      <c r="C771">
        <v>2820</v>
      </c>
      <c r="D771">
        <v>640</v>
      </c>
      <c r="E771">
        <v>631</v>
      </c>
      <c r="F771">
        <v>4.4690966719492797</v>
      </c>
      <c r="L771">
        <v>0</v>
      </c>
      <c r="M771">
        <v>0</v>
      </c>
      <c r="N771">
        <v>0</v>
      </c>
      <c r="O771">
        <v>0</v>
      </c>
    </row>
    <row r="772" spans="1:15">
      <c r="A772" s="19">
        <v>42704</v>
      </c>
      <c r="B772">
        <v>2760</v>
      </c>
      <c r="C772">
        <v>2810</v>
      </c>
      <c r="D772">
        <v>620</v>
      </c>
      <c r="E772">
        <v>641</v>
      </c>
      <c r="F772">
        <v>4.38377535101404</v>
      </c>
      <c r="L772">
        <v>0</v>
      </c>
      <c r="M772">
        <v>0</v>
      </c>
      <c r="N772">
        <v>0</v>
      </c>
      <c r="O772">
        <v>0</v>
      </c>
    </row>
    <row r="773" spans="1:15">
      <c r="A773" s="19">
        <v>42703</v>
      </c>
      <c r="B773">
        <v>2740</v>
      </c>
      <c r="C773">
        <v>2750</v>
      </c>
      <c r="D773">
        <v>611</v>
      </c>
      <c r="E773">
        <v>612</v>
      </c>
      <c r="F773">
        <v>4.4934640522875799</v>
      </c>
      <c r="L773">
        <v>0</v>
      </c>
      <c r="M773">
        <v>0</v>
      </c>
      <c r="N773">
        <v>0</v>
      </c>
      <c r="O773">
        <v>0</v>
      </c>
    </row>
    <row r="774" spans="1:15">
      <c r="A774" s="19">
        <v>42702</v>
      </c>
      <c r="B774">
        <v>2675</v>
      </c>
      <c r="C774">
        <v>2725</v>
      </c>
      <c r="D774">
        <v>595</v>
      </c>
      <c r="E774">
        <v>612</v>
      </c>
      <c r="F774">
        <v>4.4526143790849604</v>
      </c>
      <c r="L774">
        <v>0</v>
      </c>
      <c r="M774">
        <v>0</v>
      </c>
      <c r="N774">
        <v>0</v>
      </c>
      <c r="O774">
        <v>0</v>
      </c>
    </row>
    <row r="775" spans="1:15">
      <c r="A775" s="19"/>
    </row>
    <row r="776" spans="1:15">
      <c r="A776" s="19"/>
    </row>
    <row r="777" spans="1:15">
      <c r="A777" s="19"/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J26" sqref="J2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AH431"/>
  <sheetViews>
    <sheetView workbookViewId="0">
      <selection activeCell="B1" sqref="B1"/>
    </sheetView>
  </sheetViews>
  <sheetFormatPr defaultRowHeight="14.25"/>
  <cols>
    <col min="1" max="1" width="9" style="111"/>
    <col min="4" max="4" width="9.875" customWidth="1"/>
    <col min="22" max="22" width="11.25" customWidth="1"/>
  </cols>
  <sheetData>
    <row r="1" spans="1:34">
      <c r="B1" s="115" t="s">
        <v>395</v>
      </c>
      <c r="C1" s="115" t="s">
        <v>60</v>
      </c>
      <c r="D1" s="115" t="s">
        <v>61</v>
      </c>
      <c r="E1" s="115" t="s">
        <v>62</v>
      </c>
      <c r="F1" s="115" t="s">
        <v>63</v>
      </c>
      <c r="G1" s="115" t="s">
        <v>64</v>
      </c>
      <c r="H1" s="115" t="s">
        <v>65</v>
      </c>
      <c r="I1" s="115" t="s">
        <v>66</v>
      </c>
      <c r="J1" s="115" t="s">
        <v>49</v>
      </c>
      <c r="K1" s="115" t="s">
        <v>67</v>
      </c>
      <c r="L1" s="115" t="s">
        <v>68</v>
      </c>
      <c r="M1" s="115" t="s">
        <v>69</v>
      </c>
      <c r="N1" s="115" t="s">
        <v>70</v>
      </c>
      <c r="O1" s="115" t="s">
        <v>71</v>
      </c>
      <c r="P1" s="115" t="s">
        <v>72</v>
      </c>
      <c r="Q1" s="115" t="s">
        <v>73</v>
      </c>
      <c r="R1" s="115" t="s">
        <v>74</v>
      </c>
      <c r="S1" s="115" t="s">
        <v>75</v>
      </c>
      <c r="T1" s="115" t="s">
        <v>103</v>
      </c>
      <c r="U1" s="115" t="s">
        <v>76</v>
      </c>
      <c r="V1" s="115" t="s">
        <v>77</v>
      </c>
      <c r="W1" s="115" t="s">
        <v>78</v>
      </c>
      <c r="X1" s="115" t="s">
        <v>79</v>
      </c>
      <c r="Y1" s="115" t="s">
        <v>80</v>
      </c>
      <c r="Z1" s="115" t="s">
        <v>81</v>
      </c>
      <c r="AA1" s="115" t="s">
        <v>82</v>
      </c>
      <c r="AB1" s="115" t="s">
        <v>83</v>
      </c>
      <c r="AC1" s="115" t="s">
        <v>84</v>
      </c>
      <c r="AD1" s="115" t="s">
        <v>85</v>
      </c>
      <c r="AE1" s="115" t="s">
        <v>86</v>
      </c>
      <c r="AF1" s="115" t="s">
        <v>104</v>
      </c>
      <c r="AG1" s="115" t="s">
        <v>105</v>
      </c>
      <c r="AH1" s="115" t="s">
        <v>106</v>
      </c>
    </row>
    <row r="2" spans="1:34">
      <c r="A2" s="111">
        <v>36</v>
      </c>
      <c r="B2">
        <v>7189</v>
      </c>
      <c r="C2" s="115" t="s">
        <v>112</v>
      </c>
      <c r="D2" s="115" t="s">
        <v>113</v>
      </c>
      <c r="E2">
        <v>854</v>
      </c>
      <c r="F2">
        <v>843</v>
      </c>
      <c r="G2">
        <v>1200</v>
      </c>
      <c r="H2" s="115" t="s">
        <v>87</v>
      </c>
      <c r="I2">
        <v>7278</v>
      </c>
      <c r="J2" s="115" t="s">
        <v>114</v>
      </c>
      <c r="K2" s="115" t="s">
        <v>115</v>
      </c>
      <c r="L2">
        <v>2474</v>
      </c>
      <c r="M2">
        <v>2483</v>
      </c>
      <c r="N2">
        <v>400</v>
      </c>
      <c r="O2" s="115" t="s">
        <v>89</v>
      </c>
      <c r="P2">
        <v>0.91946492977423899</v>
      </c>
      <c r="Q2">
        <v>0.94181517952484095</v>
      </c>
      <c r="R2" s="20">
        <v>0.26903247798922703</v>
      </c>
      <c r="S2">
        <v>2.70942366330921E-2</v>
      </c>
      <c r="T2">
        <v>-0.490484759578456</v>
      </c>
      <c r="U2">
        <v>0.490484759578456</v>
      </c>
      <c r="V2">
        <v>-1.68</v>
      </c>
      <c r="W2">
        <v>1.85</v>
      </c>
      <c r="X2">
        <v>709033</v>
      </c>
      <c r="Y2">
        <v>35452</v>
      </c>
      <c r="Z2">
        <v>1.81</v>
      </c>
      <c r="AA2">
        <v>20</v>
      </c>
      <c r="AB2">
        <v>13</v>
      </c>
      <c r="AC2">
        <v>7</v>
      </c>
      <c r="AD2">
        <v>65</v>
      </c>
      <c r="AE2">
        <v>11</v>
      </c>
      <c r="AF2">
        <v>11</v>
      </c>
      <c r="AG2">
        <v>3</v>
      </c>
      <c r="AH2">
        <v>6</v>
      </c>
    </row>
    <row r="3" spans="1:34">
      <c r="A3" s="111">
        <v>68</v>
      </c>
      <c r="B3">
        <v>3635</v>
      </c>
      <c r="C3" s="115" t="s">
        <v>116</v>
      </c>
      <c r="D3" s="115" t="s">
        <v>110</v>
      </c>
      <c r="E3">
        <v>2585</v>
      </c>
      <c r="F3">
        <v>2597</v>
      </c>
      <c r="G3">
        <v>400</v>
      </c>
      <c r="H3" s="115" t="s">
        <v>89</v>
      </c>
      <c r="I3">
        <v>6845</v>
      </c>
      <c r="J3" s="115" t="s">
        <v>396</v>
      </c>
      <c r="K3" s="115" t="s">
        <v>118</v>
      </c>
      <c r="L3">
        <v>3140</v>
      </c>
      <c r="M3">
        <v>3125</v>
      </c>
      <c r="N3">
        <v>300</v>
      </c>
      <c r="O3" s="115" t="s">
        <v>87</v>
      </c>
      <c r="P3">
        <v>0.93686311244337395</v>
      </c>
      <c r="Q3">
        <v>0.93289202178703001</v>
      </c>
      <c r="R3" s="20">
        <v>3.4528222643223298E-2</v>
      </c>
      <c r="S3" s="20">
        <v>1.8702143540701498E-2</v>
      </c>
      <c r="T3">
        <v>1.7786299764767199</v>
      </c>
      <c r="U3">
        <v>1.7786299764767199</v>
      </c>
      <c r="V3">
        <v>3.61</v>
      </c>
      <c r="W3">
        <v>10.81</v>
      </c>
      <c r="X3">
        <v>542091</v>
      </c>
      <c r="Y3">
        <v>31888</v>
      </c>
      <c r="Z3">
        <v>1.61</v>
      </c>
      <c r="AA3">
        <v>17</v>
      </c>
      <c r="AB3">
        <v>14</v>
      </c>
      <c r="AC3">
        <v>3</v>
      </c>
      <c r="AD3">
        <v>82.35</v>
      </c>
      <c r="AE3">
        <v>12</v>
      </c>
      <c r="AF3">
        <v>8</v>
      </c>
      <c r="AG3">
        <v>2</v>
      </c>
      <c r="AH3">
        <v>7</v>
      </c>
    </row>
    <row r="4" spans="1:34">
      <c r="A4" s="111">
        <v>72</v>
      </c>
      <c r="B4">
        <v>2914</v>
      </c>
      <c r="C4" s="115" t="s">
        <v>129</v>
      </c>
      <c r="D4" s="115" t="s">
        <v>130</v>
      </c>
      <c r="E4">
        <v>2482.5</v>
      </c>
      <c r="F4">
        <v>2476</v>
      </c>
      <c r="G4">
        <v>400</v>
      </c>
      <c r="H4" s="115" t="s">
        <v>87</v>
      </c>
      <c r="I4">
        <v>7189</v>
      </c>
      <c r="J4" s="115" t="s">
        <v>112</v>
      </c>
      <c r="K4" s="115" t="s">
        <v>113</v>
      </c>
      <c r="L4">
        <v>854</v>
      </c>
      <c r="M4">
        <v>843</v>
      </c>
      <c r="N4">
        <v>1200</v>
      </c>
      <c r="O4" s="115" t="s">
        <v>89</v>
      </c>
      <c r="P4">
        <v>0.95313722057663497</v>
      </c>
      <c r="Q4">
        <v>0.93164951871480395</v>
      </c>
      <c r="R4">
        <v>8.1174326478371306E-2</v>
      </c>
      <c r="S4">
        <v>0.26699871924295498</v>
      </c>
      <c r="T4">
        <v>-1.09363066402003</v>
      </c>
      <c r="U4">
        <v>1.09363066402003</v>
      </c>
      <c r="V4">
        <v>-7.73</v>
      </c>
      <c r="W4">
        <v>2.14</v>
      </c>
      <c r="X4">
        <v>526842</v>
      </c>
      <c r="Y4">
        <v>23947</v>
      </c>
      <c r="Z4">
        <v>1.21</v>
      </c>
      <c r="AA4">
        <v>22</v>
      </c>
      <c r="AB4">
        <v>16</v>
      </c>
      <c r="AC4">
        <v>6</v>
      </c>
      <c r="AD4">
        <v>72.73</v>
      </c>
      <c r="AE4">
        <v>14</v>
      </c>
      <c r="AF4">
        <v>12</v>
      </c>
      <c r="AG4">
        <v>3</v>
      </c>
      <c r="AH4">
        <v>7</v>
      </c>
    </row>
    <row r="5" spans="1:34">
      <c r="A5" s="111">
        <v>8</v>
      </c>
      <c r="B5">
        <v>3635</v>
      </c>
      <c r="C5" s="115" t="s">
        <v>116</v>
      </c>
      <c r="D5" s="115" t="s">
        <v>110</v>
      </c>
      <c r="E5">
        <v>2585</v>
      </c>
      <c r="F5">
        <v>2597</v>
      </c>
      <c r="G5">
        <v>400</v>
      </c>
      <c r="H5" s="115" t="s">
        <v>87</v>
      </c>
      <c r="I5">
        <v>6920</v>
      </c>
      <c r="J5" s="115" t="s">
        <v>117</v>
      </c>
      <c r="K5" s="115" t="s">
        <v>118</v>
      </c>
      <c r="L5">
        <v>9000</v>
      </c>
      <c r="M5">
        <v>9160</v>
      </c>
      <c r="N5">
        <v>100</v>
      </c>
      <c r="O5" s="115" t="s">
        <v>89</v>
      </c>
      <c r="P5">
        <v>0.92724766475371401</v>
      </c>
      <c r="Q5">
        <v>0.95592764116627604</v>
      </c>
      <c r="R5">
        <v>6.4099327407698095E-2</v>
      </c>
      <c r="S5">
        <v>3.5970732883131799E-3</v>
      </c>
      <c r="T5">
        <v>-1.7021362953381101</v>
      </c>
      <c r="U5">
        <v>1.7021362953381101</v>
      </c>
      <c r="V5">
        <v>-17.14</v>
      </c>
      <c r="W5">
        <v>13.41</v>
      </c>
      <c r="X5">
        <v>518439</v>
      </c>
      <c r="Y5">
        <v>25922</v>
      </c>
      <c r="Z5">
        <v>1.37</v>
      </c>
      <c r="AA5">
        <v>20</v>
      </c>
      <c r="AB5">
        <v>13</v>
      </c>
      <c r="AC5">
        <v>7</v>
      </c>
      <c r="AD5">
        <v>65</v>
      </c>
      <c r="AE5">
        <v>10</v>
      </c>
      <c r="AF5">
        <v>10</v>
      </c>
      <c r="AG5">
        <v>6</v>
      </c>
      <c r="AH5">
        <v>4</v>
      </c>
    </row>
    <row r="6" spans="1:34">
      <c r="A6" s="111">
        <v>235</v>
      </c>
      <c r="B6">
        <v>1944</v>
      </c>
      <c r="C6" s="115" t="s">
        <v>179</v>
      </c>
      <c r="D6" s="115" t="s">
        <v>108</v>
      </c>
      <c r="E6">
        <v>1677</v>
      </c>
      <c r="F6">
        <v>1654</v>
      </c>
      <c r="G6">
        <v>600</v>
      </c>
      <c r="H6" s="115" t="s">
        <v>87</v>
      </c>
      <c r="I6">
        <v>3291</v>
      </c>
      <c r="J6" s="115" t="s">
        <v>147</v>
      </c>
      <c r="K6" s="115" t="s">
        <v>148</v>
      </c>
      <c r="L6">
        <v>1908</v>
      </c>
      <c r="M6">
        <v>1894</v>
      </c>
      <c r="N6">
        <v>500</v>
      </c>
      <c r="O6" s="115" t="s">
        <v>89</v>
      </c>
      <c r="P6">
        <v>0.92485785781593499</v>
      </c>
      <c r="Q6">
        <v>0.90382417214309296</v>
      </c>
      <c r="R6">
        <v>5.9665790830271495E-4</v>
      </c>
      <c r="S6">
        <v>0.18481721020736999</v>
      </c>
      <c r="T6">
        <v>-1.8871859426792601</v>
      </c>
      <c r="U6">
        <v>1.8871859426792601</v>
      </c>
      <c r="V6">
        <v>-5.26</v>
      </c>
      <c r="W6">
        <v>4.79</v>
      </c>
      <c r="X6">
        <v>484835</v>
      </c>
      <c r="Y6">
        <v>34631</v>
      </c>
      <c r="Z6">
        <v>1.73</v>
      </c>
      <c r="AA6">
        <v>14</v>
      </c>
      <c r="AB6">
        <v>11</v>
      </c>
      <c r="AC6">
        <v>3</v>
      </c>
      <c r="AD6">
        <v>78.569999999999993</v>
      </c>
      <c r="AE6">
        <v>15</v>
      </c>
      <c r="AF6">
        <v>7</v>
      </c>
      <c r="AG6">
        <v>0</v>
      </c>
      <c r="AH6">
        <v>7</v>
      </c>
    </row>
    <row r="7" spans="1:34">
      <c r="A7" s="111">
        <v>114</v>
      </c>
      <c r="B7">
        <v>3101</v>
      </c>
      <c r="C7" s="115" t="s">
        <v>383</v>
      </c>
      <c r="D7" s="115" t="s">
        <v>197</v>
      </c>
      <c r="E7">
        <v>1634</v>
      </c>
      <c r="F7">
        <v>1605</v>
      </c>
      <c r="G7">
        <v>600</v>
      </c>
      <c r="H7" s="115" t="s">
        <v>87</v>
      </c>
      <c r="I7">
        <v>3116</v>
      </c>
      <c r="J7" s="115" t="s">
        <v>168</v>
      </c>
      <c r="K7" s="115" t="s">
        <v>115</v>
      </c>
      <c r="L7">
        <v>1740</v>
      </c>
      <c r="M7">
        <v>1715</v>
      </c>
      <c r="N7">
        <v>600</v>
      </c>
      <c r="O7" s="115" t="s">
        <v>89</v>
      </c>
      <c r="P7">
        <v>0.95329218960344098</v>
      </c>
      <c r="Q7">
        <v>0.921929496823924</v>
      </c>
      <c r="R7">
        <v>0.24669112943482599</v>
      </c>
      <c r="S7">
        <v>5.9279088452432301E-2</v>
      </c>
      <c r="T7">
        <v>-0.26607475178142298</v>
      </c>
      <c r="U7">
        <v>0.26607475178142298</v>
      </c>
      <c r="V7">
        <v>-0.51</v>
      </c>
      <c r="W7">
        <v>6.41</v>
      </c>
      <c r="X7">
        <v>469716</v>
      </c>
      <c r="Y7">
        <v>21351</v>
      </c>
      <c r="Z7">
        <v>1.06</v>
      </c>
      <c r="AA7">
        <v>22</v>
      </c>
      <c r="AB7">
        <v>16</v>
      </c>
      <c r="AC7">
        <v>6</v>
      </c>
      <c r="AD7">
        <v>72.73</v>
      </c>
      <c r="AE7">
        <v>10</v>
      </c>
      <c r="AF7">
        <v>13</v>
      </c>
      <c r="AG7">
        <v>5</v>
      </c>
      <c r="AH7">
        <v>4</v>
      </c>
    </row>
    <row r="8" spans="1:34">
      <c r="A8" s="111">
        <v>39</v>
      </c>
      <c r="B8">
        <v>1928</v>
      </c>
      <c r="C8" s="115" t="s">
        <v>390</v>
      </c>
      <c r="D8" s="115" t="s">
        <v>108</v>
      </c>
      <c r="E8">
        <v>2400</v>
      </c>
      <c r="F8">
        <v>2414</v>
      </c>
      <c r="G8">
        <v>400</v>
      </c>
      <c r="H8" s="115" t="s">
        <v>89</v>
      </c>
      <c r="I8">
        <v>4062</v>
      </c>
      <c r="J8" s="115" t="s">
        <v>428</v>
      </c>
      <c r="K8" s="115" t="s">
        <v>118</v>
      </c>
      <c r="L8">
        <v>2523</v>
      </c>
      <c r="M8">
        <v>2528</v>
      </c>
      <c r="N8">
        <v>400</v>
      </c>
      <c r="O8" s="115" t="s">
        <v>87</v>
      </c>
      <c r="P8">
        <v>0.94317976991202501</v>
      </c>
      <c r="Q8">
        <v>0.941273460990946</v>
      </c>
      <c r="R8">
        <v>0.28363327013067002</v>
      </c>
      <c r="S8" s="20">
        <v>5.8822860194962197E-2</v>
      </c>
      <c r="T8">
        <v>0.44154697295775103</v>
      </c>
      <c r="U8">
        <v>0.44154697295775103</v>
      </c>
      <c r="V8">
        <v>1.69</v>
      </c>
      <c r="W8">
        <v>4.51</v>
      </c>
      <c r="X8">
        <v>454397</v>
      </c>
      <c r="Y8">
        <v>28400</v>
      </c>
      <c r="Z8">
        <v>1.52</v>
      </c>
      <c r="AA8">
        <v>16</v>
      </c>
      <c r="AB8">
        <v>13</v>
      </c>
      <c r="AC8">
        <v>3</v>
      </c>
      <c r="AD8">
        <v>81.25</v>
      </c>
      <c r="AE8">
        <v>11</v>
      </c>
      <c r="AF8">
        <v>9</v>
      </c>
      <c r="AG8">
        <v>2</v>
      </c>
      <c r="AH8">
        <v>5</v>
      </c>
    </row>
    <row r="9" spans="1:34">
      <c r="A9" s="111">
        <v>32</v>
      </c>
      <c r="B9">
        <v>5991</v>
      </c>
      <c r="C9" s="115" t="s">
        <v>149</v>
      </c>
      <c r="D9" s="115" t="s">
        <v>150</v>
      </c>
      <c r="E9">
        <v>975</v>
      </c>
      <c r="F9">
        <v>965</v>
      </c>
      <c r="G9">
        <v>1000</v>
      </c>
      <c r="H9" s="115" t="s">
        <v>89</v>
      </c>
      <c r="I9">
        <v>7278</v>
      </c>
      <c r="J9" s="115" t="s">
        <v>114</v>
      </c>
      <c r="K9" s="115" t="s">
        <v>115</v>
      </c>
      <c r="L9">
        <v>2474</v>
      </c>
      <c r="M9">
        <v>2483</v>
      </c>
      <c r="N9">
        <v>400</v>
      </c>
      <c r="O9" s="115" t="s">
        <v>87</v>
      </c>
      <c r="P9">
        <v>0.94441135335843995</v>
      </c>
      <c r="Q9">
        <v>0.94302843628183797</v>
      </c>
      <c r="R9">
        <v>0.246146974134371</v>
      </c>
      <c r="S9">
        <v>4.0671455261088299E-2</v>
      </c>
      <c r="T9">
        <v>0.29673508165263102</v>
      </c>
      <c r="U9">
        <v>0.29673508165263102</v>
      </c>
      <c r="V9">
        <v>0.83</v>
      </c>
      <c r="W9">
        <v>2.84</v>
      </c>
      <c r="X9">
        <v>437615</v>
      </c>
      <c r="Y9">
        <v>24312</v>
      </c>
      <c r="Z9">
        <v>1.1399999999999999</v>
      </c>
      <c r="AA9">
        <v>18</v>
      </c>
      <c r="AB9">
        <v>13</v>
      </c>
      <c r="AC9">
        <v>5</v>
      </c>
      <c r="AD9">
        <v>72.22</v>
      </c>
      <c r="AE9">
        <v>13</v>
      </c>
      <c r="AF9">
        <v>8</v>
      </c>
      <c r="AG9">
        <v>1</v>
      </c>
      <c r="AH9">
        <v>9</v>
      </c>
    </row>
    <row r="10" spans="1:34">
      <c r="A10" s="111">
        <v>19</v>
      </c>
      <c r="B10">
        <v>6645</v>
      </c>
      <c r="C10" s="115" t="s">
        <v>162</v>
      </c>
      <c r="D10" s="115" t="s">
        <v>118</v>
      </c>
      <c r="E10">
        <v>6590</v>
      </c>
      <c r="F10">
        <v>6500</v>
      </c>
      <c r="G10">
        <v>100</v>
      </c>
      <c r="H10" s="115" t="s">
        <v>89</v>
      </c>
      <c r="I10">
        <v>6967</v>
      </c>
      <c r="J10" s="115" t="s">
        <v>400</v>
      </c>
      <c r="K10" s="115" t="s">
        <v>118</v>
      </c>
      <c r="L10">
        <v>1060</v>
      </c>
      <c r="M10">
        <v>1052</v>
      </c>
      <c r="N10">
        <v>600</v>
      </c>
      <c r="O10" s="115" t="s">
        <v>87</v>
      </c>
      <c r="P10">
        <v>0.96218468500607401</v>
      </c>
      <c r="Q10">
        <v>0.94852706313286295</v>
      </c>
      <c r="R10">
        <v>1.5690332362979099E-2</v>
      </c>
      <c r="S10">
        <v>2.2919604455368301E-3</v>
      </c>
      <c r="T10">
        <v>0.123575075097254</v>
      </c>
      <c r="U10">
        <v>0.123575075097254</v>
      </c>
      <c r="V10">
        <v>0.35</v>
      </c>
      <c r="W10">
        <v>2.89</v>
      </c>
      <c r="X10">
        <v>423512</v>
      </c>
      <c r="Y10">
        <v>23528</v>
      </c>
      <c r="Z10">
        <v>1.38</v>
      </c>
      <c r="AA10">
        <v>18</v>
      </c>
      <c r="AB10">
        <v>13</v>
      </c>
      <c r="AC10">
        <v>5</v>
      </c>
      <c r="AD10">
        <v>72.22</v>
      </c>
      <c r="AE10">
        <v>11</v>
      </c>
      <c r="AF10">
        <v>11</v>
      </c>
      <c r="AG10">
        <v>2</v>
      </c>
      <c r="AH10">
        <v>5</v>
      </c>
    </row>
    <row r="11" spans="1:34">
      <c r="A11" s="111">
        <v>194</v>
      </c>
      <c r="B11">
        <v>6371</v>
      </c>
      <c r="C11" s="115" t="s">
        <v>142</v>
      </c>
      <c r="D11" s="115" t="s">
        <v>133</v>
      </c>
      <c r="E11">
        <v>3830</v>
      </c>
      <c r="F11">
        <v>3770</v>
      </c>
      <c r="G11">
        <v>200</v>
      </c>
      <c r="H11" s="115" t="s">
        <v>87</v>
      </c>
      <c r="I11">
        <v>7278</v>
      </c>
      <c r="J11" s="115" t="s">
        <v>114</v>
      </c>
      <c r="K11" s="115" t="s">
        <v>115</v>
      </c>
      <c r="L11">
        <v>2474</v>
      </c>
      <c r="M11">
        <v>2483</v>
      </c>
      <c r="N11">
        <v>300</v>
      </c>
      <c r="O11" s="115" t="s">
        <v>89</v>
      </c>
      <c r="P11">
        <v>0.96079622041869295</v>
      </c>
      <c r="Q11">
        <v>0.90953211353385799</v>
      </c>
      <c r="R11">
        <v>8.0063811461658695E-4</v>
      </c>
      <c r="S11">
        <v>2.0218873896526102E-2</v>
      </c>
      <c r="T11">
        <v>-2.2473746302283901</v>
      </c>
      <c r="U11">
        <v>2.2473746302283901</v>
      </c>
      <c r="V11">
        <v>-5.91</v>
      </c>
      <c r="W11">
        <v>1.21</v>
      </c>
      <c r="X11">
        <v>415459</v>
      </c>
      <c r="Y11">
        <v>41546</v>
      </c>
      <c r="Z11">
        <v>2.39</v>
      </c>
      <c r="AA11">
        <v>10</v>
      </c>
      <c r="AB11">
        <v>8</v>
      </c>
      <c r="AC11">
        <v>2</v>
      </c>
      <c r="AD11">
        <v>80</v>
      </c>
      <c r="AE11">
        <v>10</v>
      </c>
      <c r="AF11">
        <v>6</v>
      </c>
      <c r="AG11">
        <v>0</v>
      </c>
      <c r="AH11">
        <v>4</v>
      </c>
    </row>
    <row r="12" spans="1:34">
      <c r="A12" s="111">
        <v>95</v>
      </c>
      <c r="B12">
        <v>1973</v>
      </c>
      <c r="C12" s="115" t="s">
        <v>401</v>
      </c>
      <c r="D12" s="115" t="s">
        <v>110</v>
      </c>
      <c r="E12">
        <v>3450</v>
      </c>
      <c r="F12">
        <v>3430</v>
      </c>
      <c r="G12">
        <v>300</v>
      </c>
      <c r="H12" s="115" t="s">
        <v>89</v>
      </c>
      <c r="I12">
        <v>6845</v>
      </c>
      <c r="J12" s="115" t="s">
        <v>396</v>
      </c>
      <c r="K12" s="115" t="s">
        <v>118</v>
      </c>
      <c r="L12">
        <v>3140</v>
      </c>
      <c r="M12">
        <v>3125</v>
      </c>
      <c r="N12">
        <v>300</v>
      </c>
      <c r="O12" s="115" t="s">
        <v>87</v>
      </c>
      <c r="P12">
        <v>0.915958724865236</v>
      </c>
      <c r="Q12">
        <v>0.92668689513340596</v>
      </c>
      <c r="R12">
        <v>1.05649263612111E-2</v>
      </c>
      <c r="S12">
        <v>2.0937846042974398E-3</v>
      </c>
      <c r="T12">
        <v>1.51370459682893</v>
      </c>
      <c r="U12">
        <v>1.51370459682893</v>
      </c>
      <c r="V12">
        <v>5.39</v>
      </c>
      <c r="W12">
        <v>8.89</v>
      </c>
      <c r="X12">
        <v>410608</v>
      </c>
      <c r="Y12">
        <v>31585</v>
      </c>
      <c r="Z12">
        <v>1.58</v>
      </c>
      <c r="AA12">
        <v>13</v>
      </c>
      <c r="AB12">
        <v>10</v>
      </c>
      <c r="AC12">
        <v>3</v>
      </c>
      <c r="AD12">
        <v>76.92</v>
      </c>
      <c r="AE12">
        <v>10</v>
      </c>
      <c r="AF12">
        <v>8</v>
      </c>
      <c r="AG12">
        <v>2</v>
      </c>
      <c r="AH12">
        <v>3</v>
      </c>
    </row>
    <row r="13" spans="1:34">
      <c r="A13" s="111">
        <v>84</v>
      </c>
      <c r="B13">
        <v>4062</v>
      </c>
      <c r="C13" s="115" t="s">
        <v>428</v>
      </c>
      <c r="D13" s="115" t="s">
        <v>118</v>
      </c>
      <c r="E13">
        <v>2523</v>
      </c>
      <c r="F13">
        <v>2528</v>
      </c>
      <c r="G13">
        <v>300</v>
      </c>
      <c r="H13" s="115" t="s">
        <v>87</v>
      </c>
      <c r="I13">
        <v>8036</v>
      </c>
      <c r="J13" s="115" t="s">
        <v>417</v>
      </c>
      <c r="K13" s="115" t="s">
        <v>135</v>
      </c>
      <c r="L13">
        <v>6920</v>
      </c>
      <c r="M13">
        <v>6990</v>
      </c>
      <c r="N13">
        <v>100</v>
      </c>
      <c r="O13" s="115" t="s">
        <v>89</v>
      </c>
      <c r="P13">
        <v>0.95133794000569805</v>
      </c>
      <c r="Q13">
        <v>0.92878967965233805</v>
      </c>
      <c r="R13">
        <v>9.4894362235545607E-2</v>
      </c>
      <c r="S13">
        <v>0.143173461673191</v>
      </c>
      <c r="T13">
        <v>-1.2539804847686599E-3</v>
      </c>
      <c r="U13">
        <v>1.2539804847686599E-3</v>
      </c>
      <c r="V13">
        <v>0</v>
      </c>
      <c r="W13">
        <v>8.5</v>
      </c>
      <c r="X13">
        <v>409387</v>
      </c>
      <c r="Y13">
        <v>29242</v>
      </c>
      <c r="Z13">
        <v>1.62</v>
      </c>
      <c r="AA13">
        <v>14</v>
      </c>
      <c r="AB13">
        <v>10</v>
      </c>
      <c r="AC13">
        <v>4</v>
      </c>
      <c r="AD13">
        <v>71.430000000000007</v>
      </c>
      <c r="AE13">
        <v>11</v>
      </c>
      <c r="AF13">
        <v>7</v>
      </c>
      <c r="AG13">
        <v>2</v>
      </c>
      <c r="AH13">
        <v>5</v>
      </c>
    </row>
    <row r="14" spans="1:34">
      <c r="A14" s="111">
        <v>136</v>
      </c>
      <c r="B14">
        <v>7278</v>
      </c>
      <c r="C14" s="115" t="s">
        <v>114</v>
      </c>
      <c r="D14" s="115" t="s">
        <v>115</v>
      </c>
      <c r="E14">
        <v>2474</v>
      </c>
      <c r="F14">
        <v>2483</v>
      </c>
      <c r="G14">
        <v>400</v>
      </c>
      <c r="H14" s="115" t="s">
        <v>89</v>
      </c>
      <c r="I14">
        <v>8002</v>
      </c>
      <c r="J14" s="115" t="s">
        <v>57</v>
      </c>
      <c r="K14" s="115" t="s">
        <v>135</v>
      </c>
      <c r="L14">
        <v>809.9</v>
      </c>
      <c r="M14">
        <v>804.8</v>
      </c>
      <c r="N14">
        <v>1200</v>
      </c>
      <c r="O14" s="115" t="s">
        <v>87</v>
      </c>
      <c r="P14">
        <v>0.90550620363138101</v>
      </c>
      <c r="Q14">
        <v>0.91716965833611297</v>
      </c>
      <c r="R14">
        <v>0.320938395939732</v>
      </c>
      <c r="S14">
        <v>1.9733574305452001E-2</v>
      </c>
      <c r="T14">
        <v>1.06838934232105</v>
      </c>
      <c r="U14">
        <v>1.06838934232105</v>
      </c>
      <c r="V14">
        <v>3.69</v>
      </c>
      <c r="W14">
        <v>2.76</v>
      </c>
      <c r="X14">
        <v>407932</v>
      </c>
      <c r="Y14">
        <v>23996</v>
      </c>
      <c r="Z14">
        <v>1.2</v>
      </c>
      <c r="AA14">
        <v>17</v>
      </c>
      <c r="AB14">
        <v>11</v>
      </c>
      <c r="AC14">
        <v>6</v>
      </c>
      <c r="AD14">
        <v>64.709999999999994</v>
      </c>
      <c r="AE14">
        <v>13</v>
      </c>
      <c r="AF14">
        <v>7</v>
      </c>
      <c r="AG14">
        <v>0</v>
      </c>
      <c r="AH14">
        <v>10</v>
      </c>
    </row>
    <row r="15" spans="1:34">
      <c r="A15" s="111">
        <v>129</v>
      </c>
      <c r="B15">
        <v>5802</v>
      </c>
      <c r="C15" s="115" t="s">
        <v>175</v>
      </c>
      <c r="D15" s="115" t="s">
        <v>176</v>
      </c>
      <c r="E15">
        <v>1576</v>
      </c>
      <c r="F15">
        <v>1580</v>
      </c>
      <c r="G15">
        <v>500</v>
      </c>
      <c r="H15" s="115" t="s">
        <v>89</v>
      </c>
      <c r="I15">
        <v>6371</v>
      </c>
      <c r="J15" s="115" t="s">
        <v>142</v>
      </c>
      <c r="K15" s="115" t="s">
        <v>133</v>
      </c>
      <c r="L15">
        <v>3830</v>
      </c>
      <c r="M15">
        <v>3770</v>
      </c>
      <c r="N15">
        <v>200</v>
      </c>
      <c r="O15" s="115" t="s">
        <v>87</v>
      </c>
      <c r="P15">
        <v>0.98795081219569603</v>
      </c>
      <c r="Q15">
        <v>0.91806448404165997</v>
      </c>
      <c r="R15" s="20">
        <v>3.0312623517447701E-9</v>
      </c>
      <c r="S15">
        <v>8.7031290463385792E-3</v>
      </c>
      <c r="T15">
        <v>2.34912960515515</v>
      </c>
      <c r="U15">
        <v>2.34912960515515</v>
      </c>
      <c r="V15">
        <v>5.4</v>
      </c>
      <c r="W15">
        <v>4.7699999999999996</v>
      </c>
      <c r="X15">
        <v>401064</v>
      </c>
      <c r="Y15">
        <v>28647</v>
      </c>
      <c r="Z15">
        <v>1.48</v>
      </c>
      <c r="AA15">
        <v>14</v>
      </c>
      <c r="AB15">
        <v>9</v>
      </c>
      <c r="AC15">
        <v>5</v>
      </c>
      <c r="AD15">
        <v>64.290000000000006</v>
      </c>
      <c r="AE15">
        <v>12</v>
      </c>
      <c r="AF15">
        <v>6</v>
      </c>
      <c r="AG15">
        <v>1</v>
      </c>
      <c r="AH15">
        <v>7</v>
      </c>
    </row>
    <row r="16" spans="1:34">
      <c r="A16" s="111">
        <v>2</v>
      </c>
      <c r="B16">
        <v>3048</v>
      </c>
      <c r="C16" s="115" t="s">
        <v>402</v>
      </c>
      <c r="D16" s="115" t="s">
        <v>128</v>
      </c>
      <c r="E16">
        <v>1211</v>
      </c>
      <c r="F16">
        <v>1195</v>
      </c>
      <c r="G16">
        <v>900</v>
      </c>
      <c r="H16" s="115" t="s">
        <v>87</v>
      </c>
      <c r="I16">
        <v>4530</v>
      </c>
      <c r="J16" s="115" t="s">
        <v>193</v>
      </c>
      <c r="K16" s="115" t="s">
        <v>188</v>
      </c>
      <c r="L16">
        <v>5390</v>
      </c>
      <c r="M16">
        <v>5250</v>
      </c>
      <c r="N16">
        <v>200</v>
      </c>
      <c r="O16" s="115" t="s">
        <v>89</v>
      </c>
      <c r="P16">
        <v>0.91220624316086796</v>
      </c>
      <c r="Q16">
        <v>0.96546684614918299</v>
      </c>
      <c r="R16">
        <v>8.2657557820563804E-2</v>
      </c>
      <c r="S16">
        <v>0.37251471233681399</v>
      </c>
      <c r="T16">
        <v>-1.4854136579616899</v>
      </c>
      <c r="U16">
        <v>1.4854136579616899</v>
      </c>
      <c r="V16">
        <v>-5.6</v>
      </c>
      <c r="W16">
        <v>2.4300000000000002</v>
      </c>
      <c r="X16">
        <v>397181</v>
      </c>
      <c r="Y16">
        <v>18913</v>
      </c>
      <c r="Z16">
        <v>1.1599999999999999</v>
      </c>
      <c r="AA16">
        <v>21</v>
      </c>
      <c r="AB16">
        <v>14</v>
      </c>
      <c r="AC16">
        <v>7</v>
      </c>
      <c r="AD16">
        <v>66.67</v>
      </c>
      <c r="AE16">
        <v>11</v>
      </c>
      <c r="AF16">
        <v>12</v>
      </c>
      <c r="AG16">
        <v>4</v>
      </c>
      <c r="AH16">
        <v>5</v>
      </c>
    </row>
    <row r="17" spans="1:34">
      <c r="A17" s="111">
        <v>183</v>
      </c>
      <c r="B17">
        <v>6925</v>
      </c>
      <c r="C17" s="115" t="s">
        <v>405</v>
      </c>
      <c r="D17" s="115" t="s">
        <v>118</v>
      </c>
      <c r="E17">
        <v>1666</v>
      </c>
      <c r="F17">
        <v>1645</v>
      </c>
      <c r="G17">
        <v>600</v>
      </c>
      <c r="H17" s="115" t="s">
        <v>87</v>
      </c>
      <c r="I17">
        <v>6967</v>
      </c>
      <c r="J17" s="115" t="s">
        <v>400</v>
      </c>
      <c r="K17" s="115" t="s">
        <v>118</v>
      </c>
      <c r="L17">
        <v>1060</v>
      </c>
      <c r="M17">
        <v>1052</v>
      </c>
      <c r="N17">
        <v>900</v>
      </c>
      <c r="O17" s="115" t="s">
        <v>89</v>
      </c>
      <c r="P17">
        <v>0.93821427188875495</v>
      </c>
      <c r="Q17">
        <v>0.91118652810107204</v>
      </c>
      <c r="R17">
        <v>0.156944287468888</v>
      </c>
      <c r="S17">
        <v>1.5603548411378799E-2</v>
      </c>
      <c r="T17">
        <v>-0.248560448776071</v>
      </c>
      <c r="U17">
        <v>0.248560448776071</v>
      </c>
      <c r="V17">
        <v>-1.04</v>
      </c>
      <c r="W17">
        <v>4.07</v>
      </c>
      <c r="X17">
        <v>394541</v>
      </c>
      <c r="Y17">
        <v>21919</v>
      </c>
      <c r="Z17">
        <v>1.04</v>
      </c>
      <c r="AA17">
        <v>18</v>
      </c>
      <c r="AB17">
        <v>10</v>
      </c>
      <c r="AC17">
        <v>8</v>
      </c>
      <c r="AD17">
        <v>55.56</v>
      </c>
      <c r="AE17">
        <v>12</v>
      </c>
      <c r="AF17">
        <v>6</v>
      </c>
      <c r="AG17">
        <v>3</v>
      </c>
      <c r="AH17">
        <v>9</v>
      </c>
    </row>
    <row r="18" spans="1:34">
      <c r="A18" s="111">
        <v>193</v>
      </c>
      <c r="B18">
        <v>3291</v>
      </c>
      <c r="C18" s="115" t="s">
        <v>147</v>
      </c>
      <c r="D18" s="115" t="s">
        <v>148</v>
      </c>
      <c r="E18">
        <v>1908</v>
      </c>
      <c r="F18">
        <v>1894</v>
      </c>
      <c r="G18">
        <v>500</v>
      </c>
      <c r="H18" s="115" t="s">
        <v>87</v>
      </c>
      <c r="I18">
        <v>5463</v>
      </c>
      <c r="J18" s="115" t="s">
        <v>196</v>
      </c>
      <c r="K18" s="115" t="s">
        <v>125</v>
      </c>
      <c r="L18">
        <v>3210</v>
      </c>
      <c r="M18">
        <v>3235</v>
      </c>
      <c r="N18">
        <v>300</v>
      </c>
      <c r="O18" s="115" t="s">
        <v>89</v>
      </c>
      <c r="P18">
        <v>0.93527160478018001</v>
      </c>
      <c r="Q18">
        <v>0.90953571023771695</v>
      </c>
      <c r="R18">
        <v>9.6042964345954801E-2</v>
      </c>
      <c r="S18">
        <v>6.6049792218870501E-2</v>
      </c>
      <c r="T18">
        <v>-1.3930666787222901</v>
      </c>
      <c r="U18">
        <v>1.3930666787222901</v>
      </c>
      <c r="V18">
        <v>-5.05</v>
      </c>
      <c r="W18">
        <v>2.42</v>
      </c>
      <c r="X18">
        <v>380986</v>
      </c>
      <c r="Y18">
        <v>21166</v>
      </c>
      <c r="Z18">
        <v>1.1100000000000001</v>
      </c>
      <c r="AA18">
        <v>18</v>
      </c>
      <c r="AB18">
        <v>13</v>
      </c>
      <c r="AC18">
        <v>5</v>
      </c>
      <c r="AD18">
        <v>72.22</v>
      </c>
      <c r="AE18">
        <v>13</v>
      </c>
      <c r="AF18">
        <v>7</v>
      </c>
      <c r="AG18">
        <v>1</v>
      </c>
      <c r="AH18">
        <v>10</v>
      </c>
    </row>
    <row r="19" spans="1:34">
      <c r="A19" s="111">
        <v>213</v>
      </c>
      <c r="B19">
        <v>3105</v>
      </c>
      <c r="C19" s="115" t="s">
        <v>122</v>
      </c>
      <c r="D19" s="115" t="s">
        <v>118</v>
      </c>
      <c r="E19">
        <v>988</v>
      </c>
      <c r="F19">
        <v>979</v>
      </c>
      <c r="G19">
        <v>1100</v>
      </c>
      <c r="H19" s="115" t="s">
        <v>87</v>
      </c>
      <c r="I19">
        <v>6471</v>
      </c>
      <c r="J19" s="115" t="s">
        <v>190</v>
      </c>
      <c r="K19" s="115" t="s">
        <v>133</v>
      </c>
      <c r="L19">
        <v>1081</v>
      </c>
      <c r="M19">
        <v>1076</v>
      </c>
      <c r="N19">
        <v>1000</v>
      </c>
      <c r="O19" s="115" t="s">
        <v>89</v>
      </c>
      <c r="P19">
        <v>0.95137458785663598</v>
      </c>
      <c r="Q19">
        <v>0.906428007434395</v>
      </c>
      <c r="R19">
        <v>0.33913477406017101</v>
      </c>
      <c r="S19">
        <v>0.216482396692146</v>
      </c>
      <c r="T19">
        <v>-9.06433277184161E-2</v>
      </c>
      <c r="U19">
        <v>9.06433277184161E-2</v>
      </c>
      <c r="V19">
        <v>-0.28999999999999998</v>
      </c>
      <c r="W19">
        <v>0.08</v>
      </c>
      <c r="X19">
        <v>378866</v>
      </c>
      <c r="Y19">
        <v>25258</v>
      </c>
      <c r="Z19">
        <v>1.1299999999999999</v>
      </c>
      <c r="AA19">
        <v>15</v>
      </c>
      <c r="AB19">
        <v>8</v>
      </c>
      <c r="AC19">
        <v>7</v>
      </c>
      <c r="AD19">
        <v>53.33</v>
      </c>
      <c r="AE19">
        <v>13</v>
      </c>
      <c r="AF19">
        <v>6</v>
      </c>
      <c r="AG19">
        <v>1</v>
      </c>
      <c r="AH19">
        <v>8</v>
      </c>
    </row>
    <row r="20" spans="1:34">
      <c r="A20" s="111">
        <v>37</v>
      </c>
      <c r="B20">
        <v>7181</v>
      </c>
      <c r="C20" s="115" t="s">
        <v>189</v>
      </c>
      <c r="D20" s="115" t="s">
        <v>144</v>
      </c>
      <c r="E20">
        <v>1902</v>
      </c>
      <c r="F20">
        <v>1902</v>
      </c>
      <c r="G20">
        <v>500</v>
      </c>
      <c r="H20" s="115" t="s">
        <v>89</v>
      </c>
      <c r="I20">
        <v>7189</v>
      </c>
      <c r="J20" s="115" t="s">
        <v>112</v>
      </c>
      <c r="K20" s="115" t="s">
        <v>113</v>
      </c>
      <c r="L20">
        <v>854</v>
      </c>
      <c r="M20">
        <v>843</v>
      </c>
      <c r="N20">
        <v>1100</v>
      </c>
      <c r="O20" s="115" t="s">
        <v>87</v>
      </c>
      <c r="P20">
        <v>0.92037495418199899</v>
      </c>
      <c r="Q20">
        <v>0.94180264701515704</v>
      </c>
      <c r="R20">
        <v>0.19824052017437599</v>
      </c>
      <c r="S20">
        <v>0.13240396859484199</v>
      </c>
      <c r="T20">
        <v>0.25445315110351802</v>
      </c>
      <c r="U20">
        <v>0.25445315110351802</v>
      </c>
      <c r="V20">
        <v>1.25</v>
      </c>
      <c r="W20">
        <v>2.4900000000000002</v>
      </c>
      <c r="X20">
        <v>378055</v>
      </c>
      <c r="Y20">
        <v>15752</v>
      </c>
      <c r="Z20">
        <v>0.8</v>
      </c>
      <c r="AA20">
        <v>24</v>
      </c>
      <c r="AB20">
        <v>15</v>
      </c>
      <c r="AC20">
        <v>9</v>
      </c>
      <c r="AD20">
        <v>62.5</v>
      </c>
      <c r="AE20">
        <v>10</v>
      </c>
      <c r="AF20">
        <v>12</v>
      </c>
      <c r="AG20">
        <v>4</v>
      </c>
      <c r="AH20">
        <v>8</v>
      </c>
    </row>
    <row r="21" spans="1:34">
      <c r="A21" s="111">
        <v>103</v>
      </c>
      <c r="B21">
        <v>6752</v>
      </c>
      <c r="C21" s="115" t="s">
        <v>139</v>
      </c>
      <c r="D21" s="115" t="s">
        <v>118</v>
      </c>
      <c r="E21">
        <v>978.8</v>
      </c>
      <c r="F21">
        <v>981</v>
      </c>
      <c r="G21">
        <v>1100</v>
      </c>
      <c r="H21" s="115" t="s">
        <v>87</v>
      </c>
      <c r="I21">
        <v>7189</v>
      </c>
      <c r="J21" s="115" t="s">
        <v>112</v>
      </c>
      <c r="K21" s="115" t="s">
        <v>113</v>
      </c>
      <c r="L21">
        <v>854</v>
      </c>
      <c r="M21">
        <v>843</v>
      </c>
      <c r="N21">
        <v>1300</v>
      </c>
      <c r="O21" s="115" t="s">
        <v>89</v>
      </c>
      <c r="P21">
        <v>0.92669934261455</v>
      </c>
      <c r="Q21">
        <v>0.92478370037393998</v>
      </c>
      <c r="R21">
        <v>0.34558007117752998</v>
      </c>
      <c r="S21">
        <v>2.9501692130613998E-2</v>
      </c>
      <c r="T21">
        <v>-0.71822354373653696</v>
      </c>
      <c r="U21">
        <v>0.71822354373653696</v>
      </c>
      <c r="V21">
        <v>-2.98</v>
      </c>
      <c r="W21">
        <v>1.56</v>
      </c>
      <c r="X21">
        <v>376546</v>
      </c>
      <c r="Y21">
        <v>25103</v>
      </c>
      <c r="Z21">
        <v>1.21</v>
      </c>
      <c r="AA21">
        <v>15</v>
      </c>
      <c r="AB21">
        <v>10</v>
      </c>
      <c r="AC21">
        <v>5</v>
      </c>
      <c r="AD21">
        <v>66.67</v>
      </c>
      <c r="AE21">
        <v>12</v>
      </c>
      <c r="AF21">
        <v>9</v>
      </c>
      <c r="AG21">
        <v>3</v>
      </c>
      <c r="AH21">
        <v>3</v>
      </c>
    </row>
    <row r="22" spans="1:34">
      <c r="A22" s="111">
        <v>115</v>
      </c>
      <c r="B22">
        <v>1973</v>
      </c>
      <c r="C22" s="115" t="s">
        <v>401</v>
      </c>
      <c r="D22" s="115" t="s">
        <v>110</v>
      </c>
      <c r="E22">
        <v>3450</v>
      </c>
      <c r="F22">
        <v>3430</v>
      </c>
      <c r="G22">
        <v>300</v>
      </c>
      <c r="H22" s="115" t="s">
        <v>89</v>
      </c>
      <c r="I22">
        <v>3635</v>
      </c>
      <c r="J22" s="115" t="s">
        <v>116</v>
      </c>
      <c r="K22" s="115" t="s">
        <v>110</v>
      </c>
      <c r="L22">
        <v>2585</v>
      </c>
      <c r="M22">
        <v>2597</v>
      </c>
      <c r="N22">
        <v>400</v>
      </c>
      <c r="O22" s="115" t="s">
        <v>87</v>
      </c>
      <c r="P22">
        <v>0.95923812236522799</v>
      </c>
      <c r="Q22">
        <v>0.92143371237510796</v>
      </c>
      <c r="R22" s="20">
        <v>7.2735724917939601E-2</v>
      </c>
      <c r="S22">
        <v>5.3471819015808497E-2</v>
      </c>
      <c r="T22">
        <v>0.65664139065541205</v>
      </c>
      <c r="U22">
        <v>0.65664139065541205</v>
      </c>
      <c r="V22">
        <v>1.85</v>
      </c>
      <c r="W22">
        <v>0.95</v>
      </c>
      <c r="X22">
        <v>374173</v>
      </c>
      <c r="Y22">
        <v>24945</v>
      </c>
      <c r="Z22">
        <v>1.33</v>
      </c>
      <c r="AA22">
        <v>15</v>
      </c>
      <c r="AB22">
        <v>11</v>
      </c>
      <c r="AC22">
        <v>4</v>
      </c>
      <c r="AD22">
        <v>73.33</v>
      </c>
      <c r="AE22">
        <v>13</v>
      </c>
      <c r="AF22">
        <v>7</v>
      </c>
      <c r="AG22">
        <v>1</v>
      </c>
      <c r="AH22">
        <v>7</v>
      </c>
    </row>
    <row r="23" spans="1:34">
      <c r="A23" s="111">
        <v>90</v>
      </c>
      <c r="B23">
        <v>1820</v>
      </c>
      <c r="C23" s="115" t="s">
        <v>158</v>
      </c>
      <c r="D23" s="115" t="s">
        <v>108</v>
      </c>
      <c r="E23">
        <v>2385</v>
      </c>
      <c r="F23">
        <v>2356</v>
      </c>
      <c r="G23">
        <v>400</v>
      </c>
      <c r="H23" s="115" t="s">
        <v>87</v>
      </c>
      <c r="I23">
        <v>7278</v>
      </c>
      <c r="J23" s="115" t="s">
        <v>114</v>
      </c>
      <c r="K23" s="115" t="s">
        <v>115</v>
      </c>
      <c r="L23">
        <v>2474</v>
      </c>
      <c r="M23">
        <v>2483</v>
      </c>
      <c r="N23">
        <v>400</v>
      </c>
      <c r="O23" s="115" t="s">
        <v>89</v>
      </c>
      <c r="P23">
        <v>0.94036626955675096</v>
      </c>
      <c r="Q23">
        <v>0.92770771066963897</v>
      </c>
      <c r="R23" s="20">
        <v>0.124430038386557</v>
      </c>
      <c r="S23">
        <v>2.5670548434412101E-2</v>
      </c>
      <c r="T23">
        <v>-4.9682617389517597E-2</v>
      </c>
      <c r="U23">
        <v>4.9682617389517597E-2</v>
      </c>
      <c r="V23">
        <v>-0.14000000000000001</v>
      </c>
      <c r="W23">
        <v>5.1100000000000003</v>
      </c>
      <c r="X23">
        <v>350930</v>
      </c>
      <c r="Y23">
        <v>25066</v>
      </c>
      <c r="Z23">
        <v>1.22</v>
      </c>
      <c r="AA23">
        <v>14</v>
      </c>
      <c r="AB23">
        <v>9</v>
      </c>
      <c r="AC23">
        <v>5</v>
      </c>
      <c r="AD23">
        <v>64.290000000000006</v>
      </c>
      <c r="AE23">
        <v>12</v>
      </c>
      <c r="AF23">
        <v>8</v>
      </c>
      <c r="AG23">
        <v>2</v>
      </c>
      <c r="AH23">
        <v>4</v>
      </c>
    </row>
    <row r="24" spans="1:34">
      <c r="A24" s="111">
        <v>224</v>
      </c>
      <c r="B24">
        <v>3635</v>
      </c>
      <c r="C24" s="115" t="s">
        <v>116</v>
      </c>
      <c r="D24" s="115" t="s">
        <v>110</v>
      </c>
      <c r="E24">
        <v>2585</v>
      </c>
      <c r="F24">
        <v>2597</v>
      </c>
      <c r="G24">
        <v>400</v>
      </c>
      <c r="H24" s="115" t="s">
        <v>89</v>
      </c>
      <c r="I24">
        <v>6925</v>
      </c>
      <c r="J24" s="115" t="s">
        <v>405</v>
      </c>
      <c r="K24" s="115" t="s">
        <v>118</v>
      </c>
      <c r="L24">
        <v>1666</v>
      </c>
      <c r="M24">
        <v>1645</v>
      </c>
      <c r="N24">
        <v>600</v>
      </c>
      <c r="O24" s="115" t="s">
        <v>87</v>
      </c>
      <c r="P24">
        <v>0.90358091439543398</v>
      </c>
      <c r="Q24">
        <v>0.90477309767286596</v>
      </c>
      <c r="R24" s="20">
        <v>8.3180531338210295E-2</v>
      </c>
      <c r="S24">
        <v>2.72148189500095E-2</v>
      </c>
      <c r="T24">
        <v>0.80078745144176999</v>
      </c>
      <c r="U24">
        <v>0.80078745144176999</v>
      </c>
      <c r="V24">
        <v>2.17</v>
      </c>
      <c r="W24">
        <v>4.99</v>
      </c>
      <c r="X24">
        <v>349462</v>
      </c>
      <c r="Y24">
        <v>17473</v>
      </c>
      <c r="Z24">
        <v>0.84</v>
      </c>
      <c r="AA24">
        <v>20</v>
      </c>
      <c r="AB24">
        <v>12</v>
      </c>
      <c r="AC24">
        <v>8</v>
      </c>
      <c r="AD24">
        <v>60</v>
      </c>
      <c r="AE24">
        <v>10</v>
      </c>
      <c r="AF24">
        <v>11</v>
      </c>
      <c r="AG24">
        <v>4</v>
      </c>
      <c r="AH24">
        <v>5</v>
      </c>
    </row>
    <row r="25" spans="1:34">
      <c r="A25" s="111">
        <v>156</v>
      </c>
      <c r="B25">
        <v>1911</v>
      </c>
      <c r="C25" s="115" t="s">
        <v>137</v>
      </c>
      <c r="D25" s="115" t="s">
        <v>108</v>
      </c>
      <c r="E25">
        <v>1615</v>
      </c>
      <c r="F25">
        <v>1588</v>
      </c>
      <c r="G25">
        <v>600</v>
      </c>
      <c r="H25" s="115" t="s">
        <v>87</v>
      </c>
      <c r="I25">
        <v>6770</v>
      </c>
      <c r="J25" s="115" t="s">
        <v>50</v>
      </c>
      <c r="K25" s="115" t="s">
        <v>118</v>
      </c>
      <c r="L25">
        <v>2477</v>
      </c>
      <c r="M25">
        <v>2488</v>
      </c>
      <c r="N25">
        <v>400</v>
      </c>
      <c r="O25" s="115" t="s">
        <v>89</v>
      </c>
      <c r="P25">
        <v>0.92133415841139799</v>
      </c>
      <c r="Q25">
        <v>0.91428057855706801</v>
      </c>
      <c r="R25">
        <v>0.33186401161145601</v>
      </c>
      <c r="S25">
        <v>0.105392470416628</v>
      </c>
      <c r="T25">
        <v>-2.1965770728630298</v>
      </c>
      <c r="U25">
        <v>2.1965770728630298</v>
      </c>
      <c r="V25">
        <v>-9.52</v>
      </c>
      <c r="W25">
        <v>4.26</v>
      </c>
      <c r="X25">
        <v>349410</v>
      </c>
      <c r="Y25">
        <v>21838</v>
      </c>
      <c r="Z25">
        <v>1.17</v>
      </c>
      <c r="AA25">
        <v>16</v>
      </c>
      <c r="AB25">
        <v>12</v>
      </c>
      <c r="AC25">
        <v>4</v>
      </c>
      <c r="AD25">
        <v>75</v>
      </c>
      <c r="AE25">
        <v>11</v>
      </c>
      <c r="AF25">
        <v>9</v>
      </c>
      <c r="AG25">
        <v>2</v>
      </c>
      <c r="AH25">
        <v>5</v>
      </c>
    </row>
    <row r="26" spans="1:34">
      <c r="A26" s="111">
        <v>215</v>
      </c>
      <c r="B26">
        <v>1824</v>
      </c>
      <c r="C26" s="115" t="s">
        <v>404</v>
      </c>
      <c r="D26" s="115" t="s">
        <v>108</v>
      </c>
      <c r="E26">
        <v>1005</v>
      </c>
      <c r="F26">
        <v>984</v>
      </c>
      <c r="G26">
        <v>1000</v>
      </c>
      <c r="H26" s="115" t="s">
        <v>87</v>
      </c>
      <c r="I26">
        <v>4182</v>
      </c>
      <c r="J26" s="115" t="s">
        <v>119</v>
      </c>
      <c r="K26" s="115" t="s">
        <v>88</v>
      </c>
      <c r="L26">
        <v>1680</v>
      </c>
      <c r="M26">
        <v>1641</v>
      </c>
      <c r="N26">
        <v>600</v>
      </c>
      <c r="O26" s="115" t="s">
        <v>89</v>
      </c>
      <c r="P26">
        <v>0.92455907948100202</v>
      </c>
      <c r="Q26">
        <v>0.90544770055721902</v>
      </c>
      <c r="R26">
        <v>0.364320649137859</v>
      </c>
      <c r="S26">
        <v>0.18293019671966099</v>
      </c>
      <c r="T26">
        <v>-2.2479145285729598</v>
      </c>
      <c r="U26">
        <v>2.2479145285729598</v>
      </c>
      <c r="V26">
        <v>-8.5399999999999991</v>
      </c>
      <c r="W26">
        <v>0.06</v>
      </c>
      <c r="X26">
        <v>348724</v>
      </c>
      <c r="Y26">
        <v>17436</v>
      </c>
      <c r="Z26">
        <v>0.82</v>
      </c>
      <c r="AA26">
        <v>20</v>
      </c>
      <c r="AB26">
        <v>12</v>
      </c>
      <c r="AC26">
        <v>8</v>
      </c>
      <c r="AD26">
        <v>60</v>
      </c>
      <c r="AE26">
        <v>10</v>
      </c>
      <c r="AF26">
        <v>11</v>
      </c>
      <c r="AG26">
        <v>6</v>
      </c>
      <c r="AH26">
        <v>3</v>
      </c>
    </row>
    <row r="27" spans="1:34">
      <c r="A27" s="111">
        <v>87</v>
      </c>
      <c r="B27">
        <v>1963</v>
      </c>
      <c r="C27" s="115" t="s">
        <v>174</v>
      </c>
      <c r="D27" s="115" t="s">
        <v>108</v>
      </c>
      <c r="E27">
        <v>1630</v>
      </c>
      <c r="F27">
        <v>1630</v>
      </c>
      <c r="G27">
        <v>600</v>
      </c>
      <c r="H27" s="115" t="s">
        <v>87</v>
      </c>
      <c r="I27">
        <v>7272</v>
      </c>
      <c r="J27" s="115" t="s">
        <v>385</v>
      </c>
      <c r="K27" s="115" t="s">
        <v>115</v>
      </c>
      <c r="L27">
        <v>2295</v>
      </c>
      <c r="M27">
        <v>2285</v>
      </c>
      <c r="N27">
        <v>400</v>
      </c>
      <c r="O27" s="115" t="s">
        <v>89</v>
      </c>
      <c r="P27">
        <v>0.973498205889474</v>
      </c>
      <c r="Q27">
        <v>0.92809503870390098</v>
      </c>
      <c r="R27" s="20">
        <v>1.3723202649699E-2</v>
      </c>
      <c r="S27" s="20">
        <v>2.6356353948609601E-5</v>
      </c>
      <c r="T27">
        <v>-0.62504884722282705</v>
      </c>
      <c r="U27">
        <v>0.62504884722282705</v>
      </c>
      <c r="V27">
        <v>-1.49</v>
      </c>
      <c r="W27">
        <v>7</v>
      </c>
      <c r="X27">
        <v>347406</v>
      </c>
      <c r="Y27">
        <v>16543</v>
      </c>
      <c r="Z27">
        <v>0.82</v>
      </c>
      <c r="AA27">
        <v>21</v>
      </c>
      <c r="AB27">
        <v>14</v>
      </c>
      <c r="AC27">
        <v>7</v>
      </c>
      <c r="AD27">
        <v>66.67</v>
      </c>
      <c r="AE27">
        <v>10</v>
      </c>
      <c r="AF27">
        <v>12</v>
      </c>
      <c r="AG27">
        <v>5</v>
      </c>
      <c r="AH27">
        <v>4</v>
      </c>
    </row>
    <row r="28" spans="1:34">
      <c r="A28" s="111">
        <v>35</v>
      </c>
      <c r="B28">
        <v>4182</v>
      </c>
      <c r="C28" s="115" t="s">
        <v>119</v>
      </c>
      <c r="D28" s="115" t="s">
        <v>88</v>
      </c>
      <c r="E28">
        <v>1680</v>
      </c>
      <c r="F28">
        <v>1641</v>
      </c>
      <c r="G28">
        <v>600</v>
      </c>
      <c r="H28" s="115" t="s">
        <v>89</v>
      </c>
      <c r="I28">
        <v>7278</v>
      </c>
      <c r="J28" s="115" t="s">
        <v>114</v>
      </c>
      <c r="K28" s="115" t="s">
        <v>115</v>
      </c>
      <c r="L28">
        <v>2474</v>
      </c>
      <c r="M28">
        <v>2483</v>
      </c>
      <c r="N28">
        <v>400</v>
      </c>
      <c r="O28" s="115" t="s">
        <v>87</v>
      </c>
      <c r="P28">
        <v>0.93791033631440501</v>
      </c>
      <c r="Q28">
        <v>0.94196551562617503</v>
      </c>
      <c r="R28">
        <v>0.138182779838631</v>
      </c>
      <c r="S28">
        <v>1.6494328246945699E-2</v>
      </c>
      <c r="T28">
        <v>2.66125121529374E-2</v>
      </c>
      <c r="U28">
        <v>2.66125121529374E-2</v>
      </c>
      <c r="V28">
        <v>0.1</v>
      </c>
      <c r="W28">
        <v>0.87</v>
      </c>
      <c r="X28">
        <v>344277</v>
      </c>
      <c r="Y28">
        <v>26483</v>
      </c>
      <c r="Z28">
        <v>1.33</v>
      </c>
      <c r="AA28">
        <v>13</v>
      </c>
      <c r="AB28">
        <v>8</v>
      </c>
      <c r="AC28">
        <v>5</v>
      </c>
      <c r="AD28">
        <v>61.54</v>
      </c>
      <c r="AE28">
        <v>10</v>
      </c>
      <c r="AF28">
        <v>7</v>
      </c>
      <c r="AG28">
        <v>3</v>
      </c>
      <c r="AH28">
        <v>3</v>
      </c>
    </row>
    <row r="29" spans="1:34">
      <c r="A29" s="111">
        <v>190</v>
      </c>
      <c r="B29">
        <v>4182</v>
      </c>
      <c r="C29" s="115" t="s">
        <v>119</v>
      </c>
      <c r="D29" s="115" t="s">
        <v>88</v>
      </c>
      <c r="E29">
        <v>1680</v>
      </c>
      <c r="F29">
        <v>1641</v>
      </c>
      <c r="G29">
        <v>600</v>
      </c>
      <c r="H29" s="115" t="s">
        <v>89</v>
      </c>
      <c r="I29">
        <v>7189</v>
      </c>
      <c r="J29" s="115" t="s">
        <v>112</v>
      </c>
      <c r="K29" s="115" t="s">
        <v>113</v>
      </c>
      <c r="L29">
        <v>854</v>
      </c>
      <c r="M29">
        <v>843</v>
      </c>
      <c r="N29">
        <v>1200</v>
      </c>
      <c r="O29" s="115" t="s">
        <v>87</v>
      </c>
      <c r="P29">
        <v>0.97095075227105998</v>
      </c>
      <c r="Q29">
        <v>0.91051339037299095</v>
      </c>
      <c r="R29">
        <v>0.23895203730605799</v>
      </c>
      <c r="S29">
        <v>5.4834719755173997E-2</v>
      </c>
      <c r="T29">
        <v>0.59801593610066395</v>
      </c>
      <c r="U29">
        <v>0.59801593610066395</v>
      </c>
      <c r="V29">
        <v>1.72</v>
      </c>
      <c r="W29">
        <v>2.74</v>
      </c>
      <c r="X29">
        <v>337833</v>
      </c>
      <c r="Y29">
        <v>21115</v>
      </c>
      <c r="Z29">
        <v>1.1200000000000001</v>
      </c>
      <c r="AA29">
        <v>16</v>
      </c>
      <c r="AB29">
        <v>11</v>
      </c>
      <c r="AC29">
        <v>5</v>
      </c>
      <c r="AD29">
        <v>68.75</v>
      </c>
      <c r="AE29">
        <v>11</v>
      </c>
      <c r="AF29">
        <v>8</v>
      </c>
      <c r="AG29">
        <v>3</v>
      </c>
      <c r="AH29">
        <v>5</v>
      </c>
    </row>
    <row r="30" spans="1:34">
      <c r="A30" s="111">
        <v>160</v>
      </c>
      <c r="B30">
        <v>5110</v>
      </c>
      <c r="C30" s="115" t="s">
        <v>171</v>
      </c>
      <c r="D30" s="115" t="s">
        <v>172</v>
      </c>
      <c r="E30">
        <v>1405</v>
      </c>
      <c r="F30">
        <v>1393</v>
      </c>
      <c r="G30">
        <v>600</v>
      </c>
      <c r="H30" s="115" t="s">
        <v>89</v>
      </c>
      <c r="I30">
        <v>6923</v>
      </c>
      <c r="J30" s="115" t="s">
        <v>146</v>
      </c>
      <c r="K30" s="115" t="s">
        <v>118</v>
      </c>
      <c r="L30">
        <v>3050</v>
      </c>
      <c r="M30">
        <v>3010</v>
      </c>
      <c r="N30">
        <v>300</v>
      </c>
      <c r="O30" s="115" t="s">
        <v>87</v>
      </c>
      <c r="P30">
        <v>0.95887945284426102</v>
      </c>
      <c r="Q30">
        <v>0.91393554922716302</v>
      </c>
      <c r="R30">
        <v>0.124557568888904</v>
      </c>
      <c r="S30" s="20">
        <v>0.10692867555043099</v>
      </c>
      <c r="T30">
        <v>0.586357763607813</v>
      </c>
      <c r="U30">
        <v>0.586357763607813</v>
      </c>
      <c r="V30">
        <v>1.17</v>
      </c>
      <c r="W30">
        <v>7.44</v>
      </c>
      <c r="X30">
        <v>336458</v>
      </c>
      <c r="Y30">
        <v>16823</v>
      </c>
      <c r="Z30">
        <v>1.01</v>
      </c>
      <c r="AA30">
        <v>20</v>
      </c>
      <c r="AB30">
        <v>12</v>
      </c>
      <c r="AC30">
        <v>8</v>
      </c>
      <c r="AD30">
        <v>60</v>
      </c>
      <c r="AE30">
        <v>14</v>
      </c>
      <c r="AF30">
        <v>8</v>
      </c>
      <c r="AG30">
        <v>0</v>
      </c>
      <c r="AH30">
        <v>12</v>
      </c>
    </row>
    <row r="31" spans="1:34">
      <c r="A31" s="111">
        <v>251</v>
      </c>
      <c r="B31">
        <v>3105</v>
      </c>
      <c r="C31" s="115" t="s">
        <v>122</v>
      </c>
      <c r="D31" s="115" t="s">
        <v>118</v>
      </c>
      <c r="E31">
        <v>988</v>
      </c>
      <c r="F31">
        <v>979</v>
      </c>
      <c r="G31">
        <v>1100</v>
      </c>
      <c r="H31" s="115" t="s">
        <v>89</v>
      </c>
      <c r="I31">
        <v>3116</v>
      </c>
      <c r="J31" s="115" t="s">
        <v>168</v>
      </c>
      <c r="K31" s="115" t="s">
        <v>115</v>
      </c>
      <c r="L31">
        <v>1740</v>
      </c>
      <c r="M31">
        <v>1715</v>
      </c>
      <c r="N31">
        <v>600</v>
      </c>
      <c r="O31" s="115" t="s">
        <v>87</v>
      </c>
      <c r="P31">
        <v>0.97105203544110297</v>
      </c>
      <c r="Q31">
        <v>0.90203477118504805</v>
      </c>
      <c r="R31">
        <v>0.15572321494080299</v>
      </c>
      <c r="S31">
        <v>0.14126585351236901</v>
      </c>
      <c r="T31">
        <v>0.560602397591485</v>
      </c>
      <c r="U31">
        <v>0.560602397591485</v>
      </c>
      <c r="V31">
        <v>1</v>
      </c>
      <c r="W31">
        <v>4.66</v>
      </c>
      <c r="X31">
        <v>331195</v>
      </c>
      <c r="Y31">
        <v>18400</v>
      </c>
      <c r="Z31">
        <v>0.89</v>
      </c>
      <c r="AA31">
        <v>18</v>
      </c>
      <c r="AB31">
        <v>12</v>
      </c>
      <c r="AC31">
        <v>6</v>
      </c>
      <c r="AD31">
        <v>66.67</v>
      </c>
      <c r="AE31">
        <v>12</v>
      </c>
      <c r="AF31">
        <v>6</v>
      </c>
      <c r="AG31">
        <v>3</v>
      </c>
      <c r="AH31">
        <v>9</v>
      </c>
    </row>
    <row r="32" spans="1:34">
      <c r="A32" s="111">
        <v>137</v>
      </c>
      <c r="B32">
        <v>6371</v>
      </c>
      <c r="C32" s="115" t="s">
        <v>142</v>
      </c>
      <c r="D32" s="115" t="s">
        <v>133</v>
      </c>
      <c r="E32">
        <v>3830</v>
      </c>
      <c r="F32">
        <v>3770</v>
      </c>
      <c r="G32">
        <v>200</v>
      </c>
      <c r="H32" s="115" t="s">
        <v>87</v>
      </c>
      <c r="I32">
        <v>7259</v>
      </c>
      <c r="J32" s="115" t="s">
        <v>55</v>
      </c>
      <c r="K32" s="115" t="s">
        <v>115</v>
      </c>
      <c r="L32">
        <v>4140</v>
      </c>
      <c r="M32">
        <v>4150</v>
      </c>
      <c r="N32">
        <v>200</v>
      </c>
      <c r="O32" s="115" t="s">
        <v>89</v>
      </c>
      <c r="P32">
        <v>0.96300036446579196</v>
      </c>
      <c r="Q32">
        <v>0.91678815135666603</v>
      </c>
      <c r="R32">
        <v>4.2230938612333402E-2</v>
      </c>
      <c r="S32">
        <v>7.5376884251349297E-3</v>
      </c>
      <c r="T32">
        <v>-1.31730422006421</v>
      </c>
      <c r="U32">
        <v>1.31730422006421</v>
      </c>
      <c r="V32">
        <v>-7.84</v>
      </c>
      <c r="W32">
        <v>9.16</v>
      </c>
      <c r="X32">
        <v>326064</v>
      </c>
      <c r="Y32">
        <v>36229</v>
      </c>
      <c r="Z32">
        <v>2.0699999999999998</v>
      </c>
      <c r="AA32">
        <v>9</v>
      </c>
      <c r="AB32">
        <v>7</v>
      </c>
      <c r="AC32">
        <v>2</v>
      </c>
      <c r="AD32">
        <v>77.78</v>
      </c>
      <c r="AE32">
        <v>11</v>
      </c>
      <c r="AF32">
        <v>6</v>
      </c>
      <c r="AG32">
        <v>0</v>
      </c>
      <c r="AH32">
        <v>3</v>
      </c>
    </row>
    <row r="33" spans="1:34">
      <c r="A33" s="111">
        <v>143</v>
      </c>
      <c r="B33">
        <v>5802</v>
      </c>
      <c r="C33" s="115" t="s">
        <v>175</v>
      </c>
      <c r="D33" s="115" t="s">
        <v>176</v>
      </c>
      <c r="E33">
        <v>1576</v>
      </c>
      <c r="F33">
        <v>1580</v>
      </c>
      <c r="G33">
        <v>600</v>
      </c>
      <c r="H33" s="115" t="s">
        <v>87</v>
      </c>
      <c r="I33">
        <v>5991</v>
      </c>
      <c r="J33" s="115" t="s">
        <v>149</v>
      </c>
      <c r="K33" s="115" t="s">
        <v>150</v>
      </c>
      <c r="L33">
        <v>975</v>
      </c>
      <c r="M33">
        <v>965</v>
      </c>
      <c r="N33">
        <v>1000</v>
      </c>
      <c r="O33" s="115" t="s">
        <v>89</v>
      </c>
      <c r="P33">
        <v>0.98747727580127298</v>
      </c>
      <c r="Q33">
        <v>0.91596750256522796</v>
      </c>
      <c r="R33">
        <v>7.2993987898589296E-2</v>
      </c>
      <c r="S33" s="20">
        <v>0.13861752432966301</v>
      </c>
      <c r="T33">
        <v>-0.55406248858861695</v>
      </c>
      <c r="U33">
        <v>0.55406248858861695</v>
      </c>
      <c r="V33">
        <v>-1.02</v>
      </c>
      <c r="W33">
        <v>1.79</v>
      </c>
      <c r="X33">
        <v>321933</v>
      </c>
      <c r="Y33">
        <v>22995</v>
      </c>
      <c r="Z33">
        <v>1.1299999999999999</v>
      </c>
      <c r="AA33">
        <v>14</v>
      </c>
      <c r="AB33">
        <v>9</v>
      </c>
      <c r="AC33">
        <v>5</v>
      </c>
      <c r="AD33">
        <v>64.290000000000006</v>
      </c>
      <c r="AE33">
        <v>15</v>
      </c>
      <c r="AF33">
        <v>6</v>
      </c>
      <c r="AG33">
        <v>0</v>
      </c>
      <c r="AH33">
        <v>8</v>
      </c>
    </row>
    <row r="34" spans="1:34">
      <c r="A34" s="111">
        <v>157</v>
      </c>
      <c r="B34">
        <v>8377</v>
      </c>
      <c r="C34" s="115" t="s">
        <v>127</v>
      </c>
      <c r="D34" s="115" t="s">
        <v>113</v>
      </c>
      <c r="E34">
        <v>1121</v>
      </c>
      <c r="F34">
        <v>1117</v>
      </c>
      <c r="G34">
        <v>900</v>
      </c>
      <c r="H34" s="115" t="s">
        <v>89</v>
      </c>
      <c r="I34">
        <v>9505</v>
      </c>
      <c r="J34" s="115" t="s">
        <v>166</v>
      </c>
      <c r="K34" s="115" t="s">
        <v>167</v>
      </c>
      <c r="L34">
        <v>783</v>
      </c>
      <c r="M34">
        <v>776</v>
      </c>
      <c r="N34">
        <v>1300</v>
      </c>
      <c r="O34" s="115" t="s">
        <v>87</v>
      </c>
      <c r="P34">
        <v>0.94617602257710598</v>
      </c>
      <c r="Q34">
        <v>0.914243105465946</v>
      </c>
      <c r="R34">
        <v>0.11111494158504701</v>
      </c>
      <c r="S34">
        <v>0.16065080593629799</v>
      </c>
      <c r="T34">
        <v>0.132714387547956</v>
      </c>
      <c r="U34">
        <v>0.132714387547956</v>
      </c>
      <c r="V34">
        <v>0.38</v>
      </c>
      <c r="W34">
        <v>0.35</v>
      </c>
      <c r="X34">
        <v>310466</v>
      </c>
      <c r="Y34">
        <v>20698</v>
      </c>
      <c r="Z34">
        <v>1.02</v>
      </c>
      <c r="AA34">
        <v>15</v>
      </c>
      <c r="AB34">
        <v>8</v>
      </c>
      <c r="AC34">
        <v>7</v>
      </c>
      <c r="AD34">
        <v>53.33</v>
      </c>
      <c r="AE34">
        <v>15</v>
      </c>
      <c r="AF34">
        <v>5</v>
      </c>
      <c r="AG34">
        <v>1</v>
      </c>
      <c r="AH34">
        <v>9</v>
      </c>
    </row>
    <row r="35" spans="1:34">
      <c r="A35" s="111">
        <v>149</v>
      </c>
      <c r="B35">
        <v>5802</v>
      </c>
      <c r="C35" s="115" t="s">
        <v>175</v>
      </c>
      <c r="D35" s="115" t="s">
        <v>176</v>
      </c>
      <c r="E35">
        <v>1576</v>
      </c>
      <c r="F35">
        <v>1580</v>
      </c>
      <c r="G35">
        <v>700</v>
      </c>
      <c r="H35" s="115" t="s">
        <v>89</v>
      </c>
      <c r="I35">
        <v>6995</v>
      </c>
      <c r="J35" s="115" t="s">
        <v>123</v>
      </c>
      <c r="K35" s="115" t="s">
        <v>115</v>
      </c>
      <c r="L35">
        <v>2129</v>
      </c>
      <c r="M35">
        <v>2122</v>
      </c>
      <c r="N35">
        <v>500</v>
      </c>
      <c r="O35" s="115" t="s">
        <v>87</v>
      </c>
      <c r="P35">
        <v>0.98484612547832995</v>
      </c>
      <c r="Q35">
        <v>0.91509575231679896</v>
      </c>
      <c r="R35" s="20">
        <v>4.6981309401228997E-3</v>
      </c>
      <c r="S35">
        <v>0.176327206765509</v>
      </c>
      <c r="T35">
        <v>4.9758852331795597E-2</v>
      </c>
      <c r="U35">
        <v>4.9758852331795597E-2</v>
      </c>
      <c r="V35">
        <v>7.0000000000000007E-2</v>
      </c>
      <c r="W35">
        <v>4.24</v>
      </c>
      <c r="X35">
        <v>306631</v>
      </c>
      <c r="Y35">
        <v>18037</v>
      </c>
      <c r="Z35">
        <v>0.89</v>
      </c>
      <c r="AA35">
        <v>17</v>
      </c>
      <c r="AB35">
        <v>11</v>
      </c>
      <c r="AC35">
        <v>6</v>
      </c>
      <c r="AD35">
        <v>64.709999999999994</v>
      </c>
      <c r="AE35">
        <v>15</v>
      </c>
      <c r="AF35">
        <v>6</v>
      </c>
      <c r="AG35">
        <v>0</v>
      </c>
      <c r="AH35">
        <v>11</v>
      </c>
    </row>
    <row r="36" spans="1:34">
      <c r="A36" s="111">
        <v>93</v>
      </c>
      <c r="B36">
        <v>4208</v>
      </c>
      <c r="C36" s="115" t="s">
        <v>131</v>
      </c>
      <c r="D36" s="115" t="s">
        <v>88</v>
      </c>
      <c r="E36">
        <v>2349</v>
      </c>
      <c r="F36">
        <v>2323</v>
      </c>
      <c r="G36">
        <v>400</v>
      </c>
      <c r="H36" s="115" t="s">
        <v>89</v>
      </c>
      <c r="I36">
        <v>6301</v>
      </c>
      <c r="J36" s="115" t="s">
        <v>143</v>
      </c>
      <c r="K36" s="115" t="s">
        <v>133</v>
      </c>
      <c r="L36">
        <v>2650</v>
      </c>
      <c r="M36">
        <v>2590</v>
      </c>
      <c r="N36">
        <v>400</v>
      </c>
      <c r="O36" s="115" t="s">
        <v>87</v>
      </c>
      <c r="P36">
        <v>0.96074895654791403</v>
      </c>
      <c r="Q36">
        <v>0.92739562248878704</v>
      </c>
      <c r="R36">
        <v>4.2064962660122798E-4</v>
      </c>
      <c r="S36">
        <v>7.0645887206172396E-3</v>
      </c>
      <c r="T36">
        <v>0.138202043294153</v>
      </c>
      <c r="U36">
        <v>0.138202043294153</v>
      </c>
      <c r="V36">
        <v>0.22</v>
      </c>
      <c r="W36">
        <v>10.31</v>
      </c>
      <c r="X36">
        <v>306571</v>
      </c>
      <c r="Y36">
        <v>30657</v>
      </c>
      <c r="Z36">
        <v>1.56</v>
      </c>
      <c r="AA36">
        <v>10</v>
      </c>
      <c r="AB36">
        <v>7</v>
      </c>
      <c r="AC36">
        <v>3</v>
      </c>
      <c r="AD36">
        <v>70</v>
      </c>
      <c r="AE36">
        <v>12</v>
      </c>
      <c r="AF36">
        <v>6</v>
      </c>
      <c r="AG36">
        <v>0</v>
      </c>
      <c r="AH36">
        <v>4</v>
      </c>
    </row>
    <row r="37" spans="1:34">
      <c r="A37" s="111">
        <v>94</v>
      </c>
      <c r="B37">
        <v>1928</v>
      </c>
      <c r="C37" s="115" t="s">
        <v>390</v>
      </c>
      <c r="D37" s="115" t="s">
        <v>108</v>
      </c>
      <c r="E37">
        <v>2400</v>
      </c>
      <c r="F37">
        <v>2414</v>
      </c>
      <c r="G37">
        <v>400</v>
      </c>
      <c r="H37" s="115" t="s">
        <v>89</v>
      </c>
      <c r="I37">
        <v>6925</v>
      </c>
      <c r="J37" s="115" t="s">
        <v>405</v>
      </c>
      <c r="K37" s="115" t="s">
        <v>118</v>
      </c>
      <c r="L37">
        <v>1666</v>
      </c>
      <c r="M37">
        <v>1645</v>
      </c>
      <c r="N37">
        <v>600</v>
      </c>
      <c r="O37" s="115" t="s">
        <v>87</v>
      </c>
      <c r="P37">
        <v>0.91003794857263498</v>
      </c>
      <c r="Q37">
        <v>0.92708085484967295</v>
      </c>
      <c r="R37">
        <v>0.30037268094434899</v>
      </c>
      <c r="S37">
        <v>1.6375954097281199E-2</v>
      </c>
      <c r="T37">
        <v>1.3212069889223601</v>
      </c>
      <c r="U37">
        <v>1.3212069889223601</v>
      </c>
      <c r="V37">
        <v>4.2</v>
      </c>
      <c r="W37">
        <v>2.2200000000000002</v>
      </c>
      <c r="X37">
        <v>305239</v>
      </c>
      <c r="Y37">
        <v>17955</v>
      </c>
      <c r="Z37">
        <v>0.95</v>
      </c>
      <c r="AA37">
        <v>17</v>
      </c>
      <c r="AB37">
        <v>12</v>
      </c>
      <c r="AC37">
        <v>5</v>
      </c>
      <c r="AD37">
        <v>70.59</v>
      </c>
      <c r="AE37">
        <v>14</v>
      </c>
      <c r="AF37">
        <v>8</v>
      </c>
      <c r="AG37">
        <v>1</v>
      </c>
      <c r="AH37">
        <v>8</v>
      </c>
    </row>
    <row r="38" spans="1:34">
      <c r="A38" s="111">
        <v>56</v>
      </c>
      <c r="B38">
        <v>4182</v>
      </c>
      <c r="C38" s="115" t="s">
        <v>119</v>
      </c>
      <c r="D38" s="115" t="s">
        <v>88</v>
      </c>
      <c r="E38">
        <v>1680</v>
      </c>
      <c r="F38">
        <v>1641</v>
      </c>
      <c r="G38">
        <v>600</v>
      </c>
      <c r="H38" s="115" t="s">
        <v>87</v>
      </c>
      <c r="I38">
        <v>7272</v>
      </c>
      <c r="J38" s="115" t="s">
        <v>385</v>
      </c>
      <c r="K38" s="115" t="s">
        <v>115</v>
      </c>
      <c r="L38">
        <v>2295</v>
      </c>
      <c r="M38">
        <v>2285</v>
      </c>
      <c r="N38">
        <v>400</v>
      </c>
      <c r="O38" s="115" t="s">
        <v>89</v>
      </c>
      <c r="P38">
        <v>0.95129171087970998</v>
      </c>
      <c r="Q38">
        <v>0.93625688385411199</v>
      </c>
      <c r="R38">
        <v>1.58686867286978E-2</v>
      </c>
      <c r="S38">
        <v>6.2646540363892802E-3</v>
      </c>
      <c r="T38">
        <v>-0.34647847617695599</v>
      </c>
      <c r="U38">
        <v>0.34647847617695599</v>
      </c>
      <c r="V38">
        <v>-1.01</v>
      </c>
      <c r="W38">
        <v>7.72</v>
      </c>
      <c r="X38">
        <v>303536</v>
      </c>
      <c r="Y38">
        <v>23349</v>
      </c>
      <c r="Z38">
        <v>1.1599999999999999</v>
      </c>
      <c r="AA38">
        <v>13</v>
      </c>
      <c r="AB38">
        <v>9</v>
      </c>
      <c r="AC38">
        <v>4</v>
      </c>
      <c r="AD38">
        <v>69.23</v>
      </c>
      <c r="AE38">
        <v>12</v>
      </c>
      <c r="AF38">
        <v>6</v>
      </c>
      <c r="AG38">
        <v>1</v>
      </c>
      <c r="AH38">
        <v>6</v>
      </c>
    </row>
    <row r="39" spans="1:34">
      <c r="A39" s="111">
        <v>144</v>
      </c>
      <c r="B39">
        <v>6988</v>
      </c>
      <c r="C39" s="115" t="s">
        <v>191</v>
      </c>
      <c r="D39" s="115" t="s">
        <v>88</v>
      </c>
      <c r="E39">
        <v>6320</v>
      </c>
      <c r="F39">
        <v>6240</v>
      </c>
      <c r="G39">
        <v>100</v>
      </c>
      <c r="H39" s="115" t="s">
        <v>87</v>
      </c>
      <c r="I39">
        <v>7272</v>
      </c>
      <c r="J39" s="115" t="s">
        <v>385</v>
      </c>
      <c r="K39" s="115" t="s">
        <v>115</v>
      </c>
      <c r="L39">
        <v>2295</v>
      </c>
      <c r="M39">
        <v>2285</v>
      </c>
      <c r="N39">
        <v>300</v>
      </c>
      <c r="O39" s="115" t="s">
        <v>89</v>
      </c>
      <c r="P39">
        <v>0.93442685856116703</v>
      </c>
      <c r="Q39">
        <v>0.91594312113311704</v>
      </c>
      <c r="R39">
        <v>0.375179567233697</v>
      </c>
      <c r="S39">
        <v>7.5801959759665499E-2</v>
      </c>
      <c r="T39">
        <v>-0.35371179167043298</v>
      </c>
      <c r="U39">
        <v>0.35371179167043298</v>
      </c>
      <c r="V39">
        <v>-1.1200000000000001</v>
      </c>
      <c r="W39">
        <v>9.86</v>
      </c>
      <c r="X39">
        <v>300982</v>
      </c>
      <c r="Y39">
        <v>25082</v>
      </c>
      <c r="Z39">
        <v>1.21</v>
      </c>
      <c r="AA39">
        <v>12</v>
      </c>
      <c r="AB39">
        <v>7</v>
      </c>
      <c r="AC39">
        <v>5</v>
      </c>
      <c r="AD39">
        <v>58.33</v>
      </c>
      <c r="AE39">
        <v>12</v>
      </c>
      <c r="AF39">
        <v>6</v>
      </c>
      <c r="AG39">
        <v>3</v>
      </c>
      <c r="AH39">
        <v>3</v>
      </c>
    </row>
    <row r="40" spans="1:34">
      <c r="A40" s="111">
        <v>133</v>
      </c>
      <c r="B40">
        <v>4182</v>
      </c>
      <c r="C40" s="115" t="s">
        <v>119</v>
      </c>
      <c r="D40" s="115" t="s">
        <v>88</v>
      </c>
      <c r="E40">
        <v>1680</v>
      </c>
      <c r="F40">
        <v>1641</v>
      </c>
      <c r="G40">
        <v>600</v>
      </c>
      <c r="H40" s="115" t="s">
        <v>89</v>
      </c>
      <c r="I40">
        <v>4208</v>
      </c>
      <c r="J40" s="115" t="s">
        <v>131</v>
      </c>
      <c r="K40" s="115" t="s">
        <v>88</v>
      </c>
      <c r="L40">
        <v>2349</v>
      </c>
      <c r="M40">
        <v>2323</v>
      </c>
      <c r="N40">
        <v>400</v>
      </c>
      <c r="O40" s="115" t="s">
        <v>87</v>
      </c>
      <c r="P40">
        <v>0.954551952773666</v>
      </c>
      <c r="Q40">
        <v>0.91778214037794703</v>
      </c>
      <c r="R40">
        <v>2.6023381949209199E-2</v>
      </c>
      <c r="S40">
        <v>0.18335085278052099</v>
      </c>
      <c r="T40">
        <v>1.5853766290631599</v>
      </c>
      <c r="U40">
        <v>1.5853766290631599</v>
      </c>
      <c r="V40">
        <v>7.44</v>
      </c>
      <c r="W40">
        <v>5.96</v>
      </c>
      <c r="X40">
        <v>299666</v>
      </c>
      <c r="Y40">
        <v>15772</v>
      </c>
      <c r="Z40">
        <v>0.82</v>
      </c>
      <c r="AA40">
        <v>19</v>
      </c>
      <c r="AB40">
        <v>13</v>
      </c>
      <c r="AC40">
        <v>6</v>
      </c>
      <c r="AD40">
        <v>68.42</v>
      </c>
      <c r="AE40">
        <v>13</v>
      </c>
      <c r="AF40">
        <v>8</v>
      </c>
      <c r="AG40">
        <v>2</v>
      </c>
      <c r="AH40">
        <v>9</v>
      </c>
    </row>
    <row r="41" spans="1:34">
      <c r="A41" s="111">
        <v>75</v>
      </c>
      <c r="B41">
        <v>6457</v>
      </c>
      <c r="C41" s="115" t="s">
        <v>406</v>
      </c>
      <c r="D41" s="115" t="s">
        <v>133</v>
      </c>
      <c r="E41">
        <v>3345</v>
      </c>
      <c r="F41">
        <v>3305</v>
      </c>
      <c r="G41">
        <v>300</v>
      </c>
      <c r="H41" s="115" t="s">
        <v>87</v>
      </c>
      <c r="I41">
        <v>8593</v>
      </c>
      <c r="J41" s="115" t="s">
        <v>403</v>
      </c>
      <c r="K41" s="115" t="s">
        <v>382</v>
      </c>
      <c r="L41">
        <v>708</v>
      </c>
      <c r="M41">
        <v>708</v>
      </c>
      <c r="N41">
        <v>1400</v>
      </c>
      <c r="O41" s="115" t="s">
        <v>89</v>
      </c>
      <c r="P41">
        <v>0.94323781411077801</v>
      </c>
      <c r="Q41">
        <v>0.93150427140192604</v>
      </c>
      <c r="R41">
        <v>7.9367014866635999E-2</v>
      </c>
      <c r="S41">
        <v>3.8828313301594499E-3</v>
      </c>
      <c r="T41">
        <v>-1.4645870387419599</v>
      </c>
      <c r="U41">
        <v>1.4645870387419599</v>
      </c>
      <c r="V41">
        <v>-3.36</v>
      </c>
      <c r="W41">
        <v>0.03</v>
      </c>
      <c r="X41">
        <v>290341</v>
      </c>
      <c r="Y41">
        <v>15281</v>
      </c>
      <c r="Z41">
        <v>0.91</v>
      </c>
      <c r="AA41">
        <v>19</v>
      </c>
      <c r="AB41">
        <v>12</v>
      </c>
      <c r="AC41">
        <v>7</v>
      </c>
      <c r="AD41">
        <v>63.16</v>
      </c>
      <c r="AE41">
        <v>13</v>
      </c>
      <c r="AF41">
        <v>9</v>
      </c>
      <c r="AG41">
        <v>3</v>
      </c>
      <c r="AH41">
        <v>7</v>
      </c>
    </row>
    <row r="42" spans="1:34">
      <c r="A42" s="111">
        <v>14</v>
      </c>
      <c r="B42">
        <v>5991</v>
      </c>
      <c r="C42" s="115" t="s">
        <v>149</v>
      </c>
      <c r="D42" s="115" t="s">
        <v>150</v>
      </c>
      <c r="E42">
        <v>975</v>
      </c>
      <c r="F42">
        <v>965</v>
      </c>
      <c r="G42">
        <v>800</v>
      </c>
      <c r="H42" s="115" t="s">
        <v>89</v>
      </c>
      <c r="I42">
        <v>6371</v>
      </c>
      <c r="J42" s="115" t="s">
        <v>142</v>
      </c>
      <c r="K42" s="115" t="s">
        <v>133</v>
      </c>
      <c r="L42">
        <v>3830</v>
      </c>
      <c r="M42">
        <v>3770</v>
      </c>
      <c r="N42">
        <v>200</v>
      </c>
      <c r="O42" s="115" t="s">
        <v>87</v>
      </c>
      <c r="P42">
        <v>0.97510700214773005</v>
      </c>
      <c r="Q42">
        <v>0.95218749179212903</v>
      </c>
      <c r="R42">
        <v>7.3023438130931706E-2</v>
      </c>
      <c r="S42" s="20">
        <v>1.0811670717473101E-2</v>
      </c>
      <c r="T42">
        <v>1.9748333385349699</v>
      </c>
      <c r="U42">
        <v>1.9748333385349699</v>
      </c>
      <c r="V42">
        <v>6.31</v>
      </c>
      <c r="W42">
        <v>2.39</v>
      </c>
      <c r="X42">
        <v>286657</v>
      </c>
      <c r="Y42">
        <v>16862</v>
      </c>
      <c r="Z42">
        <v>0.8</v>
      </c>
      <c r="AA42">
        <v>17</v>
      </c>
      <c r="AB42">
        <v>10</v>
      </c>
      <c r="AC42">
        <v>7</v>
      </c>
      <c r="AD42">
        <v>58.82</v>
      </c>
      <c r="AE42">
        <v>13</v>
      </c>
      <c r="AF42">
        <v>7</v>
      </c>
      <c r="AG42">
        <v>1</v>
      </c>
      <c r="AH42">
        <v>9</v>
      </c>
    </row>
    <row r="43" spans="1:34">
      <c r="A43" s="111">
        <v>172</v>
      </c>
      <c r="B43">
        <v>5393</v>
      </c>
      <c r="C43" s="115" t="s">
        <v>457</v>
      </c>
      <c r="D43" s="115" t="s">
        <v>140</v>
      </c>
      <c r="E43">
        <v>2580</v>
      </c>
      <c r="F43">
        <v>2545</v>
      </c>
      <c r="G43">
        <v>300</v>
      </c>
      <c r="H43" s="115" t="s">
        <v>89</v>
      </c>
      <c r="I43">
        <v>5947</v>
      </c>
      <c r="J43" s="115" t="s">
        <v>427</v>
      </c>
      <c r="K43" s="115" t="s">
        <v>150</v>
      </c>
      <c r="L43">
        <v>8600</v>
      </c>
      <c r="M43">
        <v>8570</v>
      </c>
      <c r="N43">
        <v>100</v>
      </c>
      <c r="O43" s="115" t="s">
        <v>87</v>
      </c>
      <c r="P43">
        <v>0.967255690969958</v>
      </c>
      <c r="Q43">
        <v>0.91241503499352905</v>
      </c>
      <c r="R43">
        <v>8.5033930900726695E-2</v>
      </c>
      <c r="S43">
        <v>1.23322281767813E-3</v>
      </c>
      <c r="T43">
        <v>1.6154304144307401</v>
      </c>
      <c r="U43">
        <v>1.6154304144307401</v>
      </c>
      <c r="V43">
        <v>8.94</v>
      </c>
      <c r="W43">
        <v>10.91</v>
      </c>
      <c r="X43">
        <v>284943</v>
      </c>
      <c r="Y43">
        <v>23745</v>
      </c>
      <c r="Z43">
        <v>1.3</v>
      </c>
      <c r="AA43">
        <v>12</v>
      </c>
      <c r="AB43">
        <v>8</v>
      </c>
      <c r="AC43">
        <v>4</v>
      </c>
      <c r="AD43">
        <v>66.67</v>
      </c>
      <c r="AE43">
        <v>11</v>
      </c>
      <c r="AF43">
        <v>6</v>
      </c>
      <c r="AG43">
        <v>3</v>
      </c>
      <c r="AH43">
        <v>3</v>
      </c>
    </row>
    <row r="44" spans="1:34">
      <c r="A44" s="111">
        <v>192</v>
      </c>
      <c r="B44">
        <v>6770</v>
      </c>
      <c r="C44" s="115" t="s">
        <v>50</v>
      </c>
      <c r="D44" s="115" t="s">
        <v>118</v>
      </c>
      <c r="E44">
        <v>2477</v>
      </c>
      <c r="F44">
        <v>2488</v>
      </c>
      <c r="G44">
        <v>400</v>
      </c>
      <c r="H44" s="115" t="s">
        <v>89</v>
      </c>
      <c r="I44">
        <v>6923</v>
      </c>
      <c r="J44" s="115" t="s">
        <v>146</v>
      </c>
      <c r="K44" s="115" t="s">
        <v>118</v>
      </c>
      <c r="L44">
        <v>3050</v>
      </c>
      <c r="M44">
        <v>3010</v>
      </c>
      <c r="N44">
        <v>300</v>
      </c>
      <c r="O44" s="115" t="s">
        <v>87</v>
      </c>
      <c r="P44">
        <v>0.90499406773918101</v>
      </c>
      <c r="Q44">
        <v>0.90980668142354504</v>
      </c>
      <c r="R44">
        <v>8.8717892126426098E-2</v>
      </c>
      <c r="S44">
        <v>4.49823837537366E-3</v>
      </c>
      <c r="T44">
        <v>2.49000693871846</v>
      </c>
      <c r="U44">
        <v>2.49000693871846</v>
      </c>
      <c r="V44">
        <v>11.89</v>
      </c>
      <c r="W44">
        <v>10.210000000000001</v>
      </c>
      <c r="X44">
        <v>284919</v>
      </c>
      <c r="Y44">
        <v>21917</v>
      </c>
      <c r="Z44">
        <v>1.2</v>
      </c>
      <c r="AA44">
        <v>13</v>
      </c>
      <c r="AB44">
        <v>9</v>
      </c>
      <c r="AC44">
        <v>4</v>
      </c>
      <c r="AD44">
        <v>69.23</v>
      </c>
      <c r="AE44">
        <v>11</v>
      </c>
      <c r="AF44">
        <v>7</v>
      </c>
      <c r="AG44">
        <v>1</v>
      </c>
      <c r="AH44">
        <v>5</v>
      </c>
    </row>
    <row r="45" spans="1:34">
      <c r="A45" s="111">
        <v>238</v>
      </c>
      <c r="B45">
        <v>1959</v>
      </c>
      <c r="C45" s="115" t="s">
        <v>198</v>
      </c>
      <c r="D45" s="115" t="s">
        <v>108</v>
      </c>
      <c r="E45">
        <v>3620</v>
      </c>
      <c r="F45">
        <v>3585</v>
      </c>
      <c r="G45">
        <v>300</v>
      </c>
      <c r="H45" s="115" t="s">
        <v>87</v>
      </c>
      <c r="I45">
        <v>8304</v>
      </c>
      <c r="J45" s="115" t="s">
        <v>200</v>
      </c>
      <c r="K45" s="115" t="s">
        <v>113</v>
      </c>
      <c r="L45">
        <v>2811</v>
      </c>
      <c r="M45">
        <v>2767</v>
      </c>
      <c r="N45">
        <v>400</v>
      </c>
      <c r="O45" s="115" t="s">
        <v>89</v>
      </c>
      <c r="P45">
        <v>0.925972364511639</v>
      </c>
      <c r="Q45">
        <v>0.90370189065198203</v>
      </c>
      <c r="R45">
        <v>4.6547672668164397E-2</v>
      </c>
      <c r="S45">
        <v>3.5257659767848303E-2</v>
      </c>
      <c r="T45">
        <v>-0.18484717188750099</v>
      </c>
      <c r="U45">
        <v>0.18484717188750099</v>
      </c>
      <c r="V45">
        <v>-0.45</v>
      </c>
      <c r="W45">
        <v>2.91</v>
      </c>
      <c r="X45">
        <v>275017</v>
      </c>
      <c r="Y45">
        <v>25002</v>
      </c>
      <c r="Z45">
        <v>1.23</v>
      </c>
      <c r="AA45">
        <v>11</v>
      </c>
      <c r="AB45">
        <v>7</v>
      </c>
      <c r="AC45">
        <v>4</v>
      </c>
      <c r="AD45">
        <v>63.64</v>
      </c>
      <c r="AE45">
        <v>12</v>
      </c>
      <c r="AF45">
        <v>6</v>
      </c>
      <c r="AG45">
        <v>2</v>
      </c>
      <c r="AH45">
        <v>3</v>
      </c>
    </row>
    <row r="46" spans="1:34">
      <c r="A46" s="111">
        <v>28</v>
      </c>
      <c r="B46">
        <v>3635</v>
      </c>
      <c r="C46" s="115" t="s">
        <v>116</v>
      </c>
      <c r="D46" s="115" t="s">
        <v>110</v>
      </c>
      <c r="E46">
        <v>2585</v>
      </c>
      <c r="F46">
        <v>2597</v>
      </c>
      <c r="G46">
        <v>400</v>
      </c>
      <c r="H46" s="115" t="s">
        <v>87</v>
      </c>
      <c r="I46">
        <v>4062</v>
      </c>
      <c r="J46" s="115" t="s">
        <v>428</v>
      </c>
      <c r="K46" s="115" t="s">
        <v>118</v>
      </c>
      <c r="L46">
        <v>2523</v>
      </c>
      <c r="M46">
        <v>2528</v>
      </c>
      <c r="N46">
        <v>400</v>
      </c>
      <c r="O46" s="115" t="s">
        <v>89</v>
      </c>
      <c r="P46">
        <v>0.94464587944182998</v>
      </c>
      <c r="Q46">
        <v>0.94471295865945704</v>
      </c>
      <c r="R46">
        <v>1.6921373264011601E-2</v>
      </c>
      <c r="S46">
        <v>0.23350393520388099</v>
      </c>
      <c r="T46">
        <v>-0.124125046909918</v>
      </c>
      <c r="U46">
        <v>0.124125046909918</v>
      </c>
      <c r="V46">
        <v>-0.38</v>
      </c>
      <c r="W46">
        <v>2.66</v>
      </c>
      <c r="X46">
        <v>272145</v>
      </c>
      <c r="Y46">
        <v>20934</v>
      </c>
      <c r="Z46">
        <v>1.08</v>
      </c>
      <c r="AA46">
        <v>13</v>
      </c>
      <c r="AB46">
        <v>8</v>
      </c>
      <c r="AC46">
        <v>5</v>
      </c>
      <c r="AD46">
        <v>61.54</v>
      </c>
      <c r="AE46">
        <v>12</v>
      </c>
      <c r="AF46">
        <v>6</v>
      </c>
      <c r="AG46">
        <v>2</v>
      </c>
      <c r="AH46">
        <v>5</v>
      </c>
    </row>
    <row r="47" spans="1:34">
      <c r="A47" s="111">
        <v>211</v>
      </c>
      <c r="B47">
        <v>7278</v>
      </c>
      <c r="C47" s="115" t="s">
        <v>114</v>
      </c>
      <c r="D47" s="115" t="s">
        <v>115</v>
      </c>
      <c r="E47">
        <v>2474</v>
      </c>
      <c r="F47">
        <v>2483</v>
      </c>
      <c r="G47">
        <v>300</v>
      </c>
      <c r="H47" s="115" t="s">
        <v>89</v>
      </c>
      <c r="I47">
        <v>7846</v>
      </c>
      <c r="J47" s="115" t="s">
        <v>163</v>
      </c>
      <c r="K47" s="115" t="s">
        <v>120</v>
      </c>
      <c r="L47">
        <v>4245</v>
      </c>
      <c r="M47">
        <v>4195</v>
      </c>
      <c r="N47">
        <v>200</v>
      </c>
      <c r="O47" s="115" t="s">
        <v>87</v>
      </c>
      <c r="P47">
        <v>0.92022053510282897</v>
      </c>
      <c r="Q47">
        <v>0.906584772346546</v>
      </c>
      <c r="R47">
        <v>6.3403277829113605E-2</v>
      </c>
      <c r="S47">
        <v>3.9167773460925599E-2</v>
      </c>
      <c r="T47">
        <v>2.6632836660220098</v>
      </c>
      <c r="U47">
        <v>2.6632836660220098</v>
      </c>
      <c r="V47">
        <v>7.76</v>
      </c>
      <c r="W47">
        <v>11.22</v>
      </c>
      <c r="X47">
        <v>267072</v>
      </c>
      <c r="Y47">
        <v>29675</v>
      </c>
      <c r="Z47">
        <v>1.57</v>
      </c>
      <c r="AA47">
        <v>9</v>
      </c>
      <c r="AB47">
        <v>7</v>
      </c>
      <c r="AC47">
        <v>2</v>
      </c>
      <c r="AD47">
        <v>77.78</v>
      </c>
      <c r="AE47">
        <v>11</v>
      </c>
      <c r="AF47">
        <v>6</v>
      </c>
      <c r="AG47">
        <v>2</v>
      </c>
      <c r="AH47">
        <v>1</v>
      </c>
    </row>
    <row r="48" spans="1:34">
      <c r="A48" s="111">
        <v>142</v>
      </c>
      <c r="B48">
        <v>6474</v>
      </c>
      <c r="C48" s="115" t="s">
        <v>407</v>
      </c>
      <c r="D48" s="115" t="s">
        <v>133</v>
      </c>
      <c r="E48">
        <v>5300</v>
      </c>
      <c r="F48">
        <v>5190</v>
      </c>
      <c r="G48">
        <v>200</v>
      </c>
      <c r="H48" s="115" t="s">
        <v>89</v>
      </c>
      <c r="I48">
        <v>6503</v>
      </c>
      <c r="J48" s="115" t="s">
        <v>408</v>
      </c>
      <c r="K48" s="115" t="s">
        <v>118</v>
      </c>
      <c r="L48">
        <v>1540.5</v>
      </c>
      <c r="M48">
        <v>1527</v>
      </c>
      <c r="N48">
        <v>700</v>
      </c>
      <c r="O48" s="115" t="s">
        <v>87</v>
      </c>
      <c r="P48">
        <v>0.96736985613422999</v>
      </c>
      <c r="Q48">
        <v>0.915982000500698</v>
      </c>
      <c r="R48">
        <v>3.3743151624650601E-2</v>
      </c>
      <c r="S48">
        <v>1.3516263703496E-2</v>
      </c>
      <c r="T48">
        <v>1.38035182340697</v>
      </c>
      <c r="U48">
        <v>1.38035182340697</v>
      </c>
      <c r="V48">
        <v>2.82</v>
      </c>
      <c r="W48">
        <v>2.98</v>
      </c>
      <c r="X48">
        <v>266206</v>
      </c>
      <c r="Y48">
        <v>20477</v>
      </c>
      <c r="Z48">
        <v>1.38</v>
      </c>
      <c r="AA48">
        <v>13</v>
      </c>
      <c r="AB48">
        <v>10</v>
      </c>
      <c r="AC48">
        <v>3</v>
      </c>
      <c r="AD48">
        <v>76.92</v>
      </c>
      <c r="AE48">
        <v>11</v>
      </c>
      <c r="AF48">
        <v>8</v>
      </c>
      <c r="AG48">
        <v>1</v>
      </c>
      <c r="AH48">
        <v>4</v>
      </c>
    </row>
    <row r="49" spans="1:34">
      <c r="A49" s="111">
        <v>107</v>
      </c>
      <c r="B49">
        <v>7259</v>
      </c>
      <c r="C49" s="115" t="s">
        <v>55</v>
      </c>
      <c r="D49" s="115" t="s">
        <v>115</v>
      </c>
      <c r="E49">
        <v>4140</v>
      </c>
      <c r="F49">
        <v>4150</v>
      </c>
      <c r="G49">
        <v>200</v>
      </c>
      <c r="H49" s="115" t="s">
        <v>89</v>
      </c>
      <c r="I49">
        <v>7278</v>
      </c>
      <c r="J49" s="115" t="s">
        <v>114</v>
      </c>
      <c r="K49" s="115" t="s">
        <v>115</v>
      </c>
      <c r="L49">
        <v>2474</v>
      </c>
      <c r="M49">
        <v>2483</v>
      </c>
      <c r="N49">
        <v>300</v>
      </c>
      <c r="O49" s="115" t="s">
        <v>87</v>
      </c>
      <c r="P49">
        <v>0.98426375385757603</v>
      </c>
      <c r="Q49">
        <v>0.923615432337899</v>
      </c>
      <c r="R49">
        <v>5.1995788569634601E-3</v>
      </c>
      <c r="S49">
        <v>0.216753926128329</v>
      </c>
      <c r="T49">
        <v>0.434117250485479</v>
      </c>
      <c r="U49">
        <v>0.434117250485479</v>
      </c>
      <c r="V49">
        <v>1.6</v>
      </c>
      <c r="W49">
        <v>10.25</v>
      </c>
      <c r="X49">
        <v>265669</v>
      </c>
      <c r="Y49">
        <v>24152</v>
      </c>
      <c r="Z49">
        <v>1.6</v>
      </c>
      <c r="AA49">
        <v>11</v>
      </c>
      <c r="AB49">
        <v>9</v>
      </c>
      <c r="AC49">
        <v>2</v>
      </c>
      <c r="AD49">
        <v>81.819999999999993</v>
      </c>
      <c r="AE49">
        <v>14</v>
      </c>
      <c r="AF49">
        <v>3</v>
      </c>
      <c r="AG49">
        <v>1</v>
      </c>
      <c r="AH49">
        <v>7</v>
      </c>
    </row>
    <row r="50" spans="1:34">
      <c r="A50" s="111">
        <v>140</v>
      </c>
      <c r="B50">
        <v>4612</v>
      </c>
      <c r="C50" s="115" t="s">
        <v>177</v>
      </c>
      <c r="D50" s="115" t="s">
        <v>88</v>
      </c>
      <c r="E50">
        <v>6120</v>
      </c>
      <c r="F50">
        <v>6130</v>
      </c>
      <c r="G50">
        <v>100</v>
      </c>
      <c r="H50" s="115" t="s">
        <v>89</v>
      </c>
      <c r="I50">
        <v>7649</v>
      </c>
      <c r="J50" s="115" t="s">
        <v>458</v>
      </c>
      <c r="K50" s="115" t="s">
        <v>128</v>
      </c>
      <c r="L50">
        <v>6290</v>
      </c>
      <c r="M50">
        <v>6240</v>
      </c>
      <c r="N50">
        <v>100</v>
      </c>
      <c r="O50" s="115" t="s">
        <v>87</v>
      </c>
      <c r="P50">
        <v>0.91335590911488695</v>
      </c>
      <c r="Q50">
        <v>0.91627416309227405</v>
      </c>
      <c r="R50">
        <v>8.6781623501074101E-2</v>
      </c>
      <c r="S50">
        <v>0.325291142431129</v>
      </c>
      <c r="T50">
        <v>0.69828512965841205</v>
      </c>
      <c r="U50">
        <v>0.69828512965841205</v>
      </c>
      <c r="V50">
        <v>3.64</v>
      </c>
      <c r="W50">
        <v>1.76</v>
      </c>
      <c r="X50">
        <v>261561</v>
      </c>
      <c r="Y50">
        <v>37366</v>
      </c>
      <c r="Z50">
        <v>2.09</v>
      </c>
      <c r="AA50">
        <v>7</v>
      </c>
      <c r="AB50">
        <v>6</v>
      </c>
      <c r="AC50">
        <v>1</v>
      </c>
      <c r="AD50">
        <v>85.71</v>
      </c>
      <c r="AE50">
        <v>11</v>
      </c>
      <c r="AF50">
        <v>6</v>
      </c>
      <c r="AG50">
        <v>1</v>
      </c>
      <c r="AH50">
        <v>0</v>
      </c>
    </row>
    <row r="51" spans="1:34">
      <c r="A51" s="111">
        <v>122</v>
      </c>
      <c r="B51">
        <v>1963</v>
      </c>
      <c r="C51" s="115" t="s">
        <v>174</v>
      </c>
      <c r="D51" s="115" t="s">
        <v>108</v>
      </c>
      <c r="E51">
        <v>1630</v>
      </c>
      <c r="F51">
        <v>1630</v>
      </c>
      <c r="G51">
        <v>600</v>
      </c>
      <c r="H51" s="115" t="s">
        <v>89</v>
      </c>
      <c r="I51">
        <v>7267</v>
      </c>
      <c r="J51" s="115" t="s">
        <v>153</v>
      </c>
      <c r="K51" s="115" t="s">
        <v>115</v>
      </c>
      <c r="L51">
        <v>3147</v>
      </c>
      <c r="M51">
        <v>3109</v>
      </c>
      <c r="N51">
        <v>300</v>
      </c>
      <c r="O51" s="115" t="s">
        <v>87</v>
      </c>
      <c r="P51">
        <v>0.94937208393148298</v>
      </c>
      <c r="Q51">
        <v>0.91978095456579101</v>
      </c>
      <c r="R51">
        <v>8.7153537309056894E-2</v>
      </c>
      <c r="S51">
        <v>1.89898557541273E-4</v>
      </c>
      <c r="T51">
        <v>0.83153022650140296</v>
      </c>
      <c r="U51">
        <v>0.83153022650140296</v>
      </c>
      <c r="V51">
        <v>3.09</v>
      </c>
      <c r="W51">
        <v>4.8600000000000003</v>
      </c>
      <c r="X51">
        <v>259201</v>
      </c>
      <c r="Y51">
        <v>12960</v>
      </c>
      <c r="Z51">
        <v>0.65</v>
      </c>
      <c r="AA51">
        <v>20</v>
      </c>
      <c r="AB51">
        <v>13</v>
      </c>
      <c r="AC51">
        <v>7</v>
      </c>
      <c r="AD51">
        <v>65</v>
      </c>
      <c r="AE51">
        <v>10</v>
      </c>
      <c r="AF51">
        <v>10</v>
      </c>
      <c r="AG51">
        <v>5</v>
      </c>
      <c r="AH51">
        <v>5</v>
      </c>
    </row>
    <row r="52" spans="1:34">
      <c r="A52" s="111">
        <v>63</v>
      </c>
      <c r="B52">
        <v>1963</v>
      </c>
      <c r="C52" s="115" t="s">
        <v>174</v>
      </c>
      <c r="D52" s="115" t="s">
        <v>108</v>
      </c>
      <c r="E52">
        <v>1630</v>
      </c>
      <c r="F52">
        <v>1630</v>
      </c>
      <c r="G52">
        <v>600</v>
      </c>
      <c r="H52" s="115" t="s">
        <v>87</v>
      </c>
      <c r="I52">
        <v>5802</v>
      </c>
      <c r="J52" s="115" t="s">
        <v>175</v>
      </c>
      <c r="K52" s="115" t="s">
        <v>176</v>
      </c>
      <c r="L52">
        <v>1576</v>
      </c>
      <c r="M52">
        <v>1580</v>
      </c>
      <c r="N52">
        <v>600</v>
      </c>
      <c r="O52" s="115" t="s">
        <v>89</v>
      </c>
      <c r="P52">
        <v>0.97204444311198401</v>
      </c>
      <c r="Q52">
        <v>0.93504857594400903</v>
      </c>
      <c r="R52">
        <v>2.0542125193723702E-2</v>
      </c>
      <c r="S52">
        <v>1.03601232684765E-4</v>
      </c>
      <c r="T52">
        <v>-8.2859370576749705E-2</v>
      </c>
      <c r="U52">
        <v>8.2859370576749705E-2</v>
      </c>
      <c r="V52">
        <v>-0.24</v>
      </c>
      <c r="W52">
        <v>3.07</v>
      </c>
      <c r="X52">
        <v>258814</v>
      </c>
      <c r="Y52">
        <v>10784</v>
      </c>
      <c r="Z52">
        <v>0.55000000000000004</v>
      </c>
      <c r="AA52">
        <v>24</v>
      </c>
      <c r="AB52">
        <v>14</v>
      </c>
      <c r="AC52">
        <v>10</v>
      </c>
      <c r="AD52">
        <v>58.33</v>
      </c>
      <c r="AE52">
        <v>13</v>
      </c>
      <c r="AF52">
        <v>11</v>
      </c>
      <c r="AG52">
        <v>6</v>
      </c>
      <c r="AH52">
        <v>7</v>
      </c>
    </row>
    <row r="53" spans="1:34">
      <c r="A53" s="111">
        <v>41</v>
      </c>
      <c r="B53">
        <v>6645</v>
      </c>
      <c r="C53" s="115" t="s">
        <v>162</v>
      </c>
      <c r="D53" s="115" t="s">
        <v>118</v>
      </c>
      <c r="E53">
        <v>6590</v>
      </c>
      <c r="F53">
        <v>6500</v>
      </c>
      <c r="G53">
        <v>100</v>
      </c>
      <c r="H53" s="115" t="s">
        <v>89</v>
      </c>
      <c r="I53">
        <v>6845</v>
      </c>
      <c r="J53" s="115" t="s">
        <v>396</v>
      </c>
      <c r="K53" s="115" t="s">
        <v>118</v>
      </c>
      <c r="L53">
        <v>3140</v>
      </c>
      <c r="M53">
        <v>3125</v>
      </c>
      <c r="N53">
        <v>200</v>
      </c>
      <c r="O53" s="115" t="s">
        <v>87</v>
      </c>
      <c r="P53">
        <v>0.91874351295115697</v>
      </c>
      <c r="Q53">
        <v>0.94088663803810602</v>
      </c>
      <c r="R53" s="20">
        <v>0.27249612694001701</v>
      </c>
      <c r="S53">
        <v>1.2761935107815999E-2</v>
      </c>
      <c r="T53">
        <v>0.62607451719391205</v>
      </c>
      <c r="U53">
        <v>0.62607451719391205</v>
      </c>
      <c r="V53">
        <v>2.68</v>
      </c>
      <c r="W53">
        <v>3.85</v>
      </c>
      <c r="X53">
        <v>258190</v>
      </c>
      <c r="Y53">
        <v>15188</v>
      </c>
      <c r="Z53">
        <v>0.8</v>
      </c>
      <c r="AA53">
        <v>17</v>
      </c>
      <c r="AB53">
        <v>10</v>
      </c>
      <c r="AC53">
        <v>7</v>
      </c>
      <c r="AD53">
        <v>58.82</v>
      </c>
      <c r="AE53">
        <v>10</v>
      </c>
      <c r="AF53">
        <v>9</v>
      </c>
      <c r="AG53">
        <v>4</v>
      </c>
      <c r="AH53">
        <v>4</v>
      </c>
    </row>
    <row r="54" spans="1:34">
      <c r="A54" s="111">
        <v>158</v>
      </c>
      <c r="B54">
        <v>4182</v>
      </c>
      <c r="C54" s="115" t="s">
        <v>119</v>
      </c>
      <c r="D54" s="115" t="s">
        <v>88</v>
      </c>
      <c r="E54">
        <v>1680</v>
      </c>
      <c r="F54">
        <v>1641</v>
      </c>
      <c r="G54">
        <v>600</v>
      </c>
      <c r="H54" s="115" t="s">
        <v>89</v>
      </c>
      <c r="I54">
        <v>6923</v>
      </c>
      <c r="J54" s="115" t="s">
        <v>146</v>
      </c>
      <c r="K54" s="115" t="s">
        <v>118</v>
      </c>
      <c r="L54">
        <v>3050</v>
      </c>
      <c r="M54">
        <v>3010</v>
      </c>
      <c r="N54">
        <v>300</v>
      </c>
      <c r="O54" s="115" t="s">
        <v>87</v>
      </c>
      <c r="P54">
        <v>0.94973831190263902</v>
      </c>
      <c r="Q54">
        <v>0.91418510847512102</v>
      </c>
      <c r="R54">
        <v>0.27973290491800801</v>
      </c>
      <c r="S54">
        <v>2.6780034026216998E-2</v>
      </c>
      <c r="T54">
        <v>1.6403503960702399</v>
      </c>
      <c r="U54">
        <v>1.6403503960702399</v>
      </c>
      <c r="V54">
        <v>7.14</v>
      </c>
      <c r="W54">
        <v>9.0399999999999991</v>
      </c>
      <c r="X54">
        <v>251778</v>
      </c>
      <c r="Y54">
        <v>19368</v>
      </c>
      <c r="Z54">
        <v>0.9</v>
      </c>
      <c r="AA54">
        <v>13</v>
      </c>
      <c r="AB54">
        <v>6</v>
      </c>
      <c r="AC54">
        <v>7</v>
      </c>
      <c r="AD54">
        <v>46.15</v>
      </c>
      <c r="AE54">
        <v>11</v>
      </c>
      <c r="AF54">
        <v>5</v>
      </c>
      <c r="AG54">
        <v>3</v>
      </c>
      <c r="AH54">
        <v>5</v>
      </c>
    </row>
    <row r="55" spans="1:34">
      <c r="A55" s="111">
        <v>173</v>
      </c>
      <c r="B55">
        <v>1860</v>
      </c>
      <c r="C55" s="115" t="s">
        <v>145</v>
      </c>
      <c r="D55" s="115" t="s">
        <v>108</v>
      </c>
      <c r="E55">
        <v>682</v>
      </c>
      <c r="F55">
        <v>670</v>
      </c>
      <c r="G55">
        <v>1400</v>
      </c>
      <c r="H55" s="115" t="s">
        <v>87</v>
      </c>
      <c r="I55">
        <v>7272</v>
      </c>
      <c r="J55" s="115" t="s">
        <v>385</v>
      </c>
      <c r="K55" s="115" t="s">
        <v>115</v>
      </c>
      <c r="L55">
        <v>2295</v>
      </c>
      <c r="M55">
        <v>2285</v>
      </c>
      <c r="N55">
        <v>400</v>
      </c>
      <c r="O55" s="115" t="s">
        <v>89</v>
      </c>
      <c r="P55">
        <v>0.95384624589425704</v>
      </c>
      <c r="Q55">
        <v>0.91222196666106004</v>
      </c>
      <c r="R55">
        <v>3.4656798354951598E-2</v>
      </c>
      <c r="S55">
        <v>2.8841207334502099E-3</v>
      </c>
      <c r="T55">
        <v>-2.35932641919231</v>
      </c>
      <c r="U55">
        <v>2.35932641919231</v>
      </c>
      <c r="V55">
        <v>-8.39</v>
      </c>
      <c r="W55">
        <v>2.63</v>
      </c>
      <c r="X55">
        <v>251538</v>
      </c>
      <c r="Y55">
        <v>13974</v>
      </c>
      <c r="Z55">
        <v>0.68</v>
      </c>
      <c r="AA55">
        <v>18</v>
      </c>
      <c r="AB55">
        <v>11</v>
      </c>
      <c r="AC55">
        <v>7</v>
      </c>
      <c r="AD55">
        <v>61.11</v>
      </c>
      <c r="AE55">
        <v>10</v>
      </c>
      <c r="AF55">
        <v>10</v>
      </c>
      <c r="AG55">
        <v>5</v>
      </c>
      <c r="AH55">
        <v>3</v>
      </c>
    </row>
    <row r="56" spans="1:34">
      <c r="A56" s="111">
        <v>117</v>
      </c>
      <c r="B56">
        <v>6752</v>
      </c>
      <c r="C56" s="115" t="s">
        <v>139</v>
      </c>
      <c r="D56" s="115" t="s">
        <v>118</v>
      </c>
      <c r="E56">
        <v>978.8</v>
      </c>
      <c r="F56">
        <v>981</v>
      </c>
      <c r="G56">
        <v>1100</v>
      </c>
      <c r="H56" s="115" t="s">
        <v>87</v>
      </c>
      <c r="I56">
        <v>7205</v>
      </c>
      <c r="J56" s="115" t="s">
        <v>151</v>
      </c>
      <c r="K56" s="115" t="s">
        <v>115</v>
      </c>
      <c r="L56">
        <v>1076</v>
      </c>
      <c r="M56">
        <v>1069</v>
      </c>
      <c r="N56">
        <v>1000</v>
      </c>
      <c r="O56" s="115" t="s">
        <v>89</v>
      </c>
      <c r="P56">
        <v>0.94911478248439496</v>
      </c>
      <c r="Q56">
        <v>0.920656073859355</v>
      </c>
      <c r="R56">
        <v>5.6784420936860799E-2</v>
      </c>
      <c r="S56">
        <v>3.6219654493717002E-2</v>
      </c>
      <c r="T56">
        <v>-1.6592944216000001</v>
      </c>
      <c r="U56">
        <v>1.6592944216000001</v>
      </c>
      <c r="V56">
        <v>-5.48</v>
      </c>
      <c r="W56">
        <v>0.94</v>
      </c>
      <c r="X56">
        <v>250595</v>
      </c>
      <c r="Y56">
        <v>16706</v>
      </c>
      <c r="Z56">
        <v>0.8</v>
      </c>
      <c r="AA56">
        <v>15</v>
      </c>
      <c r="AB56">
        <v>10</v>
      </c>
      <c r="AC56">
        <v>5</v>
      </c>
      <c r="AD56">
        <v>66.67</v>
      </c>
      <c r="AE56">
        <v>14</v>
      </c>
      <c r="AF56">
        <v>6</v>
      </c>
      <c r="AG56">
        <v>1</v>
      </c>
      <c r="AH56">
        <v>8</v>
      </c>
    </row>
    <row r="57" spans="1:34">
      <c r="A57" s="111">
        <v>232</v>
      </c>
      <c r="B57">
        <v>3048</v>
      </c>
      <c r="C57" s="115" t="s">
        <v>402</v>
      </c>
      <c r="D57" s="115" t="s">
        <v>128</v>
      </c>
      <c r="E57">
        <v>1211</v>
      </c>
      <c r="F57">
        <v>1195</v>
      </c>
      <c r="G57">
        <v>900</v>
      </c>
      <c r="H57" s="115" t="s">
        <v>89</v>
      </c>
      <c r="I57">
        <v>8279</v>
      </c>
      <c r="J57" s="115" t="s">
        <v>411</v>
      </c>
      <c r="K57" s="115" t="s">
        <v>128</v>
      </c>
      <c r="L57">
        <v>5210</v>
      </c>
      <c r="M57">
        <v>5170</v>
      </c>
      <c r="N57">
        <v>200</v>
      </c>
      <c r="O57" s="115" t="s">
        <v>87</v>
      </c>
      <c r="P57">
        <v>0.926338148962224</v>
      </c>
      <c r="Q57">
        <v>0.90427721370612602</v>
      </c>
      <c r="R57">
        <v>4.9307774568939797E-2</v>
      </c>
      <c r="S57">
        <v>0.16705057184417699</v>
      </c>
      <c r="T57">
        <v>0.31125019250878999</v>
      </c>
      <c r="U57">
        <v>0.31125019250878999</v>
      </c>
      <c r="V57">
        <v>0.85</v>
      </c>
      <c r="W57">
        <v>4.01</v>
      </c>
      <c r="X57">
        <v>249973</v>
      </c>
      <c r="Y57">
        <v>13156</v>
      </c>
      <c r="Z57">
        <v>0.79</v>
      </c>
      <c r="AA57">
        <v>19</v>
      </c>
      <c r="AB57">
        <v>12</v>
      </c>
      <c r="AC57">
        <v>7</v>
      </c>
      <c r="AD57">
        <v>63.16</v>
      </c>
      <c r="AE57">
        <v>11</v>
      </c>
      <c r="AF57">
        <v>8</v>
      </c>
      <c r="AG57">
        <v>3</v>
      </c>
      <c r="AH57">
        <v>8</v>
      </c>
    </row>
    <row r="58" spans="1:34">
      <c r="A58" s="111">
        <v>53</v>
      </c>
      <c r="B58">
        <v>6506</v>
      </c>
      <c r="C58" s="115" t="s">
        <v>161</v>
      </c>
      <c r="D58" s="115" t="s">
        <v>118</v>
      </c>
      <c r="E58">
        <v>4050</v>
      </c>
      <c r="F58">
        <v>4020</v>
      </c>
      <c r="G58">
        <v>200</v>
      </c>
      <c r="H58" s="115" t="s">
        <v>87</v>
      </c>
      <c r="I58">
        <v>6645</v>
      </c>
      <c r="J58" s="115" t="s">
        <v>162</v>
      </c>
      <c r="K58" s="115" t="s">
        <v>118</v>
      </c>
      <c r="L58">
        <v>6590</v>
      </c>
      <c r="M58">
        <v>6500</v>
      </c>
      <c r="N58">
        <v>100</v>
      </c>
      <c r="O58" s="115" t="s">
        <v>89</v>
      </c>
      <c r="P58">
        <v>0.94057392310473997</v>
      </c>
      <c r="Q58">
        <v>0.93700224241585695</v>
      </c>
      <c r="R58">
        <v>5.8380664112569702E-2</v>
      </c>
      <c r="S58">
        <v>1.9725336809789999E-2</v>
      </c>
      <c r="T58">
        <v>-2.1291716173745199</v>
      </c>
      <c r="U58">
        <v>2.1291716173745199</v>
      </c>
      <c r="V58">
        <v>-6.49</v>
      </c>
      <c r="W58">
        <v>23.69</v>
      </c>
      <c r="X58">
        <v>249448</v>
      </c>
      <c r="Y58">
        <v>19188</v>
      </c>
      <c r="Z58">
        <v>0.86</v>
      </c>
      <c r="AA58">
        <v>13</v>
      </c>
      <c r="AB58">
        <v>8</v>
      </c>
      <c r="AC58">
        <v>5</v>
      </c>
      <c r="AD58">
        <v>61.54</v>
      </c>
      <c r="AE58">
        <v>13</v>
      </c>
      <c r="AF58">
        <v>5</v>
      </c>
      <c r="AG58">
        <v>3</v>
      </c>
      <c r="AH58">
        <v>5</v>
      </c>
    </row>
    <row r="59" spans="1:34">
      <c r="A59" s="111">
        <v>102</v>
      </c>
      <c r="B59">
        <v>4061</v>
      </c>
      <c r="C59" s="115" t="s">
        <v>159</v>
      </c>
      <c r="D59" s="115" t="s">
        <v>88</v>
      </c>
      <c r="E59">
        <v>3340</v>
      </c>
      <c r="F59">
        <v>3290</v>
      </c>
      <c r="G59">
        <v>300</v>
      </c>
      <c r="H59" s="115" t="s">
        <v>87</v>
      </c>
      <c r="I59">
        <v>4401</v>
      </c>
      <c r="J59" s="115" t="s">
        <v>410</v>
      </c>
      <c r="K59" s="115" t="s">
        <v>88</v>
      </c>
      <c r="L59">
        <v>1687</v>
      </c>
      <c r="M59">
        <v>1639</v>
      </c>
      <c r="N59">
        <v>600</v>
      </c>
      <c r="O59" s="115" t="s">
        <v>89</v>
      </c>
      <c r="P59">
        <v>0.95735631128412502</v>
      </c>
      <c r="Q59">
        <v>0.92503038410318095</v>
      </c>
      <c r="R59">
        <v>6.4499770728582401E-2</v>
      </c>
      <c r="S59">
        <v>7.6788032860712597E-4</v>
      </c>
      <c r="T59">
        <v>-1.28917353595782</v>
      </c>
      <c r="U59">
        <v>1.28917353595782</v>
      </c>
      <c r="V59">
        <v>-5.29</v>
      </c>
      <c r="W59">
        <v>0.36</v>
      </c>
      <c r="X59">
        <v>248623</v>
      </c>
      <c r="Y59">
        <v>17759</v>
      </c>
      <c r="Z59">
        <v>1.01</v>
      </c>
      <c r="AA59">
        <v>14</v>
      </c>
      <c r="AB59">
        <v>8</v>
      </c>
      <c r="AC59">
        <v>6</v>
      </c>
      <c r="AD59">
        <v>57.14</v>
      </c>
      <c r="AE59">
        <v>12</v>
      </c>
      <c r="AF59">
        <v>7</v>
      </c>
      <c r="AG59">
        <v>1</v>
      </c>
      <c r="AH59">
        <v>6</v>
      </c>
    </row>
    <row r="60" spans="1:34">
      <c r="A60" s="111">
        <v>97</v>
      </c>
      <c r="B60">
        <v>6845</v>
      </c>
      <c r="C60" s="115" t="s">
        <v>396</v>
      </c>
      <c r="D60" s="115" t="s">
        <v>118</v>
      </c>
      <c r="E60">
        <v>3140</v>
      </c>
      <c r="F60">
        <v>3125</v>
      </c>
      <c r="G60">
        <v>300</v>
      </c>
      <c r="H60" s="115" t="s">
        <v>87</v>
      </c>
      <c r="I60">
        <v>8919</v>
      </c>
      <c r="J60" s="115" t="s">
        <v>436</v>
      </c>
      <c r="K60" s="115" t="s">
        <v>148</v>
      </c>
      <c r="L60">
        <v>4855</v>
      </c>
      <c r="M60">
        <v>4900</v>
      </c>
      <c r="N60">
        <v>200</v>
      </c>
      <c r="O60" s="115" t="s">
        <v>89</v>
      </c>
      <c r="P60">
        <v>0.91206573004092995</v>
      </c>
      <c r="Q60">
        <v>0.92618329876181105</v>
      </c>
      <c r="R60">
        <v>0.11356381258914</v>
      </c>
      <c r="S60">
        <v>0.166132043366647</v>
      </c>
      <c r="T60">
        <v>-0.88363850111767805</v>
      </c>
      <c r="U60">
        <v>0.88363850111767805</v>
      </c>
      <c r="V60">
        <v>-2.87</v>
      </c>
      <c r="W60">
        <v>4.34</v>
      </c>
      <c r="X60">
        <v>246214</v>
      </c>
      <c r="Y60">
        <v>22383</v>
      </c>
      <c r="Z60">
        <v>1.22</v>
      </c>
      <c r="AA60">
        <v>11</v>
      </c>
      <c r="AB60">
        <v>7</v>
      </c>
      <c r="AC60">
        <v>4</v>
      </c>
      <c r="AD60">
        <v>63.64</v>
      </c>
      <c r="AE60">
        <v>9</v>
      </c>
      <c r="AF60">
        <v>7</v>
      </c>
      <c r="AG60">
        <v>4</v>
      </c>
      <c r="AH60">
        <v>0</v>
      </c>
    </row>
    <row r="61" spans="1:34">
      <c r="A61" s="111">
        <v>74</v>
      </c>
      <c r="B61">
        <v>4183</v>
      </c>
      <c r="C61" s="115" t="s">
        <v>388</v>
      </c>
      <c r="D61" s="115" t="s">
        <v>88</v>
      </c>
      <c r="E61">
        <v>2714</v>
      </c>
      <c r="F61">
        <v>2664</v>
      </c>
      <c r="G61">
        <v>300</v>
      </c>
      <c r="H61" s="115" t="s">
        <v>87</v>
      </c>
      <c r="I61">
        <v>6305</v>
      </c>
      <c r="J61" s="115" t="s">
        <v>59</v>
      </c>
      <c r="K61" s="115" t="s">
        <v>133</v>
      </c>
      <c r="L61">
        <v>2864</v>
      </c>
      <c r="M61">
        <v>2828</v>
      </c>
      <c r="N61">
        <v>300</v>
      </c>
      <c r="O61" s="115" t="s">
        <v>89</v>
      </c>
      <c r="P61">
        <v>0.95491045488959903</v>
      </c>
      <c r="Q61">
        <v>0.93154311124105205</v>
      </c>
      <c r="R61">
        <v>5.0240556807807597E-2</v>
      </c>
      <c r="S61">
        <v>9.9121681358019E-3</v>
      </c>
      <c r="T61">
        <v>-1.06518458313664</v>
      </c>
      <c r="U61">
        <v>1.06518458313664</v>
      </c>
      <c r="V61">
        <v>-3.03</v>
      </c>
      <c r="W61">
        <v>5.8</v>
      </c>
      <c r="X61">
        <v>237901</v>
      </c>
      <c r="Y61">
        <v>16993</v>
      </c>
      <c r="Z61">
        <v>0.99</v>
      </c>
      <c r="AA61">
        <v>14</v>
      </c>
      <c r="AB61">
        <v>10</v>
      </c>
      <c r="AC61">
        <v>4</v>
      </c>
      <c r="AD61">
        <v>71.430000000000007</v>
      </c>
      <c r="AE61">
        <v>12</v>
      </c>
      <c r="AF61">
        <v>8</v>
      </c>
      <c r="AG61">
        <v>2</v>
      </c>
      <c r="AH61">
        <v>4</v>
      </c>
    </row>
    <row r="62" spans="1:34">
      <c r="A62" s="111">
        <v>10</v>
      </c>
      <c r="B62">
        <v>6752</v>
      </c>
      <c r="C62" s="115" t="s">
        <v>139</v>
      </c>
      <c r="D62" s="115" t="s">
        <v>118</v>
      </c>
      <c r="E62">
        <v>978.8</v>
      </c>
      <c r="F62">
        <v>981</v>
      </c>
      <c r="G62">
        <v>1000</v>
      </c>
      <c r="H62" s="115" t="s">
        <v>87</v>
      </c>
      <c r="I62">
        <v>7278</v>
      </c>
      <c r="J62" s="115" t="s">
        <v>114</v>
      </c>
      <c r="K62" s="115" t="s">
        <v>115</v>
      </c>
      <c r="L62">
        <v>2474</v>
      </c>
      <c r="M62">
        <v>2483</v>
      </c>
      <c r="N62">
        <v>400</v>
      </c>
      <c r="O62" s="115" t="s">
        <v>89</v>
      </c>
      <c r="P62">
        <v>0.94638596780071604</v>
      </c>
      <c r="Q62">
        <v>0.95442244487863304</v>
      </c>
      <c r="R62">
        <v>6.8548619971052502E-3</v>
      </c>
      <c r="S62">
        <v>6.8751031964868498E-3</v>
      </c>
      <c r="T62">
        <v>-1.74676794087422</v>
      </c>
      <c r="U62">
        <v>1.74676794087422</v>
      </c>
      <c r="V62">
        <v>-4.5999999999999996</v>
      </c>
      <c r="W62">
        <v>1.23</v>
      </c>
      <c r="X62">
        <v>229417</v>
      </c>
      <c r="Y62">
        <v>12745</v>
      </c>
      <c r="Z62">
        <v>0.64</v>
      </c>
      <c r="AA62">
        <v>18</v>
      </c>
      <c r="AB62">
        <v>10</v>
      </c>
      <c r="AC62">
        <v>8</v>
      </c>
      <c r="AD62">
        <v>55.56</v>
      </c>
      <c r="AE62">
        <v>12</v>
      </c>
      <c r="AF62">
        <v>7</v>
      </c>
      <c r="AG62">
        <v>2</v>
      </c>
      <c r="AH62">
        <v>9</v>
      </c>
    </row>
    <row r="63" spans="1:34">
      <c r="A63" s="111">
        <v>165</v>
      </c>
      <c r="B63">
        <v>4208</v>
      </c>
      <c r="C63" s="115" t="s">
        <v>131</v>
      </c>
      <c r="D63" s="115" t="s">
        <v>88</v>
      </c>
      <c r="E63">
        <v>2349</v>
      </c>
      <c r="F63">
        <v>2323</v>
      </c>
      <c r="G63">
        <v>400</v>
      </c>
      <c r="H63" s="115" t="s">
        <v>87</v>
      </c>
      <c r="I63">
        <v>6472</v>
      </c>
      <c r="J63" s="115" t="s">
        <v>183</v>
      </c>
      <c r="K63" s="115" t="s">
        <v>133</v>
      </c>
      <c r="L63">
        <v>342</v>
      </c>
      <c r="M63">
        <v>336</v>
      </c>
      <c r="N63">
        <v>2800</v>
      </c>
      <c r="O63" s="115" t="s">
        <v>89</v>
      </c>
      <c r="P63">
        <v>0.96142369656036297</v>
      </c>
      <c r="Q63">
        <v>0.91311068992092603</v>
      </c>
      <c r="R63">
        <v>1.9874482048181801E-4</v>
      </c>
      <c r="S63">
        <v>8.4645651149567097E-2</v>
      </c>
      <c r="T63">
        <v>-0.38282381077963101</v>
      </c>
      <c r="U63">
        <v>0.38282381077963101</v>
      </c>
      <c r="V63">
        <v>-1.44</v>
      </c>
      <c r="W63">
        <v>1.25</v>
      </c>
      <c r="X63">
        <v>228145</v>
      </c>
      <c r="Y63">
        <v>10864</v>
      </c>
      <c r="Z63">
        <v>0.56000000000000005</v>
      </c>
      <c r="AA63">
        <v>21</v>
      </c>
      <c r="AB63">
        <v>14</v>
      </c>
      <c r="AC63">
        <v>7</v>
      </c>
      <c r="AD63">
        <v>66.67</v>
      </c>
      <c r="AE63">
        <v>13</v>
      </c>
      <c r="AF63">
        <v>8</v>
      </c>
      <c r="AG63">
        <v>5</v>
      </c>
      <c r="AH63">
        <v>8</v>
      </c>
    </row>
    <row r="64" spans="1:34">
      <c r="A64" s="111">
        <v>174</v>
      </c>
      <c r="B64">
        <v>7167</v>
      </c>
      <c r="C64" s="115" t="s">
        <v>134</v>
      </c>
      <c r="D64" s="115" t="s">
        <v>113</v>
      </c>
      <c r="E64">
        <v>290</v>
      </c>
      <c r="F64">
        <v>283</v>
      </c>
      <c r="G64">
        <v>3800</v>
      </c>
      <c r="H64" s="115" t="s">
        <v>89</v>
      </c>
      <c r="I64">
        <v>9505</v>
      </c>
      <c r="J64" s="115" t="s">
        <v>166</v>
      </c>
      <c r="K64" s="115" t="s">
        <v>167</v>
      </c>
      <c r="L64">
        <v>783</v>
      </c>
      <c r="M64">
        <v>776</v>
      </c>
      <c r="N64">
        <v>1400</v>
      </c>
      <c r="O64" s="115" t="s">
        <v>87</v>
      </c>
      <c r="P64">
        <v>0.94025479814760105</v>
      </c>
      <c r="Q64">
        <v>0.91200250103083702</v>
      </c>
      <c r="R64">
        <v>0.20952107485763799</v>
      </c>
      <c r="S64" s="20">
        <v>0.10838447112831</v>
      </c>
      <c r="T64">
        <v>0.42885607250182001</v>
      </c>
      <c r="U64">
        <v>0.42885607250182001</v>
      </c>
      <c r="V64">
        <v>0.87</v>
      </c>
      <c r="W64">
        <v>1.01</v>
      </c>
      <c r="X64">
        <v>224925</v>
      </c>
      <c r="Y64">
        <v>13231</v>
      </c>
      <c r="Z64">
        <v>0.62</v>
      </c>
      <c r="AA64">
        <v>17</v>
      </c>
      <c r="AB64">
        <v>8</v>
      </c>
      <c r="AC64">
        <v>9</v>
      </c>
      <c r="AD64">
        <v>47.06</v>
      </c>
      <c r="AE64">
        <v>14</v>
      </c>
      <c r="AF64">
        <v>5</v>
      </c>
      <c r="AG64">
        <v>2</v>
      </c>
      <c r="AH64">
        <v>10</v>
      </c>
    </row>
    <row r="65" spans="1:34">
      <c r="A65" s="111">
        <v>116</v>
      </c>
      <c r="B65">
        <v>3099</v>
      </c>
      <c r="C65" s="115" t="s">
        <v>90</v>
      </c>
      <c r="D65" s="115" t="s">
        <v>128</v>
      </c>
      <c r="E65">
        <v>1002</v>
      </c>
      <c r="F65">
        <v>987</v>
      </c>
      <c r="G65">
        <v>1000</v>
      </c>
      <c r="H65" s="115" t="s">
        <v>87</v>
      </c>
      <c r="I65">
        <v>7181</v>
      </c>
      <c r="J65" s="115" t="s">
        <v>189</v>
      </c>
      <c r="K65" s="115" t="s">
        <v>144</v>
      </c>
      <c r="L65">
        <v>1902</v>
      </c>
      <c r="M65">
        <v>1902</v>
      </c>
      <c r="N65">
        <v>500</v>
      </c>
      <c r="O65" s="115" t="s">
        <v>89</v>
      </c>
      <c r="P65">
        <v>0.90060802038196897</v>
      </c>
      <c r="Q65">
        <v>0.92130086882740403</v>
      </c>
      <c r="R65">
        <v>1.3904349341024201E-3</v>
      </c>
      <c r="S65">
        <v>0.23369399933130799</v>
      </c>
      <c r="T65">
        <v>-0.100986759203268</v>
      </c>
      <c r="U65">
        <v>0.100986759203268</v>
      </c>
      <c r="V65">
        <v>-0.43</v>
      </c>
      <c r="W65">
        <v>3.79</v>
      </c>
      <c r="X65">
        <v>222076</v>
      </c>
      <c r="Y65">
        <v>13063</v>
      </c>
      <c r="Z65">
        <v>0.63</v>
      </c>
      <c r="AA65">
        <v>17</v>
      </c>
      <c r="AB65">
        <v>11</v>
      </c>
      <c r="AC65">
        <v>6</v>
      </c>
      <c r="AD65">
        <v>64.709999999999994</v>
      </c>
      <c r="AE65">
        <v>12</v>
      </c>
      <c r="AF65">
        <v>8</v>
      </c>
      <c r="AG65">
        <v>3</v>
      </c>
      <c r="AH65">
        <v>6</v>
      </c>
    </row>
    <row r="66" spans="1:34">
      <c r="A66" s="111">
        <v>260</v>
      </c>
      <c r="B66">
        <v>6471</v>
      </c>
      <c r="C66" s="115" t="s">
        <v>190</v>
      </c>
      <c r="D66" s="115" t="s">
        <v>133</v>
      </c>
      <c r="E66">
        <v>1081</v>
      </c>
      <c r="F66">
        <v>1076</v>
      </c>
      <c r="G66">
        <v>800</v>
      </c>
      <c r="H66" s="115" t="s">
        <v>87</v>
      </c>
      <c r="I66">
        <v>7259</v>
      </c>
      <c r="J66" s="115" t="s">
        <v>55</v>
      </c>
      <c r="K66" s="115" t="s">
        <v>115</v>
      </c>
      <c r="L66">
        <v>4140</v>
      </c>
      <c r="M66">
        <v>4150</v>
      </c>
      <c r="N66">
        <v>200</v>
      </c>
      <c r="O66" s="115" t="s">
        <v>89</v>
      </c>
      <c r="P66">
        <v>0.94562494069592995</v>
      </c>
      <c r="Q66">
        <v>0.90087827787693298</v>
      </c>
      <c r="R66">
        <v>5.6517894912232296E-3</v>
      </c>
      <c r="S66">
        <v>1.42899995161976E-2</v>
      </c>
      <c r="T66">
        <v>-0.63478651917151296</v>
      </c>
      <c r="U66">
        <v>0.63478651917151296</v>
      </c>
      <c r="V66">
        <v>-2.48</v>
      </c>
      <c r="W66">
        <v>3.71</v>
      </c>
      <c r="X66">
        <v>216789</v>
      </c>
      <c r="Y66">
        <v>9854</v>
      </c>
      <c r="Z66">
        <v>0.66</v>
      </c>
      <c r="AA66">
        <v>22</v>
      </c>
      <c r="AB66">
        <v>15</v>
      </c>
      <c r="AC66">
        <v>7</v>
      </c>
      <c r="AD66">
        <v>68.180000000000007</v>
      </c>
      <c r="AE66">
        <v>12</v>
      </c>
      <c r="AF66">
        <v>8</v>
      </c>
      <c r="AG66">
        <v>4</v>
      </c>
      <c r="AH66">
        <v>10</v>
      </c>
    </row>
    <row r="67" spans="1:34">
      <c r="A67" s="111">
        <v>230</v>
      </c>
      <c r="B67">
        <v>5463</v>
      </c>
      <c r="C67" s="115" t="s">
        <v>196</v>
      </c>
      <c r="D67" s="115" t="s">
        <v>125</v>
      </c>
      <c r="E67">
        <v>3210</v>
      </c>
      <c r="F67">
        <v>3235</v>
      </c>
      <c r="G67">
        <v>300</v>
      </c>
      <c r="H67" s="115" t="s">
        <v>87</v>
      </c>
      <c r="I67">
        <v>5991</v>
      </c>
      <c r="J67" s="115" t="s">
        <v>149</v>
      </c>
      <c r="K67" s="115" t="s">
        <v>150</v>
      </c>
      <c r="L67">
        <v>975</v>
      </c>
      <c r="M67">
        <v>965</v>
      </c>
      <c r="N67">
        <v>1000</v>
      </c>
      <c r="O67" s="115" t="s">
        <v>89</v>
      </c>
      <c r="P67">
        <v>0.95484251236745599</v>
      </c>
      <c r="Q67">
        <v>0.90441567830237501</v>
      </c>
      <c r="R67">
        <v>0.135881151104085</v>
      </c>
      <c r="S67">
        <v>0.18074110729937701</v>
      </c>
      <c r="T67">
        <v>-0.37538187521329802</v>
      </c>
      <c r="U67">
        <v>0.37538187521329802</v>
      </c>
      <c r="V67">
        <v>-1.73</v>
      </c>
      <c r="W67">
        <v>0.56999999999999995</v>
      </c>
      <c r="X67">
        <v>212896</v>
      </c>
      <c r="Y67">
        <v>12523</v>
      </c>
      <c r="Z67">
        <v>0.62</v>
      </c>
      <c r="AA67">
        <v>17</v>
      </c>
      <c r="AB67">
        <v>11</v>
      </c>
      <c r="AC67">
        <v>6</v>
      </c>
      <c r="AD67">
        <v>64.709999999999994</v>
      </c>
      <c r="AE67">
        <v>11</v>
      </c>
      <c r="AF67">
        <v>6</v>
      </c>
      <c r="AG67">
        <v>3</v>
      </c>
      <c r="AH67">
        <v>8</v>
      </c>
    </row>
    <row r="68" spans="1:34">
      <c r="A68" s="111">
        <v>3</v>
      </c>
      <c r="B68">
        <v>7013</v>
      </c>
      <c r="C68" s="115" t="s">
        <v>132</v>
      </c>
      <c r="D68" s="115" t="s">
        <v>133</v>
      </c>
      <c r="E68">
        <v>2580</v>
      </c>
      <c r="F68">
        <v>2503</v>
      </c>
      <c r="G68">
        <v>300</v>
      </c>
      <c r="H68" s="115" t="s">
        <v>89</v>
      </c>
      <c r="I68">
        <v>7846</v>
      </c>
      <c r="J68" s="115" t="s">
        <v>163</v>
      </c>
      <c r="K68" s="115" t="s">
        <v>120</v>
      </c>
      <c r="L68">
        <v>4245</v>
      </c>
      <c r="M68">
        <v>4195</v>
      </c>
      <c r="N68">
        <v>200</v>
      </c>
      <c r="O68" s="115" t="s">
        <v>87</v>
      </c>
      <c r="P68">
        <v>0.92405023279071596</v>
      </c>
      <c r="Q68">
        <v>0.96366033338051704</v>
      </c>
      <c r="R68">
        <v>0.17555798178141299</v>
      </c>
      <c r="S68">
        <v>8.2024804034112897E-4</v>
      </c>
      <c r="T68">
        <v>1.6563309090860099E-2</v>
      </c>
      <c r="U68">
        <v>1.6563309090860099E-2</v>
      </c>
      <c r="V68">
        <v>7.0000000000000007E-2</v>
      </c>
      <c r="W68">
        <v>10.5</v>
      </c>
      <c r="X68">
        <v>212602</v>
      </c>
      <c r="Y68">
        <v>23622</v>
      </c>
      <c r="Z68">
        <v>1.45</v>
      </c>
      <c r="AA68">
        <v>9</v>
      </c>
      <c r="AB68">
        <v>7</v>
      </c>
      <c r="AC68">
        <v>2</v>
      </c>
      <c r="AD68">
        <v>77.78</v>
      </c>
      <c r="AE68">
        <v>9</v>
      </c>
      <c r="AF68">
        <v>6</v>
      </c>
      <c r="AG68">
        <v>1</v>
      </c>
      <c r="AH68">
        <v>2</v>
      </c>
    </row>
    <row r="69" spans="1:34">
      <c r="A69" s="111">
        <v>191</v>
      </c>
      <c r="B69">
        <v>3105</v>
      </c>
      <c r="C69" s="115" t="s">
        <v>122</v>
      </c>
      <c r="D69" s="115" t="s">
        <v>118</v>
      </c>
      <c r="E69">
        <v>988</v>
      </c>
      <c r="F69">
        <v>979</v>
      </c>
      <c r="G69">
        <v>1000</v>
      </c>
      <c r="H69" s="115" t="s">
        <v>87</v>
      </c>
      <c r="I69">
        <v>6770</v>
      </c>
      <c r="J69" s="115" t="s">
        <v>50</v>
      </c>
      <c r="K69" s="115" t="s">
        <v>118</v>
      </c>
      <c r="L69">
        <v>2477</v>
      </c>
      <c r="M69">
        <v>2488</v>
      </c>
      <c r="N69">
        <v>400</v>
      </c>
      <c r="O69" s="115" t="s">
        <v>89</v>
      </c>
      <c r="P69">
        <v>0.949045474170228</v>
      </c>
      <c r="Q69">
        <v>0.91011258416084595</v>
      </c>
      <c r="R69">
        <v>6.0310417279698103E-2</v>
      </c>
      <c r="S69">
        <v>5.0378973879644601E-2</v>
      </c>
      <c r="T69">
        <v>-1.41532147498726</v>
      </c>
      <c r="U69">
        <v>1.41532147498726</v>
      </c>
      <c r="V69">
        <v>-6.68</v>
      </c>
      <c r="W69">
        <v>1.63</v>
      </c>
      <c r="X69">
        <v>211945</v>
      </c>
      <c r="Y69">
        <v>10093</v>
      </c>
      <c r="Z69">
        <v>0.54</v>
      </c>
      <c r="AA69">
        <v>21</v>
      </c>
      <c r="AB69">
        <v>12</v>
      </c>
      <c r="AC69">
        <v>9</v>
      </c>
      <c r="AD69">
        <v>57.14</v>
      </c>
      <c r="AE69">
        <v>9</v>
      </c>
      <c r="AF69">
        <v>11</v>
      </c>
      <c r="AG69">
        <v>7</v>
      </c>
      <c r="AH69">
        <v>3</v>
      </c>
    </row>
    <row r="70" spans="1:34">
      <c r="A70" s="111">
        <v>70</v>
      </c>
      <c r="B70">
        <v>5802</v>
      </c>
      <c r="C70" s="115" t="s">
        <v>175</v>
      </c>
      <c r="D70" s="115" t="s">
        <v>176</v>
      </c>
      <c r="E70">
        <v>1576</v>
      </c>
      <c r="F70">
        <v>1580</v>
      </c>
      <c r="G70">
        <v>600</v>
      </c>
      <c r="H70" s="115" t="s">
        <v>89</v>
      </c>
      <c r="I70">
        <v>6472</v>
      </c>
      <c r="J70" s="115" t="s">
        <v>183</v>
      </c>
      <c r="K70" s="115" t="s">
        <v>133</v>
      </c>
      <c r="L70">
        <v>342</v>
      </c>
      <c r="M70">
        <v>336</v>
      </c>
      <c r="N70">
        <v>2800</v>
      </c>
      <c r="O70" s="115" t="s">
        <v>87</v>
      </c>
      <c r="P70">
        <v>0.93505744204465502</v>
      </c>
      <c r="Q70">
        <v>0.93230758233673505</v>
      </c>
      <c r="R70" s="20">
        <v>5.4717280343074298E-2</v>
      </c>
      <c r="S70">
        <v>8.9547695463564492E-3</v>
      </c>
      <c r="T70">
        <v>2.3684823308695799</v>
      </c>
      <c r="U70">
        <v>2.3684823308695799</v>
      </c>
      <c r="V70">
        <v>5.99</v>
      </c>
      <c r="W70">
        <v>0.76</v>
      </c>
      <c r="X70">
        <v>211012</v>
      </c>
      <c r="Y70">
        <v>13188</v>
      </c>
      <c r="Z70">
        <v>0.67</v>
      </c>
      <c r="AA70">
        <v>16</v>
      </c>
      <c r="AB70">
        <v>11</v>
      </c>
      <c r="AC70">
        <v>5</v>
      </c>
      <c r="AD70">
        <v>68.75</v>
      </c>
      <c r="AE70">
        <v>15</v>
      </c>
      <c r="AF70">
        <v>6</v>
      </c>
      <c r="AG70">
        <v>2</v>
      </c>
      <c r="AH70">
        <v>8</v>
      </c>
    </row>
    <row r="71" spans="1:34">
      <c r="A71" s="111">
        <v>247</v>
      </c>
      <c r="B71">
        <v>5333</v>
      </c>
      <c r="C71" s="115" t="s">
        <v>459</v>
      </c>
      <c r="D71" s="115" t="s">
        <v>140</v>
      </c>
      <c r="E71">
        <v>1847</v>
      </c>
      <c r="F71">
        <v>1822</v>
      </c>
      <c r="G71">
        <v>600</v>
      </c>
      <c r="H71" s="115" t="s">
        <v>89</v>
      </c>
      <c r="I71">
        <v>6995</v>
      </c>
      <c r="J71" s="115" t="s">
        <v>123</v>
      </c>
      <c r="K71" s="115" t="s">
        <v>115</v>
      </c>
      <c r="L71">
        <v>2129</v>
      </c>
      <c r="M71">
        <v>2122</v>
      </c>
      <c r="N71">
        <v>500</v>
      </c>
      <c r="O71" s="115" t="s">
        <v>87</v>
      </c>
      <c r="P71">
        <v>0.96663622188250897</v>
      </c>
      <c r="Q71">
        <v>0.90238734261378994</v>
      </c>
      <c r="R71">
        <v>0.26489223333091499</v>
      </c>
      <c r="S71">
        <v>5.4623666168544097E-2</v>
      </c>
      <c r="T71">
        <v>0.120930495535535</v>
      </c>
      <c r="U71">
        <v>0.120930495535535</v>
      </c>
      <c r="V71">
        <v>0.44</v>
      </c>
      <c r="W71">
        <v>3.03</v>
      </c>
      <c r="X71">
        <v>207740</v>
      </c>
      <c r="Y71">
        <v>11541</v>
      </c>
      <c r="Z71">
        <v>0.59</v>
      </c>
      <c r="AA71">
        <v>18</v>
      </c>
      <c r="AB71">
        <v>12</v>
      </c>
      <c r="AC71">
        <v>6</v>
      </c>
      <c r="AD71">
        <v>66.67</v>
      </c>
      <c r="AE71">
        <v>15</v>
      </c>
      <c r="AF71">
        <v>4</v>
      </c>
      <c r="AG71">
        <v>2</v>
      </c>
      <c r="AH71">
        <v>12</v>
      </c>
    </row>
    <row r="72" spans="1:34">
      <c r="A72" s="111">
        <v>150</v>
      </c>
      <c r="B72">
        <v>4183</v>
      </c>
      <c r="C72" s="115" t="s">
        <v>388</v>
      </c>
      <c r="D72" s="115" t="s">
        <v>88</v>
      </c>
      <c r="E72">
        <v>2714</v>
      </c>
      <c r="F72">
        <v>2664</v>
      </c>
      <c r="G72">
        <v>400</v>
      </c>
      <c r="H72" s="115" t="s">
        <v>89</v>
      </c>
      <c r="I72">
        <v>4208</v>
      </c>
      <c r="J72" s="115" t="s">
        <v>131</v>
      </c>
      <c r="K72" s="115" t="s">
        <v>88</v>
      </c>
      <c r="L72">
        <v>2349</v>
      </c>
      <c r="M72">
        <v>2323</v>
      </c>
      <c r="N72">
        <v>500</v>
      </c>
      <c r="O72" s="115" t="s">
        <v>87</v>
      </c>
      <c r="P72">
        <v>0.97568120970458205</v>
      </c>
      <c r="Q72">
        <v>0.91507047419288201</v>
      </c>
      <c r="R72">
        <v>2.0570859005030499E-3</v>
      </c>
      <c r="S72" s="20">
        <v>5.1778854201326503E-2</v>
      </c>
      <c r="T72">
        <v>1.1790233537406301</v>
      </c>
      <c r="U72">
        <v>1.1790233537406301</v>
      </c>
      <c r="V72">
        <v>1.66</v>
      </c>
      <c r="W72">
        <v>9</v>
      </c>
      <c r="X72">
        <v>207621</v>
      </c>
      <c r="Y72">
        <v>20762</v>
      </c>
      <c r="Z72">
        <v>1.0900000000000001</v>
      </c>
      <c r="AA72">
        <v>10</v>
      </c>
      <c r="AB72">
        <v>9</v>
      </c>
      <c r="AC72">
        <v>1</v>
      </c>
      <c r="AD72">
        <v>90</v>
      </c>
      <c r="AE72">
        <v>14</v>
      </c>
      <c r="AF72">
        <v>3</v>
      </c>
      <c r="AG72">
        <v>0</v>
      </c>
      <c r="AH72">
        <v>7</v>
      </c>
    </row>
    <row r="73" spans="1:34">
      <c r="A73" s="111">
        <v>167</v>
      </c>
      <c r="B73">
        <v>7167</v>
      </c>
      <c r="C73" s="115" t="s">
        <v>134</v>
      </c>
      <c r="D73" s="115" t="s">
        <v>113</v>
      </c>
      <c r="E73">
        <v>290</v>
      </c>
      <c r="F73">
        <v>283</v>
      </c>
      <c r="G73">
        <v>3900</v>
      </c>
      <c r="H73" s="115" t="s">
        <v>87</v>
      </c>
      <c r="I73">
        <v>9072</v>
      </c>
      <c r="J73" s="115" t="s">
        <v>169</v>
      </c>
      <c r="K73" s="115" t="s">
        <v>154</v>
      </c>
      <c r="L73">
        <v>2766</v>
      </c>
      <c r="M73">
        <v>2725</v>
      </c>
      <c r="N73">
        <v>400</v>
      </c>
      <c r="O73" s="115" t="s">
        <v>89</v>
      </c>
      <c r="P73">
        <v>0.940022014961297</v>
      </c>
      <c r="Q73">
        <v>0.91283723645592796</v>
      </c>
      <c r="R73">
        <v>0.221185976231668</v>
      </c>
      <c r="S73">
        <v>8.4727244790888008E-3</v>
      </c>
      <c r="T73">
        <v>-9.4564800571834695E-2</v>
      </c>
      <c r="U73">
        <v>9.4564800571834695E-2</v>
      </c>
      <c r="V73">
        <v>-0.27</v>
      </c>
      <c r="W73">
        <v>1.26</v>
      </c>
      <c r="X73">
        <v>206958</v>
      </c>
      <c r="Y73">
        <v>12935</v>
      </c>
      <c r="Z73">
        <v>0.73</v>
      </c>
      <c r="AA73">
        <v>16</v>
      </c>
      <c r="AB73">
        <v>10</v>
      </c>
      <c r="AC73">
        <v>6</v>
      </c>
      <c r="AD73">
        <v>62.5</v>
      </c>
      <c r="AE73">
        <v>14</v>
      </c>
      <c r="AF73">
        <v>6</v>
      </c>
      <c r="AG73">
        <v>2</v>
      </c>
      <c r="AH73">
        <v>8</v>
      </c>
    </row>
    <row r="74" spans="1:34">
      <c r="A74" s="111">
        <v>131</v>
      </c>
      <c r="B74">
        <v>3105</v>
      </c>
      <c r="C74" s="115" t="s">
        <v>122</v>
      </c>
      <c r="D74" s="115" t="s">
        <v>118</v>
      </c>
      <c r="E74">
        <v>988</v>
      </c>
      <c r="F74">
        <v>979</v>
      </c>
      <c r="G74">
        <v>1100</v>
      </c>
      <c r="H74" s="115" t="s">
        <v>89</v>
      </c>
      <c r="I74">
        <v>6473</v>
      </c>
      <c r="J74" s="115" t="s">
        <v>178</v>
      </c>
      <c r="K74" s="115" t="s">
        <v>133</v>
      </c>
      <c r="L74">
        <v>1397</v>
      </c>
      <c r="M74">
        <v>1375</v>
      </c>
      <c r="N74">
        <v>800</v>
      </c>
      <c r="O74" s="115" t="s">
        <v>87</v>
      </c>
      <c r="P74">
        <v>0.955982118720756</v>
      </c>
      <c r="Q74">
        <v>0.91803552679707601</v>
      </c>
      <c r="R74">
        <v>4.34476777565002E-2</v>
      </c>
      <c r="S74">
        <v>0.160204533262163</v>
      </c>
      <c r="T74">
        <v>2.0357876538459601</v>
      </c>
      <c r="U74">
        <v>2.0357876538459601</v>
      </c>
      <c r="V74">
        <v>4.25</v>
      </c>
      <c r="W74">
        <v>2.1</v>
      </c>
      <c r="X74">
        <v>204665</v>
      </c>
      <c r="Y74">
        <v>9746</v>
      </c>
      <c r="Z74">
        <v>0.43</v>
      </c>
      <c r="AA74">
        <v>21</v>
      </c>
      <c r="AB74">
        <v>10</v>
      </c>
      <c r="AC74">
        <v>11</v>
      </c>
      <c r="AD74">
        <v>47.62</v>
      </c>
      <c r="AE74">
        <v>13</v>
      </c>
      <c r="AF74">
        <v>5</v>
      </c>
      <c r="AG74">
        <v>3</v>
      </c>
      <c r="AH74">
        <v>13</v>
      </c>
    </row>
    <row r="75" spans="1:34">
      <c r="A75" s="111">
        <v>46</v>
      </c>
      <c r="B75">
        <v>3291</v>
      </c>
      <c r="C75" s="115" t="s">
        <v>147</v>
      </c>
      <c r="D75" s="115" t="s">
        <v>148</v>
      </c>
      <c r="E75">
        <v>1908</v>
      </c>
      <c r="F75">
        <v>1894</v>
      </c>
      <c r="G75">
        <v>500</v>
      </c>
      <c r="H75" s="115" t="s">
        <v>89</v>
      </c>
      <c r="I75">
        <v>8086</v>
      </c>
      <c r="J75" s="115" t="s">
        <v>386</v>
      </c>
      <c r="K75" s="115" t="s">
        <v>126</v>
      </c>
      <c r="L75">
        <v>1321</v>
      </c>
      <c r="M75">
        <v>1303</v>
      </c>
      <c r="N75">
        <v>700</v>
      </c>
      <c r="O75" s="115" t="s">
        <v>87</v>
      </c>
      <c r="P75">
        <v>0.93280990667984298</v>
      </c>
      <c r="Q75">
        <v>0.93908599288688499</v>
      </c>
      <c r="R75">
        <v>1.5190834161560999E-2</v>
      </c>
      <c r="S75" s="20">
        <v>1.3417275698966899E-2</v>
      </c>
      <c r="T75">
        <v>0.35555970589876701</v>
      </c>
      <c r="U75">
        <v>0.35555970589876701</v>
      </c>
      <c r="V75">
        <v>0.9</v>
      </c>
      <c r="W75">
        <v>3.69</v>
      </c>
      <c r="X75">
        <v>204433</v>
      </c>
      <c r="Y75">
        <v>17036</v>
      </c>
      <c r="Z75">
        <v>0.89</v>
      </c>
      <c r="AA75">
        <v>12</v>
      </c>
      <c r="AB75">
        <v>8</v>
      </c>
      <c r="AC75">
        <v>4</v>
      </c>
      <c r="AD75">
        <v>66.67</v>
      </c>
      <c r="AE75">
        <v>10</v>
      </c>
      <c r="AF75">
        <v>6</v>
      </c>
      <c r="AG75">
        <v>3</v>
      </c>
      <c r="AH75">
        <v>3</v>
      </c>
    </row>
    <row r="76" spans="1:34">
      <c r="A76" s="111">
        <v>185</v>
      </c>
      <c r="B76">
        <v>6807</v>
      </c>
      <c r="C76" s="115" t="s">
        <v>460</v>
      </c>
      <c r="D76" s="115" t="s">
        <v>118</v>
      </c>
      <c r="E76">
        <v>2080</v>
      </c>
      <c r="F76">
        <v>2069</v>
      </c>
      <c r="G76">
        <v>400</v>
      </c>
      <c r="H76" s="115" t="s">
        <v>87</v>
      </c>
      <c r="I76">
        <v>7274</v>
      </c>
      <c r="J76" s="115" t="s">
        <v>461</v>
      </c>
      <c r="K76" s="115" t="s">
        <v>115</v>
      </c>
      <c r="L76">
        <v>2271</v>
      </c>
      <c r="M76">
        <v>2282</v>
      </c>
      <c r="N76">
        <v>400</v>
      </c>
      <c r="O76" s="115" t="s">
        <v>89</v>
      </c>
      <c r="P76">
        <v>0.985488103192659</v>
      </c>
      <c r="Q76">
        <v>0.91108879613101601</v>
      </c>
      <c r="R76">
        <v>5.6613800851598797E-2</v>
      </c>
      <c r="S76">
        <v>0.18981620897865401</v>
      </c>
      <c r="T76">
        <v>-1.7042004735601699</v>
      </c>
      <c r="U76">
        <v>1.7042004735601699</v>
      </c>
      <c r="V76">
        <v>-11.62</v>
      </c>
      <c r="W76">
        <v>9.33</v>
      </c>
      <c r="X76">
        <v>203868</v>
      </c>
      <c r="Y76">
        <v>11326</v>
      </c>
      <c r="Z76">
        <v>0.46</v>
      </c>
      <c r="AA76">
        <v>18</v>
      </c>
      <c r="AB76">
        <v>11</v>
      </c>
      <c r="AC76">
        <v>7</v>
      </c>
      <c r="AD76">
        <v>61.11</v>
      </c>
      <c r="AE76">
        <v>11</v>
      </c>
      <c r="AF76">
        <v>9</v>
      </c>
      <c r="AG76">
        <v>4</v>
      </c>
      <c r="AH76">
        <v>5</v>
      </c>
    </row>
    <row r="77" spans="1:34">
      <c r="A77" s="111">
        <v>217</v>
      </c>
      <c r="B77">
        <v>1860</v>
      </c>
      <c r="C77" s="115" t="s">
        <v>145</v>
      </c>
      <c r="D77" s="115" t="s">
        <v>108</v>
      </c>
      <c r="E77">
        <v>682</v>
      </c>
      <c r="F77">
        <v>670</v>
      </c>
      <c r="G77">
        <v>1200</v>
      </c>
      <c r="H77" s="115" t="s">
        <v>87</v>
      </c>
      <c r="I77">
        <v>9787</v>
      </c>
      <c r="J77" s="115" t="s">
        <v>409</v>
      </c>
      <c r="K77" s="115" t="s">
        <v>155</v>
      </c>
      <c r="L77">
        <v>3935</v>
      </c>
      <c r="M77">
        <v>3890</v>
      </c>
      <c r="N77">
        <v>200</v>
      </c>
      <c r="O77" s="115" t="s">
        <v>89</v>
      </c>
      <c r="P77">
        <v>0.95372870337826299</v>
      </c>
      <c r="Q77">
        <v>0.905345558119522</v>
      </c>
      <c r="R77">
        <v>4.0294139813929701E-2</v>
      </c>
      <c r="S77">
        <v>2.3937898663738701E-3</v>
      </c>
      <c r="T77">
        <v>-1.3872800210121701</v>
      </c>
      <c r="U77">
        <v>1.3872800210121701</v>
      </c>
      <c r="V77">
        <v>-3.69</v>
      </c>
      <c r="W77">
        <v>3.34</v>
      </c>
      <c r="X77">
        <v>202804</v>
      </c>
      <c r="Y77">
        <v>9657</v>
      </c>
      <c r="Z77">
        <v>0.48</v>
      </c>
      <c r="AA77">
        <v>21</v>
      </c>
      <c r="AB77">
        <v>11</v>
      </c>
      <c r="AC77">
        <v>10</v>
      </c>
      <c r="AD77">
        <v>52.38</v>
      </c>
      <c r="AE77">
        <v>12</v>
      </c>
      <c r="AF77">
        <v>8</v>
      </c>
      <c r="AG77">
        <v>4</v>
      </c>
      <c r="AH77">
        <v>9</v>
      </c>
    </row>
    <row r="78" spans="1:34">
      <c r="A78" s="111">
        <v>12</v>
      </c>
      <c r="B78">
        <v>4182</v>
      </c>
      <c r="C78" s="115" t="s">
        <v>119</v>
      </c>
      <c r="D78" s="115" t="s">
        <v>88</v>
      </c>
      <c r="E78">
        <v>1680</v>
      </c>
      <c r="F78">
        <v>1641</v>
      </c>
      <c r="G78">
        <v>600</v>
      </c>
      <c r="H78" s="115" t="s">
        <v>89</v>
      </c>
      <c r="I78">
        <v>5802</v>
      </c>
      <c r="J78" s="115" t="s">
        <v>175</v>
      </c>
      <c r="K78" s="115" t="s">
        <v>176</v>
      </c>
      <c r="L78">
        <v>1576</v>
      </c>
      <c r="M78">
        <v>1580</v>
      </c>
      <c r="N78">
        <v>600</v>
      </c>
      <c r="O78" s="115" t="s">
        <v>87</v>
      </c>
      <c r="P78">
        <v>0.98177018656114901</v>
      </c>
      <c r="Q78">
        <v>0.95277771636411601</v>
      </c>
      <c r="R78">
        <v>7.1414446077700103E-2</v>
      </c>
      <c r="S78" s="20">
        <v>7.6359447605627998E-3</v>
      </c>
      <c r="T78">
        <v>0.105901031508712</v>
      </c>
      <c r="U78">
        <v>0.105901031508712</v>
      </c>
      <c r="V78">
        <v>0.26</v>
      </c>
      <c r="W78">
        <v>3.72</v>
      </c>
      <c r="X78">
        <v>202282</v>
      </c>
      <c r="Y78">
        <v>11238</v>
      </c>
      <c r="Z78">
        <v>0.67</v>
      </c>
      <c r="AA78">
        <v>18</v>
      </c>
      <c r="AB78">
        <v>11</v>
      </c>
      <c r="AC78">
        <v>7</v>
      </c>
      <c r="AD78">
        <v>61.11</v>
      </c>
      <c r="AE78">
        <v>13</v>
      </c>
      <c r="AF78">
        <v>7</v>
      </c>
      <c r="AG78">
        <v>4</v>
      </c>
      <c r="AH78">
        <v>7</v>
      </c>
    </row>
    <row r="79" spans="1:34">
      <c r="A79" s="111">
        <v>164</v>
      </c>
      <c r="B79">
        <v>5463</v>
      </c>
      <c r="C79" s="115" t="s">
        <v>196</v>
      </c>
      <c r="D79" s="115" t="s">
        <v>125</v>
      </c>
      <c r="E79">
        <v>3210</v>
      </c>
      <c r="F79">
        <v>3235</v>
      </c>
      <c r="G79">
        <v>300</v>
      </c>
      <c r="H79" s="115" t="s">
        <v>89</v>
      </c>
      <c r="I79">
        <v>7189</v>
      </c>
      <c r="J79" s="115" t="s">
        <v>112</v>
      </c>
      <c r="K79" s="115" t="s">
        <v>113</v>
      </c>
      <c r="L79">
        <v>854</v>
      </c>
      <c r="M79">
        <v>843</v>
      </c>
      <c r="N79">
        <v>1200</v>
      </c>
      <c r="O79" s="115" t="s">
        <v>87</v>
      </c>
      <c r="P79">
        <v>0.94385997076991401</v>
      </c>
      <c r="Q79">
        <v>0.913274009924678</v>
      </c>
      <c r="R79" s="20">
        <v>0.13025848368164999</v>
      </c>
      <c r="S79">
        <v>0.15439794701581</v>
      </c>
      <c r="T79">
        <v>0.17914603961478701</v>
      </c>
      <c r="U79">
        <v>0.17914603961478701</v>
      </c>
      <c r="V79">
        <v>0.77</v>
      </c>
      <c r="W79">
        <v>4.2300000000000004</v>
      </c>
      <c r="X79">
        <v>202211</v>
      </c>
      <c r="Y79">
        <v>9191</v>
      </c>
      <c r="Z79">
        <v>0.51</v>
      </c>
      <c r="AA79">
        <v>22</v>
      </c>
      <c r="AB79">
        <v>12</v>
      </c>
      <c r="AC79">
        <v>10</v>
      </c>
      <c r="AD79">
        <v>54.55</v>
      </c>
      <c r="AE79">
        <v>11</v>
      </c>
      <c r="AF79">
        <v>9</v>
      </c>
      <c r="AG79">
        <v>5</v>
      </c>
      <c r="AH79">
        <v>8</v>
      </c>
    </row>
    <row r="80" spans="1:34">
      <c r="A80" s="111">
        <v>195</v>
      </c>
      <c r="B80">
        <v>1820</v>
      </c>
      <c r="C80" s="115" t="s">
        <v>158</v>
      </c>
      <c r="D80" s="115" t="s">
        <v>108</v>
      </c>
      <c r="E80">
        <v>2385</v>
      </c>
      <c r="F80">
        <v>2356</v>
      </c>
      <c r="G80">
        <v>400</v>
      </c>
      <c r="H80" s="115" t="s">
        <v>87</v>
      </c>
      <c r="I80">
        <v>4202</v>
      </c>
      <c r="J80" s="115" t="s">
        <v>121</v>
      </c>
      <c r="K80" s="115" t="s">
        <v>88</v>
      </c>
      <c r="L80">
        <v>1117</v>
      </c>
      <c r="M80">
        <v>1098</v>
      </c>
      <c r="N80">
        <v>900</v>
      </c>
      <c r="O80" s="115" t="s">
        <v>89</v>
      </c>
      <c r="P80">
        <v>0.962014867711106</v>
      </c>
      <c r="Q80">
        <v>0.909521767007761</v>
      </c>
      <c r="R80">
        <v>0.28981543630188999</v>
      </c>
      <c r="S80">
        <v>0.103693576733508</v>
      </c>
      <c r="T80">
        <v>-0.96221625774380004</v>
      </c>
      <c r="U80">
        <v>0.96221625774380004</v>
      </c>
      <c r="V80">
        <v>-3.39</v>
      </c>
      <c r="W80">
        <v>4.8600000000000003</v>
      </c>
      <c r="X80">
        <v>201090</v>
      </c>
      <c r="Y80">
        <v>10584</v>
      </c>
      <c r="Z80">
        <v>0.56999999999999995</v>
      </c>
      <c r="AA80">
        <v>19</v>
      </c>
      <c r="AB80">
        <v>12</v>
      </c>
      <c r="AC80">
        <v>7</v>
      </c>
      <c r="AD80">
        <v>63.16</v>
      </c>
      <c r="AE80">
        <v>12</v>
      </c>
      <c r="AF80">
        <v>7</v>
      </c>
      <c r="AG80">
        <v>3</v>
      </c>
      <c r="AH80">
        <v>9</v>
      </c>
    </row>
    <row r="81" spans="1:34">
      <c r="A81" s="111">
        <v>109</v>
      </c>
      <c r="B81">
        <v>8279</v>
      </c>
      <c r="C81" s="115" t="s">
        <v>411</v>
      </c>
      <c r="D81" s="115" t="s">
        <v>128</v>
      </c>
      <c r="E81">
        <v>5210</v>
      </c>
      <c r="F81">
        <v>5170</v>
      </c>
      <c r="G81">
        <v>200</v>
      </c>
      <c r="H81" s="115" t="s">
        <v>87</v>
      </c>
      <c r="I81">
        <v>9505</v>
      </c>
      <c r="J81" s="115" t="s">
        <v>166</v>
      </c>
      <c r="K81" s="115" t="s">
        <v>167</v>
      </c>
      <c r="L81">
        <v>783</v>
      </c>
      <c r="M81">
        <v>776</v>
      </c>
      <c r="N81">
        <v>1300</v>
      </c>
      <c r="O81" s="115" t="s">
        <v>89</v>
      </c>
      <c r="P81">
        <v>0.93687752395153701</v>
      </c>
      <c r="Q81">
        <v>0.92310374749469104</v>
      </c>
      <c r="R81" s="20">
        <v>6.0533628280307603E-2</v>
      </c>
      <c r="S81">
        <v>3.1443405721153103E-2</v>
      </c>
      <c r="T81">
        <v>-0.48800957801963302</v>
      </c>
      <c r="U81">
        <v>0.48800957801963302</v>
      </c>
      <c r="V81">
        <v>-2.3199999999999998</v>
      </c>
      <c r="W81">
        <v>2.44</v>
      </c>
      <c r="X81">
        <v>199119</v>
      </c>
      <c r="Y81">
        <v>8657</v>
      </c>
      <c r="Z81">
        <v>0.9</v>
      </c>
      <c r="AA81">
        <v>23</v>
      </c>
      <c r="AB81">
        <v>14</v>
      </c>
      <c r="AC81">
        <v>9</v>
      </c>
      <c r="AD81">
        <v>60.87</v>
      </c>
      <c r="AE81">
        <v>12</v>
      </c>
      <c r="AF81">
        <v>13</v>
      </c>
      <c r="AG81">
        <v>4</v>
      </c>
      <c r="AH81">
        <v>6</v>
      </c>
    </row>
    <row r="82" spans="1:34">
      <c r="A82" s="111">
        <v>27</v>
      </c>
      <c r="B82">
        <v>7846</v>
      </c>
      <c r="C82" s="115" t="s">
        <v>163</v>
      </c>
      <c r="D82" s="115" t="s">
        <v>120</v>
      </c>
      <c r="E82">
        <v>4245</v>
      </c>
      <c r="F82">
        <v>4195</v>
      </c>
      <c r="G82">
        <v>200</v>
      </c>
      <c r="H82" s="115" t="s">
        <v>87</v>
      </c>
      <c r="I82">
        <v>9505</v>
      </c>
      <c r="J82" s="115" t="s">
        <v>166</v>
      </c>
      <c r="K82" s="115" t="s">
        <v>167</v>
      </c>
      <c r="L82">
        <v>783</v>
      </c>
      <c r="M82">
        <v>776</v>
      </c>
      <c r="N82">
        <v>1100</v>
      </c>
      <c r="O82" s="115" t="s">
        <v>89</v>
      </c>
      <c r="P82">
        <v>0.95272185184658897</v>
      </c>
      <c r="Q82">
        <v>0.94496913732424004</v>
      </c>
      <c r="R82">
        <v>9.7914374832884805E-3</v>
      </c>
      <c r="S82">
        <v>2.0647876561738401E-2</v>
      </c>
      <c r="T82">
        <v>-0.65259432563890596</v>
      </c>
      <c r="U82">
        <v>0.65259432563890596</v>
      </c>
      <c r="V82">
        <v>-1.3</v>
      </c>
      <c r="W82">
        <v>1.74</v>
      </c>
      <c r="X82">
        <v>198192</v>
      </c>
      <c r="Y82">
        <v>9438</v>
      </c>
      <c r="Z82">
        <v>0.55000000000000004</v>
      </c>
      <c r="AA82">
        <v>21</v>
      </c>
      <c r="AB82">
        <v>11</v>
      </c>
      <c r="AC82">
        <v>10</v>
      </c>
      <c r="AD82">
        <v>52.38</v>
      </c>
      <c r="AE82">
        <v>11</v>
      </c>
      <c r="AF82">
        <v>8</v>
      </c>
      <c r="AG82">
        <v>4</v>
      </c>
      <c r="AH82">
        <v>9</v>
      </c>
    </row>
    <row r="83" spans="1:34">
      <c r="A83" s="111">
        <v>17</v>
      </c>
      <c r="B83">
        <v>4182</v>
      </c>
      <c r="C83" s="115" t="s">
        <v>119</v>
      </c>
      <c r="D83" s="115" t="s">
        <v>88</v>
      </c>
      <c r="E83">
        <v>1680</v>
      </c>
      <c r="F83">
        <v>1641</v>
      </c>
      <c r="G83">
        <v>600</v>
      </c>
      <c r="H83" s="115" t="s">
        <v>87</v>
      </c>
      <c r="I83">
        <v>5991</v>
      </c>
      <c r="J83" s="115" t="s">
        <v>149</v>
      </c>
      <c r="K83" s="115" t="s">
        <v>150</v>
      </c>
      <c r="L83">
        <v>975</v>
      </c>
      <c r="M83">
        <v>965</v>
      </c>
      <c r="N83">
        <v>1000</v>
      </c>
      <c r="O83" s="115" t="s">
        <v>89</v>
      </c>
      <c r="P83">
        <v>0.97331405280114902</v>
      </c>
      <c r="Q83">
        <v>0.95026607097426097</v>
      </c>
      <c r="R83">
        <v>0.18008127151400699</v>
      </c>
      <c r="S83">
        <v>4.6235272240988903E-2</v>
      </c>
      <c r="T83">
        <v>-0.28866779644755802</v>
      </c>
      <c r="U83">
        <v>0.28866779644755802</v>
      </c>
      <c r="V83">
        <v>-0.74</v>
      </c>
      <c r="W83">
        <v>1.99</v>
      </c>
      <c r="X83">
        <v>196981</v>
      </c>
      <c r="Y83">
        <v>10367</v>
      </c>
      <c r="Z83">
        <v>0.49</v>
      </c>
      <c r="AA83">
        <v>19</v>
      </c>
      <c r="AB83">
        <v>11</v>
      </c>
      <c r="AC83">
        <v>8</v>
      </c>
      <c r="AD83">
        <v>57.89</v>
      </c>
      <c r="AE83">
        <v>12</v>
      </c>
      <c r="AF83">
        <v>7</v>
      </c>
      <c r="AG83">
        <v>3</v>
      </c>
      <c r="AH83">
        <v>9</v>
      </c>
    </row>
    <row r="84" spans="1:34">
      <c r="A84" s="111">
        <v>13</v>
      </c>
      <c r="B84">
        <v>7181</v>
      </c>
      <c r="C84" s="115" t="s">
        <v>189</v>
      </c>
      <c r="D84" s="115" t="s">
        <v>144</v>
      </c>
      <c r="E84">
        <v>1902</v>
      </c>
      <c r="F84">
        <v>1902</v>
      </c>
      <c r="G84">
        <v>500</v>
      </c>
      <c r="H84" s="115" t="s">
        <v>89</v>
      </c>
      <c r="I84">
        <v>9956</v>
      </c>
      <c r="J84" s="115" t="s">
        <v>413</v>
      </c>
      <c r="K84" s="115" t="s">
        <v>128</v>
      </c>
      <c r="L84">
        <v>2053</v>
      </c>
      <c r="M84">
        <v>2040</v>
      </c>
      <c r="N84">
        <v>500</v>
      </c>
      <c r="O84" s="115" t="s">
        <v>87</v>
      </c>
      <c r="P84">
        <v>0.92852866515884702</v>
      </c>
      <c r="Q84">
        <v>0.95231975764253296</v>
      </c>
      <c r="R84">
        <v>0.108670146652403</v>
      </c>
      <c r="S84">
        <v>0.21163002411097001</v>
      </c>
      <c r="T84">
        <v>1.60214131436921</v>
      </c>
      <c r="U84">
        <v>1.60214131436921</v>
      </c>
      <c r="V84">
        <v>4.62</v>
      </c>
      <c r="W84">
        <v>6.76</v>
      </c>
      <c r="X84">
        <v>196402</v>
      </c>
      <c r="Y84">
        <v>15108</v>
      </c>
      <c r="Z84">
        <v>0.7</v>
      </c>
      <c r="AA84">
        <v>13</v>
      </c>
      <c r="AB84">
        <v>9</v>
      </c>
      <c r="AC84">
        <v>4</v>
      </c>
      <c r="AD84">
        <v>69.23</v>
      </c>
      <c r="AE84">
        <v>14</v>
      </c>
      <c r="AF84">
        <v>3</v>
      </c>
      <c r="AG84">
        <v>1</v>
      </c>
      <c r="AH84">
        <v>9</v>
      </c>
    </row>
    <row r="85" spans="1:34">
      <c r="A85" s="111">
        <v>134</v>
      </c>
      <c r="B85">
        <v>2379</v>
      </c>
      <c r="C85" s="115" t="s">
        <v>412</v>
      </c>
      <c r="D85" s="115" t="s">
        <v>155</v>
      </c>
      <c r="E85">
        <v>3160</v>
      </c>
      <c r="F85">
        <v>3175</v>
      </c>
      <c r="G85">
        <v>300</v>
      </c>
      <c r="H85" s="115" t="s">
        <v>89</v>
      </c>
      <c r="I85">
        <v>9437</v>
      </c>
      <c r="J85" s="115" t="s">
        <v>462</v>
      </c>
      <c r="K85" s="115" t="s">
        <v>110</v>
      </c>
      <c r="L85">
        <v>3008</v>
      </c>
      <c r="M85">
        <v>3010</v>
      </c>
      <c r="N85">
        <v>300</v>
      </c>
      <c r="O85" s="115" t="s">
        <v>87</v>
      </c>
      <c r="P85">
        <v>0.912871587382034</v>
      </c>
      <c r="Q85">
        <v>0.91759828189776604</v>
      </c>
      <c r="R85">
        <v>8.0231808162201698E-2</v>
      </c>
      <c r="S85">
        <v>5.4196640022412097E-2</v>
      </c>
      <c r="T85">
        <v>1.9409011638346401</v>
      </c>
      <c r="U85">
        <v>1.9409011638346401</v>
      </c>
      <c r="V85">
        <v>10.5</v>
      </c>
      <c r="W85">
        <v>5.2</v>
      </c>
      <c r="X85">
        <v>196308</v>
      </c>
      <c r="Y85">
        <v>9348</v>
      </c>
      <c r="Z85">
        <v>0.5</v>
      </c>
      <c r="AA85">
        <v>21</v>
      </c>
      <c r="AB85">
        <v>11</v>
      </c>
      <c r="AC85">
        <v>10</v>
      </c>
      <c r="AD85">
        <v>52.38</v>
      </c>
      <c r="AE85">
        <v>10</v>
      </c>
      <c r="AF85">
        <v>8</v>
      </c>
      <c r="AG85">
        <v>6</v>
      </c>
      <c r="AH85">
        <v>7</v>
      </c>
    </row>
    <row r="86" spans="1:34">
      <c r="A86" s="111">
        <v>118</v>
      </c>
      <c r="B86">
        <v>2914</v>
      </c>
      <c r="C86" s="115" t="s">
        <v>129</v>
      </c>
      <c r="D86" s="115" t="s">
        <v>130</v>
      </c>
      <c r="E86">
        <v>2482.5</v>
      </c>
      <c r="F86">
        <v>2476</v>
      </c>
      <c r="G86">
        <v>400</v>
      </c>
      <c r="H86" s="115" t="s">
        <v>87</v>
      </c>
      <c r="I86">
        <v>5233</v>
      </c>
      <c r="J86" s="115" t="s">
        <v>199</v>
      </c>
      <c r="K86" s="115" t="s">
        <v>140</v>
      </c>
      <c r="L86">
        <v>3260</v>
      </c>
      <c r="M86">
        <v>3205</v>
      </c>
      <c r="N86">
        <v>300</v>
      </c>
      <c r="O86" s="115" t="s">
        <v>89</v>
      </c>
      <c r="P86">
        <v>0.90810250337208898</v>
      </c>
      <c r="Q86">
        <v>0.92044535223878898</v>
      </c>
      <c r="R86">
        <v>0.12204498921357899</v>
      </c>
      <c r="S86">
        <v>7.9688000647369597E-2</v>
      </c>
      <c r="T86">
        <v>-1.0168070146997801</v>
      </c>
      <c r="U86">
        <v>1.0168070146997801</v>
      </c>
      <c r="V86">
        <v>-4.5599999999999996</v>
      </c>
      <c r="W86">
        <v>3.01</v>
      </c>
      <c r="X86">
        <v>194733</v>
      </c>
      <c r="Y86">
        <v>19473</v>
      </c>
      <c r="Z86">
        <v>1.01</v>
      </c>
      <c r="AA86">
        <v>10</v>
      </c>
      <c r="AB86">
        <v>7</v>
      </c>
      <c r="AC86">
        <v>3</v>
      </c>
      <c r="AD86">
        <v>70</v>
      </c>
      <c r="AE86">
        <v>11</v>
      </c>
      <c r="AF86">
        <v>5</v>
      </c>
      <c r="AG86">
        <v>2</v>
      </c>
      <c r="AH86">
        <v>3</v>
      </c>
    </row>
    <row r="87" spans="1:34">
      <c r="A87" s="111">
        <v>67</v>
      </c>
      <c r="B87">
        <v>7846</v>
      </c>
      <c r="C87" s="115" t="s">
        <v>163</v>
      </c>
      <c r="D87" s="115" t="s">
        <v>120</v>
      </c>
      <c r="E87">
        <v>4245</v>
      </c>
      <c r="F87">
        <v>4195</v>
      </c>
      <c r="G87">
        <v>200</v>
      </c>
      <c r="H87" s="115" t="s">
        <v>89</v>
      </c>
      <c r="I87">
        <v>8279</v>
      </c>
      <c r="J87" s="115" t="s">
        <v>411</v>
      </c>
      <c r="K87" s="115" t="s">
        <v>128</v>
      </c>
      <c r="L87">
        <v>5210</v>
      </c>
      <c r="M87">
        <v>5170</v>
      </c>
      <c r="N87">
        <v>200</v>
      </c>
      <c r="O87" s="115" t="s">
        <v>87</v>
      </c>
      <c r="P87">
        <v>0.92010139077946795</v>
      </c>
      <c r="Q87">
        <v>0.93313049397129799</v>
      </c>
      <c r="R87">
        <v>8.1878725657849399E-2</v>
      </c>
      <c r="S87">
        <v>9.1221612198869699E-3</v>
      </c>
      <c r="T87">
        <v>0.20398966635421101</v>
      </c>
      <c r="U87">
        <v>0.20398966635421101</v>
      </c>
      <c r="V87">
        <v>0.83</v>
      </c>
      <c r="W87">
        <v>18.86</v>
      </c>
      <c r="X87">
        <v>194518</v>
      </c>
      <c r="Y87">
        <v>17683</v>
      </c>
      <c r="Z87">
        <v>0.85</v>
      </c>
      <c r="AA87">
        <v>11</v>
      </c>
      <c r="AB87">
        <v>8</v>
      </c>
      <c r="AC87">
        <v>3</v>
      </c>
      <c r="AD87">
        <v>72.73</v>
      </c>
      <c r="AE87">
        <v>14</v>
      </c>
      <c r="AF87">
        <v>4</v>
      </c>
      <c r="AG87">
        <v>1</v>
      </c>
      <c r="AH87">
        <v>6</v>
      </c>
    </row>
    <row r="88" spans="1:34">
      <c r="A88" s="111">
        <v>203</v>
      </c>
      <c r="B88">
        <v>1963</v>
      </c>
      <c r="C88" s="115" t="s">
        <v>174</v>
      </c>
      <c r="D88" s="115" t="s">
        <v>108</v>
      </c>
      <c r="E88">
        <v>1630</v>
      </c>
      <c r="F88">
        <v>1630</v>
      </c>
      <c r="G88">
        <v>600</v>
      </c>
      <c r="H88" s="115" t="s">
        <v>87</v>
      </c>
      <c r="I88">
        <v>4182</v>
      </c>
      <c r="J88" s="115" t="s">
        <v>119</v>
      </c>
      <c r="K88" s="115" t="s">
        <v>88</v>
      </c>
      <c r="L88">
        <v>1680</v>
      </c>
      <c r="M88">
        <v>1641</v>
      </c>
      <c r="N88">
        <v>600</v>
      </c>
      <c r="O88" s="115" t="s">
        <v>89</v>
      </c>
      <c r="P88">
        <v>0.957502319424547</v>
      </c>
      <c r="Q88">
        <v>0.90811654630160299</v>
      </c>
      <c r="R88">
        <v>6.0795485404621704E-3</v>
      </c>
      <c r="S88" s="20">
        <v>6.1254846262801302E-4</v>
      </c>
      <c r="T88">
        <v>-0.20717854751353901</v>
      </c>
      <c r="U88">
        <v>0.20717854751353901</v>
      </c>
      <c r="V88">
        <v>-0.53</v>
      </c>
      <c r="W88">
        <v>0.67</v>
      </c>
      <c r="X88">
        <v>193916</v>
      </c>
      <c r="Y88">
        <v>7757</v>
      </c>
      <c r="Z88">
        <v>0.39</v>
      </c>
      <c r="AA88">
        <v>25</v>
      </c>
      <c r="AB88">
        <v>15</v>
      </c>
      <c r="AC88">
        <v>10</v>
      </c>
      <c r="AD88">
        <v>60</v>
      </c>
      <c r="AE88">
        <v>9</v>
      </c>
      <c r="AF88">
        <v>12</v>
      </c>
      <c r="AG88">
        <v>9</v>
      </c>
      <c r="AH88">
        <v>4</v>
      </c>
    </row>
    <row r="89" spans="1:34">
      <c r="A89" s="111">
        <v>50</v>
      </c>
      <c r="B89">
        <v>5471</v>
      </c>
      <c r="C89" s="115" t="s">
        <v>391</v>
      </c>
      <c r="D89" s="115" t="s">
        <v>125</v>
      </c>
      <c r="E89">
        <v>5130</v>
      </c>
      <c r="F89">
        <v>5020</v>
      </c>
      <c r="G89">
        <v>200</v>
      </c>
      <c r="H89" s="115" t="s">
        <v>89</v>
      </c>
      <c r="I89">
        <v>6995</v>
      </c>
      <c r="J89" s="115" t="s">
        <v>123</v>
      </c>
      <c r="K89" s="115" t="s">
        <v>115</v>
      </c>
      <c r="L89">
        <v>2129</v>
      </c>
      <c r="M89">
        <v>2122</v>
      </c>
      <c r="N89">
        <v>500</v>
      </c>
      <c r="O89" s="115" t="s">
        <v>87</v>
      </c>
      <c r="P89">
        <v>0.94665107726128395</v>
      </c>
      <c r="Q89">
        <v>0.93729616674782201</v>
      </c>
      <c r="R89">
        <v>0.29529864886357399</v>
      </c>
      <c r="S89">
        <v>5.2884928009260403E-2</v>
      </c>
      <c r="T89">
        <v>3.8407494830022003E-2</v>
      </c>
      <c r="U89">
        <v>3.8407494830022003E-2</v>
      </c>
      <c r="V89">
        <v>0.1</v>
      </c>
      <c r="W89">
        <v>5.68</v>
      </c>
      <c r="X89">
        <v>190843</v>
      </c>
      <c r="Y89">
        <v>13632</v>
      </c>
      <c r="Z89">
        <v>0.83</v>
      </c>
      <c r="AA89">
        <v>14</v>
      </c>
      <c r="AB89">
        <v>7</v>
      </c>
      <c r="AC89">
        <v>7</v>
      </c>
      <c r="AD89">
        <v>50</v>
      </c>
      <c r="AE89">
        <v>12</v>
      </c>
      <c r="AF89">
        <v>5</v>
      </c>
      <c r="AG89">
        <v>2</v>
      </c>
      <c r="AH89">
        <v>7</v>
      </c>
    </row>
    <row r="90" spans="1:34">
      <c r="A90" s="111">
        <v>100</v>
      </c>
      <c r="B90">
        <v>7181</v>
      </c>
      <c r="C90" s="115" t="s">
        <v>189</v>
      </c>
      <c r="D90" s="115" t="s">
        <v>144</v>
      </c>
      <c r="E90">
        <v>1902</v>
      </c>
      <c r="F90">
        <v>1902</v>
      </c>
      <c r="G90">
        <v>500</v>
      </c>
      <c r="H90" s="115" t="s">
        <v>89</v>
      </c>
      <c r="I90">
        <v>7202</v>
      </c>
      <c r="J90" s="115" t="s">
        <v>181</v>
      </c>
      <c r="K90" s="115" t="s">
        <v>115</v>
      </c>
      <c r="L90">
        <v>1313.5</v>
      </c>
      <c r="M90">
        <v>1304.5</v>
      </c>
      <c r="N90">
        <v>700</v>
      </c>
      <c r="O90" s="115" t="s">
        <v>87</v>
      </c>
      <c r="P90">
        <v>0.90775229083927</v>
      </c>
      <c r="Q90">
        <v>0.92569790916301598</v>
      </c>
      <c r="R90">
        <v>9.8637967537565895E-3</v>
      </c>
      <c r="S90" s="20">
        <v>0.12870998422591601</v>
      </c>
      <c r="T90">
        <v>1.8382983495285099</v>
      </c>
      <c r="U90">
        <v>1.8382983495285099</v>
      </c>
      <c r="V90">
        <v>5.33</v>
      </c>
      <c r="W90">
        <v>3.98</v>
      </c>
      <c r="X90">
        <v>189293</v>
      </c>
      <c r="Y90">
        <v>11831</v>
      </c>
      <c r="Z90">
        <v>0.61</v>
      </c>
      <c r="AA90">
        <v>16</v>
      </c>
      <c r="AB90">
        <v>10</v>
      </c>
      <c r="AC90">
        <v>6</v>
      </c>
      <c r="AD90">
        <v>62.5</v>
      </c>
      <c r="AE90">
        <v>14</v>
      </c>
      <c r="AF90">
        <v>6</v>
      </c>
      <c r="AG90">
        <v>2</v>
      </c>
      <c r="AH90">
        <v>8</v>
      </c>
    </row>
    <row r="91" spans="1:34">
      <c r="A91" s="111">
        <v>168</v>
      </c>
      <c r="B91">
        <v>1928</v>
      </c>
      <c r="C91" s="115" t="s">
        <v>390</v>
      </c>
      <c r="D91" s="115" t="s">
        <v>108</v>
      </c>
      <c r="E91">
        <v>2400</v>
      </c>
      <c r="F91">
        <v>2414</v>
      </c>
      <c r="G91">
        <v>400</v>
      </c>
      <c r="H91" s="115" t="s">
        <v>89</v>
      </c>
      <c r="I91">
        <v>6857</v>
      </c>
      <c r="J91" s="115" t="s">
        <v>160</v>
      </c>
      <c r="K91" s="115" t="s">
        <v>118</v>
      </c>
      <c r="L91">
        <v>5340</v>
      </c>
      <c r="M91">
        <v>5430</v>
      </c>
      <c r="N91">
        <v>200</v>
      </c>
      <c r="O91" s="115" t="s">
        <v>87</v>
      </c>
      <c r="P91">
        <v>0.93005339438773904</v>
      </c>
      <c r="Q91">
        <v>0.91251126207169198</v>
      </c>
      <c r="R91">
        <v>8.0838696783737396E-3</v>
      </c>
      <c r="S91">
        <v>0.22329712353605499</v>
      </c>
      <c r="T91">
        <v>0.49516927942246902</v>
      </c>
      <c r="U91">
        <v>0.49516927942246902</v>
      </c>
      <c r="V91">
        <v>1.5</v>
      </c>
      <c r="W91">
        <v>11.09</v>
      </c>
      <c r="X91">
        <v>185693</v>
      </c>
      <c r="Y91">
        <v>11606</v>
      </c>
      <c r="Z91">
        <v>0.52</v>
      </c>
      <c r="AA91">
        <v>16</v>
      </c>
      <c r="AB91">
        <v>11</v>
      </c>
      <c r="AC91">
        <v>5</v>
      </c>
      <c r="AD91">
        <v>68.75</v>
      </c>
      <c r="AE91">
        <v>10</v>
      </c>
      <c r="AF91">
        <v>6</v>
      </c>
      <c r="AG91">
        <v>5</v>
      </c>
      <c r="AH91">
        <v>5</v>
      </c>
    </row>
    <row r="92" spans="1:34">
      <c r="A92" s="111">
        <v>200</v>
      </c>
      <c r="B92">
        <v>4613</v>
      </c>
      <c r="C92" s="115" t="s">
        <v>416</v>
      </c>
      <c r="D92" s="115" t="s">
        <v>88</v>
      </c>
      <c r="E92">
        <v>2811</v>
      </c>
      <c r="F92">
        <v>2818</v>
      </c>
      <c r="G92">
        <v>300</v>
      </c>
      <c r="H92" s="115" t="s">
        <v>89</v>
      </c>
      <c r="I92">
        <v>8425</v>
      </c>
      <c r="J92" s="115" t="s">
        <v>414</v>
      </c>
      <c r="K92" s="115" t="s">
        <v>382</v>
      </c>
      <c r="L92">
        <v>3215</v>
      </c>
      <c r="M92">
        <v>3225</v>
      </c>
      <c r="N92">
        <v>300</v>
      </c>
      <c r="O92" s="115" t="s">
        <v>87</v>
      </c>
      <c r="P92">
        <v>0.918263801074099</v>
      </c>
      <c r="Q92">
        <v>0.908494416956386</v>
      </c>
      <c r="R92">
        <v>6.1113656619634998E-2</v>
      </c>
      <c r="S92">
        <v>2.8285285531739701E-2</v>
      </c>
      <c r="T92">
        <v>1.1828120624068099</v>
      </c>
      <c r="U92">
        <v>1.1828120624068099</v>
      </c>
      <c r="V92">
        <v>4.24</v>
      </c>
      <c r="W92">
        <v>12.62</v>
      </c>
      <c r="X92">
        <v>181833</v>
      </c>
      <c r="Y92">
        <v>12122</v>
      </c>
      <c r="Z92">
        <v>0.77</v>
      </c>
      <c r="AA92">
        <v>15</v>
      </c>
      <c r="AB92">
        <v>9</v>
      </c>
      <c r="AC92">
        <v>6</v>
      </c>
      <c r="AD92">
        <v>60</v>
      </c>
      <c r="AE92">
        <v>12</v>
      </c>
      <c r="AF92">
        <v>5</v>
      </c>
      <c r="AG92">
        <v>3</v>
      </c>
      <c r="AH92">
        <v>7</v>
      </c>
    </row>
    <row r="93" spans="1:34">
      <c r="A93" s="111">
        <v>105</v>
      </c>
      <c r="B93">
        <v>1333</v>
      </c>
      <c r="C93" s="115" t="s">
        <v>434</v>
      </c>
      <c r="D93" s="115" t="s">
        <v>435</v>
      </c>
      <c r="E93">
        <v>2923</v>
      </c>
      <c r="F93">
        <v>2891</v>
      </c>
      <c r="G93">
        <v>300</v>
      </c>
      <c r="H93" s="115" t="s">
        <v>87</v>
      </c>
      <c r="I93">
        <v>5901</v>
      </c>
      <c r="J93" s="115" t="s">
        <v>418</v>
      </c>
      <c r="K93" s="115" t="s">
        <v>150</v>
      </c>
      <c r="L93">
        <v>1933</v>
      </c>
      <c r="M93">
        <v>1927</v>
      </c>
      <c r="N93">
        <v>500</v>
      </c>
      <c r="O93" s="115" t="s">
        <v>89</v>
      </c>
      <c r="P93">
        <v>0.91988951486299697</v>
      </c>
      <c r="Q93">
        <v>0.92434952963914097</v>
      </c>
      <c r="R93" s="20">
        <v>2.2083181416968801E-5</v>
      </c>
      <c r="S93">
        <v>0.17192505494652199</v>
      </c>
      <c r="T93">
        <v>-1.5298766436518301</v>
      </c>
      <c r="U93">
        <v>1.5298766436518301</v>
      </c>
      <c r="V93">
        <v>-8.5</v>
      </c>
      <c r="W93">
        <v>11.09</v>
      </c>
      <c r="X93">
        <v>180249</v>
      </c>
      <c r="Y93">
        <v>11266</v>
      </c>
      <c r="Z93">
        <v>0.65</v>
      </c>
      <c r="AA93">
        <v>16</v>
      </c>
      <c r="AB93">
        <v>10</v>
      </c>
      <c r="AC93">
        <v>6</v>
      </c>
      <c r="AD93">
        <v>62.5</v>
      </c>
      <c r="AE93">
        <v>12</v>
      </c>
      <c r="AF93">
        <v>5</v>
      </c>
      <c r="AG93">
        <v>3</v>
      </c>
      <c r="AH93">
        <v>8</v>
      </c>
    </row>
    <row r="94" spans="1:34">
      <c r="A94" s="111">
        <v>255</v>
      </c>
      <c r="B94">
        <v>1942</v>
      </c>
      <c r="C94" s="115" t="s">
        <v>107</v>
      </c>
      <c r="D94" s="115" t="s">
        <v>108</v>
      </c>
      <c r="E94">
        <v>1065</v>
      </c>
      <c r="F94">
        <v>1055</v>
      </c>
      <c r="G94">
        <v>1000</v>
      </c>
      <c r="H94" s="115" t="s">
        <v>87</v>
      </c>
      <c r="I94">
        <v>3076</v>
      </c>
      <c r="J94" s="115" t="s">
        <v>184</v>
      </c>
      <c r="K94" s="115" t="s">
        <v>135</v>
      </c>
      <c r="L94">
        <v>2040</v>
      </c>
      <c r="M94">
        <v>2023</v>
      </c>
      <c r="N94">
        <v>500</v>
      </c>
      <c r="O94" s="115" t="s">
        <v>89</v>
      </c>
      <c r="P94">
        <v>0.92819857987410503</v>
      </c>
      <c r="Q94">
        <v>0.90150894592334596</v>
      </c>
      <c r="R94">
        <v>0.23272646669059099</v>
      </c>
      <c r="S94">
        <v>1.10003787117357E-2</v>
      </c>
      <c r="T94">
        <v>-0.84499481473230398</v>
      </c>
      <c r="U94">
        <v>0.84499481473230398</v>
      </c>
      <c r="V94">
        <v>-2.65</v>
      </c>
      <c r="W94">
        <v>4.3</v>
      </c>
      <c r="X94">
        <v>177069</v>
      </c>
      <c r="Y94">
        <v>11067</v>
      </c>
      <c r="Z94">
        <v>0.6</v>
      </c>
      <c r="AA94">
        <v>16</v>
      </c>
      <c r="AB94">
        <v>10</v>
      </c>
      <c r="AC94">
        <v>6</v>
      </c>
      <c r="AD94">
        <v>62.5</v>
      </c>
      <c r="AE94">
        <v>13</v>
      </c>
      <c r="AF94">
        <v>6</v>
      </c>
      <c r="AG94">
        <v>3</v>
      </c>
      <c r="AH94">
        <v>7</v>
      </c>
    </row>
    <row r="95" spans="1:34">
      <c r="A95" s="111">
        <v>197</v>
      </c>
      <c r="B95">
        <v>1860</v>
      </c>
      <c r="C95" s="115" t="s">
        <v>145</v>
      </c>
      <c r="D95" s="115" t="s">
        <v>108</v>
      </c>
      <c r="E95">
        <v>682</v>
      </c>
      <c r="F95">
        <v>670</v>
      </c>
      <c r="G95">
        <v>1600</v>
      </c>
      <c r="H95" s="115" t="s">
        <v>87</v>
      </c>
      <c r="I95">
        <v>9072</v>
      </c>
      <c r="J95" s="115" t="s">
        <v>169</v>
      </c>
      <c r="K95" s="115" t="s">
        <v>154</v>
      </c>
      <c r="L95">
        <v>2766</v>
      </c>
      <c r="M95">
        <v>2725</v>
      </c>
      <c r="N95">
        <v>400</v>
      </c>
      <c r="O95" s="115" t="s">
        <v>89</v>
      </c>
      <c r="P95">
        <v>0.949036027584923</v>
      </c>
      <c r="Q95">
        <v>0.90906512229633196</v>
      </c>
      <c r="R95">
        <v>0.155502373876964</v>
      </c>
      <c r="S95">
        <v>2.0852529909308099E-2</v>
      </c>
      <c r="T95">
        <v>-0.36930935779767998</v>
      </c>
      <c r="U95">
        <v>0.36930935779767998</v>
      </c>
      <c r="V95">
        <v>-1.2</v>
      </c>
      <c r="W95">
        <v>1.65</v>
      </c>
      <c r="X95">
        <v>176568</v>
      </c>
      <c r="Y95">
        <v>9293</v>
      </c>
      <c r="Z95">
        <v>0.43</v>
      </c>
      <c r="AA95">
        <v>19</v>
      </c>
      <c r="AB95">
        <v>9</v>
      </c>
      <c r="AC95">
        <v>10</v>
      </c>
      <c r="AD95">
        <v>47.37</v>
      </c>
      <c r="AE95">
        <v>15</v>
      </c>
      <c r="AF95">
        <v>5</v>
      </c>
      <c r="AG95">
        <v>1</v>
      </c>
      <c r="AH95">
        <v>13</v>
      </c>
    </row>
    <row r="96" spans="1:34">
      <c r="A96" s="111">
        <v>204</v>
      </c>
      <c r="B96">
        <v>4061</v>
      </c>
      <c r="C96" s="115" t="s">
        <v>159</v>
      </c>
      <c r="D96" s="115" t="s">
        <v>88</v>
      </c>
      <c r="E96">
        <v>3340</v>
      </c>
      <c r="F96">
        <v>3290</v>
      </c>
      <c r="G96">
        <v>200</v>
      </c>
      <c r="H96" s="115" t="s">
        <v>89</v>
      </c>
      <c r="I96">
        <v>8316</v>
      </c>
      <c r="J96" s="115" t="s">
        <v>186</v>
      </c>
      <c r="K96" s="115" t="s">
        <v>113</v>
      </c>
      <c r="L96">
        <v>4005</v>
      </c>
      <c r="M96">
        <v>4012</v>
      </c>
      <c r="N96">
        <v>200</v>
      </c>
      <c r="O96" s="115" t="s">
        <v>87</v>
      </c>
      <c r="P96">
        <v>0.96083237377667996</v>
      </c>
      <c r="Q96">
        <v>0.90802253212467199</v>
      </c>
      <c r="R96">
        <v>0.14609142352350099</v>
      </c>
      <c r="S96">
        <v>7.5166302689882796E-4</v>
      </c>
      <c r="T96">
        <v>0.62411746993616601</v>
      </c>
      <c r="U96">
        <v>0.62411746993616601</v>
      </c>
      <c r="V96">
        <v>1.29</v>
      </c>
      <c r="W96">
        <v>18</v>
      </c>
      <c r="X96">
        <v>176497</v>
      </c>
      <c r="Y96">
        <v>25214</v>
      </c>
      <c r="Z96">
        <v>1.47</v>
      </c>
      <c r="AA96">
        <v>7</v>
      </c>
      <c r="AB96">
        <v>6</v>
      </c>
      <c r="AC96">
        <v>1</v>
      </c>
      <c r="AD96">
        <v>85.71</v>
      </c>
      <c r="AE96">
        <v>14</v>
      </c>
      <c r="AF96">
        <v>2</v>
      </c>
      <c r="AG96">
        <v>0</v>
      </c>
      <c r="AH96">
        <v>5</v>
      </c>
    </row>
    <row r="97" spans="1:34">
      <c r="A97" s="111">
        <v>20</v>
      </c>
      <c r="B97">
        <v>8425</v>
      </c>
      <c r="C97" s="115" t="s">
        <v>414</v>
      </c>
      <c r="D97" s="115" t="s">
        <v>382</v>
      </c>
      <c r="E97">
        <v>3215</v>
      </c>
      <c r="F97">
        <v>3225</v>
      </c>
      <c r="G97">
        <v>300</v>
      </c>
      <c r="H97" s="115" t="s">
        <v>87</v>
      </c>
      <c r="I97">
        <v>8593</v>
      </c>
      <c r="J97" s="115" t="s">
        <v>403</v>
      </c>
      <c r="K97" s="115" t="s">
        <v>382</v>
      </c>
      <c r="L97">
        <v>708</v>
      </c>
      <c r="M97">
        <v>708</v>
      </c>
      <c r="N97">
        <v>1400</v>
      </c>
      <c r="O97" s="115" t="s">
        <v>89</v>
      </c>
      <c r="P97">
        <v>0.96502964914508205</v>
      </c>
      <c r="Q97">
        <v>0.94773510663371197</v>
      </c>
      <c r="R97">
        <v>2.47334409593232E-3</v>
      </c>
      <c r="S97">
        <v>4.4705336608497799E-3</v>
      </c>
      <c r="T97">
        <v>-0.43797770950692799</v>
      </c>
      <c r="U97">
        <v>0.43797770950692799</v>
      </c>
      <c r="V97">
        <v>-0.74</v>
      </c>
      <c r="W97">
        <v>2.4500000000000002</v>
      </c>
      <c r="X97">
        <v>175709</v>
      </c>
      <c r="Y97">
        <v>12551</v>
      </c>
      <c r="Z97">
        <v>0.59</v>
      </c>
      <c r="AA97">
        <v>14</v>
      </c>
      <c r="AB97">
        <v>9</v>
      </c>
      <c r="AC97">
        <v>5</v>
      </c>
      <c r="AD97">
        <v>64.290000000000006</v>
      </c>
      <c r="AE97">
        <v>13</v>
      </c>
      <c r="AF97">
        <v>6</v>
      </c>
      <c r="AG97">
        <v>3</v>
      </c>
      <c r="AH97">
        <v>5</v>
      </c>
    </row>
    <row r="98" spans="1:34">
      <c r="A98" s="111">
        <v>171</v>
      </c>
      <c r="B98">
        <v>3635</v>
      </c>
      <c r="C98" s="115" t="s">
        <v>116</v>
      </c>
      <c r="D98" s="115" t="s">
        <v>110</v>
      </c>
      <c r="E98">
        <v>2585</v>
      </c>
      <c r="F98">
        <v>2597</v>
      </c>
      <c r="G98">
        <v>300</v>
      </c>
      <c r="H98" s="115" t="s">
        <v>87</v>
      </c>
      <c r="I98">
        <v>4613</v>
      </c>
      <c r="J98" s="115" t="s">
        <v>416</v>
      </c>
      <c r="K98" s="115" t="s">
        <v>88</v>
      </c>
      <c r="L98">
        <v>2811</v>
      </c>
      <c r="M98">
        <v>2818</v>
      </c>
      <c r="N98">
        <v>300</v>
      </c>
      <c r="O98" s="115" t="s">
        <v>89</v>
      </c>
      <c r="P98">
        <v>0.93081419682509603</v>
      </c>
      <c r="Q98">
        <v>0.91242892062551095</v>
      </c>
      <c r="R98">
        <v>0.36895791450336302</v>
      </c>
      <c r="S98">
        <v>0.18508630434887599</v>
      </c>
      <c r="T98">
        <v>-0.89693405477718602</v>
      </c>
      <c r="U98">
        <v>0.89693405477718602</v>
      </c>
      <c r="V98">
        <v>-3.54</v>
      </c>
      <c r="W98">
        <v>7.84</v>
      </c>
      <c r="X98">
        <v>175233</v>
      </c>
      <c r="Y98">
        <v>13479</v>
      </c>
      <c r="Z98">
        <v>0.8</v>
      </c>
      <c r="AA98">
        <v>13</v>
      </c>
      <c r="AB98">
        <v>9</v>
      </c>
      <c r="AC98">
        <v>4</v>
      </c>
      <c r="AD98">
        <v>69.23</v>
      </c>
      <c r="AE98">
        <v>13</v>
      </c>
      <c r="AF98">
        <v>5</v>
      </c>
      <c r="AG98">
        <v>2</v>
      </c>
      <c r="AH98">
        <v>6</v>
      </c>
    </row>
    <row r="99" spans="1:34">
      <c r="A99" s="111">
        <v>44</v>
      </c>
      <c r="B99">
        <v>6845</v>
      </c>
      <c r="C99" s="115" t="s">
        <v>396</v>
      </c>
      <c r="D99" s="115" t="s">
        <v>118</v>
      </c>
      <c r="E99">
        <v>3140</v>
      </c>
      <c r="F99">
        <v>3125</v>
      </c>
      <c r="G99">
        <v>300</v>
      </c>
      <c r="H99" s="115" t="s">
        <v>87</v>
      </c>
      <c r="I99">
        <v>6925</v>
      </c>
      <c r="J99" s="115" t="s">
        <v>405</v>
      </c>
      <c r="K99" s="115" t="s">
        <v>118</v>
      </c>
      <c r="L99">
        <v>1666</v>
      </c>
      <c r="M99">
        <v>1645</v>
      </c>
      <c r="N99">
        <v>600</v>
      </c>
      <c r="O99" s="115" t="s">
        <v>89</v>
      </c>
      <c r="P99">
        <v>0.93760807297778004</v>
      </c>
      <c r="Q99">
        <v>0.94024049396000997</v>
      </c>
      <c r="R99">
        <v>7.4881242083621596E-2</v>
      </c>
      <c r="S99" s="20">
        <v>8.3204573996804795E-3</v>
      </c>
      <c r="T99">
        <v>-0.491331019538293</v>
      </c>
      <c r="U99">
        <v>0.491331019538293</v>
      </c>
      <c r="V99">
        <v>-1.53</v>
      </c>
      <c r="W99">
        <v>5.28</v>
      </c>
      <c r="X99">
        <v>173618</v>
      </c>
      <c r="Y99">
        <v>9138</v>
      </c>
      <c r="Z99">
        <v>0.45</v>
      </c>
      <c r="AA99">
        <v>19</v>
      </c>
      <c r="AB99">
        <v>10</v>
      </c>
      <c r="AC99">
        <v>9</v>
      </c>
      <c r="AD99">
        <v>52.63</v>
      </c>
      <c r="AE99">
        <v>13</v>
      </c>
      <c r="AF99">
        <v>8</v>
      </c>
      <c r="AG99">
        <v>3</v>
      </c>
      <c r="AH99">
        <v>8</v>
      </c>
    </row>
    <row r="100" spans="1:34">
      <c r="A100" s="111">
        <v>233</v>
      </c>
      <c r="B100">
        <v>4042</v>
      </c>
      <c r="C100" s="115" t="s">
        <v>438</v>
      </c>
      <c r="D100" s="115" t="s">
        <v>88</v>
      </c>
      <c r="E100">
        <v>1628</v>
      </c>
      <c r="F100">
        <v>1624</v>
      </c>
      <c r="G100">
        <v>600</v>
      </c>
      <c r="H100" s="115" t="s">
        <v>87</v>
      </c>
      <c r="I100">
        <v>7762</v>
      </c>
      <c r="J100" s="115" t="s">
        <v>141</v>
      </c>
      <c r="K100" s="115" t="s">
        <v>126</v>
      </c>
      <c r="L100">
        <v>611</v>
      </c>
      <c r="M100">
        <v>610</v>
      </c>
      <c r="N100">
        <v>1600</v>
      </c>
      <c r="O100" s="115" t="s">
        <v>89</v>
      </c>
      <c r="P100">
        <v>0.96767140322479295</v>
      </c>
      <c r="Q100">
        <v>0.90415505926912598</v>
      </c>
      <c r="R100">
        <v>7.76145813968281E-2</v>
      </c>
      <c r="S100">
        <v>0.27613121794669498</v>
      </c>
      <c r="T100">
        <v>-0.78154202470600798</v>
      </c>
      <c r="U100">
        <v>0.78154202470600798</v>
      </c>
      <c r="V100">
        <v>-1.7</v>
      </c>
      <c r="W100">
        <v>0.16</v>
      </c>
      <c r="X100">
        <v>173063</v>
      </c>
      <c r="Y100">
        <v>12362</v>
      </c>
      <c r="Z100">
        <v>0.63</v>
      </c>
      <c r="AA100">
        <v>14</v>
      </c>
      <c r="AB100">
        <v>9</v>
      </c>
      <c r="AC100">
        <v>5</v>
      </c>
      <c r="AD100">
        <v>64.290000000000006</v>
      </c>
      <c r="AE100">
        <v>13</v>
      </c>
      <c r="AF100">
        <v>4</v>
      </c>
      <c r="AG100">
        <v>2</v>
      </c>
      <c r="AH100">
        <v>8</v>
      </c>
    </row>
    <row r="101" spans="1:34">
      <c r="A101" s="111">
        <v>225</v>
      </c>
      <c r="B101">
        <v>6371</v>
      </c>
      <c r="C101" s="115" t="s">
        <v>142</v>
      </c>
      <c r="D101" s="115" t="s">
        <v>133</v>
      </c>
      <c r="E101">
        <v>3830</v>
      </c>
      <c r="F101">
        <v>3770</v>
      </c>
      <c r="G101">
        <v>200</v>
      </c>
      <c r="H101" s="115" t="s">
        <v>89</v>
      </c>
      <c r="I101">
        <v>7327</v>
      </c>
      <c r="J101" s="115" t="s">
        <v>194</v>
      </c>
      <c r="K101" s="115" t="s">
        <v>113</v>
      </c>
      <c r="L101">
        <v>2926</v>
      </c>
      <c r="M101">
        <v>2888</v>
      </c>
      <c r="N101">
        <v>300</v>
      </c>
      <c r="O101" s="115" t="s">
        <v>87</v>
      </c>
      <c r="P101">
        <v>0.94694935100443001</v>
      </c>
      <c r="Q101">
        <v>0.90464476586632603</v>
      </c>
      <c r="R101">
        <v>0.177617099110187</v>
      </c>
      <c r="S101">
        <v>3.6418633245002503E-2</v>
      </c>
      <c r="T101">
        <v>0.262311347630096</v>
      </c>
      <c r="U101">
        <v>0.262311347630096</v>
      </c>
      <c r="V101">
        <v>0.56000000000000005</v>
      </c>
      <c r="W101">
        <v>14.91</v>
      </c>
      <c r="X101">
        <v>171321</v>
      </c>
      <c r="Y101">
        <v>42830</v>
      </c>
      <c r="Z101">
        <v>2.2799999999999998</v>
      </c>
      <c r="AA101">
        <v>4</v>
      </c>
      <c r="AB101">
        <v>4</v>
      </c>
      <c r="AC101">
        <v>0</v>
      </c>
      <c r="AD101">
        <v>100</v>
      </c>
      <c r="AE101">
        <v>10</v>
      </c>
      <c r="AF101">
        <v>4</v>
      </c>
      <c r="AG101">
        <v>0</v>
      </c>
      <c r="AH101">
        <v>0</v>
      </c>
    </row>
    <row r="102" spans="1:34">
      <c r="A102" s="111">
        <v>81</v>
      </c>
      <c r="B102">
        <v>3099</v>
      </c>
      <c r="C102" s="115" t="s">
        <v>90</v>
      </c>
      <c r="D102" s="115" t="s">
        <v>128</v>
      </c>
      <c r="E102">
        <v>1002</v>
      </c>
      <c r="F102">
        <v>987</v>
      </c>
      <c r="G102">
        <v>1000</v>
      </c>
      <c r="H102" s="115" t="s">
        <v>89</v>
      </c>
      <c r="I102">
        <v>5463</v>
      </c>
      <c r="J102" s="115" t="s">
        <v>196</v>
      </c>
      <c r="K102" s="115" t="s">
        <v>125</v>
      </c>
      <c r="L102">
        <v>3210</v>
      </c>
      <c r="M102">
        <v>3235</v>
      </c>
      <c r="N102">
        <v>300</v>
      </c>
      <c r="O102" s="115" t="s">
        <v>87</v>
      </c>
      <c r="P102">
        <v>0.91227065477204505</v>
      </c>
      <c r="Q102">
        <v>0.929877720416589</v>
      </c>
      <c r="R102">
        <v>2.17963903890727E-2</v>
      </c>
      <c r="S102">
        <v>0.28736506901585201</v>
      </c>
      <c r="T102">
        <v>2.3556097476383198E-2</v>
      </c>
      <c r="U102">
        <v>2.3556097476383198E-2</v>
      </c>
      <c r="V102">
        <v>0.09</v>
      </c>
      <c r="W102">
        <v>1.7</v>
      </c>
      <c r="X102">
        <v>166358</v>
      </c>
      <c r="Y102">
        <v>9786</v>
      </c>
      <c r="Z102">
        <v>0.54</v>
      </c>
      <c r="AA102">
        <v>17</v>
      </c>
      <c r="AB102">
        <v>10</v>
      </c>
      <c r="AC102">
        <v>7</v>
      </c>
      <c r="AD102">
        <v>58.82</v>
      </c>
      <c r="AE102">
        <v>14</v>
      </c>
      <c r="AF102">
        <v>8</v>
      </c>
      <c r="AG102">
        <v>4</v>
      </c>
      <c r="AH102">
        <v>5</v>
      </c>
    </row>
    <row r="103" spans="1:34">
      <c r="A103" s="111">
        <v>198</v>
      </c>
      <c r="B103">
        <v>9072</v>
      </c>
      <c r="C103" s="115" t="s">
        <v>169</v>
      </c>
      <c r="D103" s="115" t="s">
        <v>154</v>
      </c>
      <c r="E103">
        <v>2766</v>
      </c>
      <c r="F103">
        <v>2725</v>
      </c>
      <c r="G103">
        <v>400</v>
      </c>
      <c r="H103" s="115" t="s">
        <v>87</v>
      </c>
      <c r="I103">
        <v>9810</v>
      </c>
      <c r="J103" s="115" t="s">
        <v>170</v>
      </c>
      <c r="K103" s="115" t="s">
        <v>135</v>
      </c>
      <c r="L103">
        <v>5030</v>
      </c>
      <c r="M103">
        <v>4955</v>
      </c>
      <c r="N103">
        <v>200</v>
      </c>
      <c r="O103" s="115" t="s">
        <v>89</v>
      </c>
      <c r="P103">
        <v>0.95514912278063901</v>
      </c>
      <c r="Q103">
        <v>0.90892117692461305</v>
      </c>
      <c r="R103" s="20">
        <v>5.1753679469273499E-2</v>
      </c>
      <c r="S103">
        <v>2.4898833972472399E-3</v>
      </c>
      <c r="T103">
        <v>-1.5566345646532</v>
      </c>
      <c r="U103">
        <v>1.5566345646532</v>
      </c>
      <c r="V103">
        <v>-4.3099999999999996</v>
      </c>
      <c r="W103">
        <v>9.99</v>
      </c>
      <c r="X103">
        <v>161996</v>
      </c>
      <c r="Y103">
        <v>11571</v>
      </c>
      <c r="Z103">
        <v>0.75</v>
      </c>
      <c r="AA103">
        <v>14</v>
      </c>
      <c r="AB103">
        <v>9</v>
      </c>
      <c r="AC103">
        <v>5</v>
      </c>
      <c r="AD103">
        <v>64.290000000000006</v>
      </c>
      <c r="AE103">
        <v>14</v>
      </c>
      <c r="AF103">
        <v>6</v>
      </c>
      <c r="AG103">
        <v>1</v>
      </c>
      <c r="AH103">
        <v>7</v>
      </c>
    </row>
    <row r="104" spans="1:34">
      <c r="A104" s="111">
        <v>92</v>
      </c>
      <c r="B104">
        <v>5901</v>
      </c>
      <c r="C104" s="115" t="s">
        <v>418</v>
      </c>
      <c r="D104" s="115" t="s">
        <v>150</v>
      </c>
      <c r="E104">
        <v>1933</v>
      </c>
      <c r="F104">
        <v>1927</v>
      </c>
      <c r="G104">
        <v>500</v>
      </c>
      <c r="H104" s="115" t="s">
        <v>89</v>
      </c>
      <c r="I104">
        <v>8377</v>
      </c>
      <c r="J104" s="115" t="s">
        <v>127</v>
      </c>
      <c r="K104" s="115" t="s">
        <v>113</v>
      </c>
      <c r="L104">
        <v>1121</v>
      </c>
      <c r="M104">
        <v>1117</v>
      </c>
      <c r="N104">
        <v>900</v>
      </c>
      <c r="O104" s="115" t="s">
        <v>87</v>
      </c>
      <c r="P104">
        <v>0.94105721015712596</v>
      </c>
      <c r="Q104">
        <v>0.92747951298921905</v>
      </c>
      <c r="R104">
        <v>8.8116655965521401E-2</v>
      </c>
      <c r="S104">
        <v>0.25555525212125801</v>
      </c>
      <c r="T104">
        <v>1.5207041136296799</v>
      </c>
      <c r="U104">
        <v>1.5207041136296799</v>
      </c>
      <c r="V104">
        <v>4.3499999999999996</v>
      </c>
      <c r="W104">
        <v>4.34</v>
      </c>
      <c r="X104">
        <v>160862</v>
      </c>
      <c r="Y104">
        <v>7312</v>
      </c>
      <c r="Z104">
        <v>0.31</v>
      </c>
      <c r="AA104">
        <v>22</v>
      </c>
      <c r="AB104">
        <v>14</v>
      </c>
      <c r="AC104">
        <v>8</v>
      </c>
      <c r="AD104">
        <v>63.64</v>
      </c>
      <c r="AE104">
        <v>14</v>
      </c>
      <c r="AF104">
        <v>9</v>
      </c>
      <c r="AG104">
        <v>6</v>
      </c>
      <c r="AH104">
        <v>7</v>
      </c>
    </row>
    <row r="105" spans="1:34">
      <c r="A105" s="111">
        <v>9</v>
      </c>
      <c r="B105">
        <v>7182</v>
      </c>
      <c r="C105" s="115" t="s">
        <v>180</v>
      </c>
      <c r="D105" s="115" t="s">
        <v>113</v>
      </c>
      <c r="E105">
        <v>1061</v>
      </c>
      <c r="F105">
        <v>1066</v>
      </c>
      <c r="G105">
        <v>1000</v>
      </c>
      <c r="H105" s="115" t="s">
        <v>87</v>
      </c>
      <c r="I105">
        <v>7211</v>
      </c>
      <c r="J105" s="115" t="s">
        <v>56</v>
      </c>
      <c r="K105" s="115" t="s">
        <v>115</v>
      </c>
      <c r="L105">
        <v>487</v>
      </c>
      <c r="M105">
        <v>488</v>
      </c>
      <c r="N105">
        <v>2200</v>
      </c>
      <c r="O105" s="115" t="s">
        <v>89</v>
      </c>
      <c r="P105">
        <v>0.95168639609618699</v>
      </c>
      <c r="Q105">
        <v>0.95561788484300103</v>
      </c>
      <c r="R105" s="20">
        <v>1.3221958051268701E-4</v>
      </c>
      <c r="S105" s="20">
        <v>3.1557832143046501E-3</v>
      </c>
      <c r="T105">
        <v>-0.19463922200018499</v>
      </c>
      <c r="U105">
        <v>0.19463922200018499</v>
      </c>
      <c r="V105">
        <v>-0.52</v>
      </c>
      <c r="W105">
        <v>0.71</v>
      </c>
      <c r="X105">
        <v>155648</v>
      </c>
      <c r="Y105">
        <v>9728</v>
      </c>
      <c r="Z105">
        <v>0.45</v>
      </c>
      <c r="AA105">
        <v>16</v>
      </c>
      <c r="AB105">
        <v>8</v>
      </c>
      <c r="AC105">
        <v>8</v>
      </c>
      <c r="AD105">
        <v>50</v>
      </c>
      <c r="AE105">
        <v>16</v>
      </c>
      <c r="AF105">
        <v>3</v>
      </c>
      <c r="AG105">
        <v>1</v>
      </c>
      <c r="AH105">
        <v>12</v>
      </c>
    </row>
    <row r="106" spans="1:34">
      <c r="A106" s="111">
        <v>125</v>
      </c>
      <c r="B106">
        <v>1963</v>
      </c>
      <c r="C106" s="115" t="s">
        <v>174</v>
      </c>
      <c r="D106" s="115" t="s">
        <v>108</v>
      </c>
      <c r="E106">
        <v>1630</v>
      </c>
      <c r="F106">
        <v>1630</v>
      </c>
      <c r="G106">
        <v>500</v>
      </c>
      <c r="H106" s="115" t="s">
        <v>87</v>
      </c>
      <c r="I106">
        <v>7259</v>
      </c>
      <c r="J106" s="115" t="s">
        <v>55</v>
      </c>
      <c r="K106" s="115" t="s">
        <v>115</v>
      </c>
      <c r="L106">
        <v>4140</v>
      </c>
      <c r="M106">
        <v>4150</v>
      </c>
      <c r="N106">
        <v>200</v>
      </c>
      <c r="O106" s="115" t="s">
        <v>89</v>
      </c>
      <c r="P106">
        <v>0.91788224322176903</v>
      </c>
      <c r="Q106">
        <v>0.91883664745341798</v>
      </c>
      <c r="R106">
        <v>0.21315230383116199</v>
      </c>
      <c r="S106" s="20">
        <v>1.01371992844193E-4</v>
      </c>
      <c r="T106">
        <v>-0.54355431787720099</v>
      </c>
      <c r="U106">
        <v>0.54355431787720099</v>
      </c>
      <c r="V106">
        <v>-2.11</v>
      </c>
      <c r="W106">
        <v>1.81</v>
      </c>
      <c r="X106">
        <v>149956</v>
      </c>
      <c r="Y106">
        <v>9997</v>
      </c>
      <c r="Z106">
        <v>0.53</v>
      </c>
      <c r="AA106">
        <v>15</v>
      </c>
      <c r="AB106">
        <v>9</v>
      </c>
      <c r="AC106">
        <v>6</v>
      </c>
      <c r="AD106">
        <v>60</v>
      </c>
      <c r="AE106">
        <v>11</v>
      </c>
      <c r="AF106">
        <v>8</v>
      </c>
      <c r="AG106">
        <v>5</v>
      </c>
      <c r="AH106">
        <v>2</v>
      </c>
    </row>
    <row r="107" spans="1:34">
      <c r="A107" s="111">
        <v>22</v>
      </c>
      <c r="B107">
        <v>6201</v>
      </c>
      <c r="C107" s="115" t="s">
        <v>421</v>
      </c>
      <c r="D107" s="115" t="s">
        <v>115</v>
      </c>
      <c r="E107">
        <v>6550</v>
      </c>
      <c r="F107">
        <v>6560</v>
      </c>
      <c r="G107">
        <v>100</v>
      </c>
      <c r="H107" s="115" t="s">
        <v>87</v>
      </c>
      <c r="I107">
        <v>6645</v>
      </c>
      <c r="J107" s="115" t="s">
        <v>162</v>
      </c>
      <c r="K107" s="115" t="s">
        <v>118</v>
      </c>
      <c r="L107">
        <v>6590</v>
      </c>
      <c r="M107">
        <v>6500</v>
      </c>
      <c r="N107">
        <v>100</v>
      </c>
      <c r="O107" s="115" t="s">
        <v>89</v>
      </c>
      <c r="P107">
        <v>0.91476176516684604</v>
      </c>
      <c r="Q107">
        <v>0.94717672330430802</v>
      </c>
      <c r="R107" s="20">
        <v>0.12756753349559</v>
      </c>
      <c r="S107" s="20">
        <v>2.07488742319469E-2</v>
      </c>
      <c r="T107">
        <v>-0.83662038229296898</v>
      </c>
      <c r="U107">
        <v>0.83662038229296898</v>
      </c>
      <c r="V107">
        <v>-3.78</v>
      </c>
      <c r="W107">
        <v>0.91</v>
      </c>
      <c r="X107">
        <v>149233</v>
      </c>
      <c r="Y107">
        <v>13567</v>
      </c>
      <c r="Z107">
        <v>1.07</v>
      </c>
      <c r="AA107">
        <v>11</v>
      </c>
      <c r="AB107">
        <v>8</v>
      </c>
      <c r="AC107">
        <v>3</v>
      </c>
      <c r="AD107">
        <v>72.73</v>
      </c>
      <c r="AE107">
        <v>12</v>
      </c>
      <c r="AF107">
        <v>5</v>
      </c>
      <c r="AG107">
        <v>2</v>
      </c>
      <c r="AH107">
        <v>4</v>
      </c>
    </row>
    <row r="108" spans="1:34">
      <c r="A108" s="111">
        <v>176</v>
      </c>
      <c r="B108">
        <v>4182</v>
      </c>
      <c r="C108" s="115" t="s">
        <v>119</v>
      </c>
      <c r="D108" s="115" t="s">
        <v>88</v>
      </c>
      <c r="E108">
        <v>1680</v>
      </c>
      <c r="F108">
        <v>1641</v>
      </c>
      <c r="G108">
        <v>700</v>
      </c>
      <c r="H108" s="115" t="s">
        <v>89</v>
      </c>
      <c r="I108">
        <v>5334</v>
      </c>
      <c r="J108" s="115" t="s">
        <v>389</v>
      </c>
      <c r="K108" s="115" t="s">
        <v>140</v>
      </c>
      <c r="L108">
        <v>2209</v>
      </c>
      <c r="M108">
        <v>2189</v>
      </c>
      <c r="N108">
        <v>500</v>
      </c>
      <c r="O108" s="115" t="s">
        <v>87</v>
      </c>
      <c r="P108">
        <v>0.94191989986429803</v>
      </c>
      <c r="Q108">
        <v>0.91192356489781301</v>
      </c>
      <c r="R108">
        <v>0.24550244456155401</v>
      </c>
      <c r="S108">
        <v>3.5663724406059603E-2</v>
      </c>
      <c r="T108">
        <v>1.5594735688192201</v>
      </c>
      <c r="U108">
        <v>1.5594735688192201</v>
      </c>
      <c r="V108">
        <v>6.08</v>
      </c>
      <c r="W108">
        <v>4.95</v>
      </c>
      <c r="X108">
        <v>147730</v>
      </c>
      <c r="Y108">
        <v>8690</v>
      </c>
      <c r="Z108">
        <v>0.41</v>
      </c>
      <c r="AA108">
        <v>17</v>
      </c>
      <c r="AB108">
        <v>9</v>
      </c>
      <c r="AC108">
        <v>8</v>
      </c>
      <c r="AD108">
        <v>52.94</v>
      </c>
      <c r="AE108">
        <v>12</v>
      </c>
      <c r="AF108">
        <v>5</v>
      </c>
      <c r="AG108">
        <v>4</v>
      </c>
      <c r="AH108">
        <v>8</v>
      </c>
    </row>
    <row r="109" spans="1:34">
      <c r="A109" s="111">
        <v>51</v>
      </c>
      <c r="B109">
        <v>4182</v>
      </c>
      <c r="C109" s="115" t="s">
        <v>119</v>
      </c>
      <c r="D109" s="115" t="s">
        <v>88</v>
      </c>
      <c r="E109">
        <v>1680</v>
      </c>
      <c r="F109">
        <v>1641</v>
      </c>
      <c r="G109">
        <v>600</v>
      </c>
      <c r="H109" s="115" t="s">
        <v>89</v>
      </c>
      <c r="I109">
        <v>6752</v>
      </c>
      <c r="J109" s="115" t="s">
        <v>139</v>
      </c>
      <c r="K109" s="115" t="s">
        <v>118</v>
      </c>
      <c r="L109">
        <v>978.8</v>
      </c>
      <c r="M109">
        <v>981</v>
      </c>
      <c r="N109">
        <v>1000</v>
      </c>
      <c r="O109" s="115" t="s">
        <v>87</v>
      </c>
      <c r="P109">
        <v>0.94882669831156297</v>
      </c>
      <c r="Q109">
        <v>0.93727470199685003</v>
      </c>
      <c r="R109">
        <v>0.187283698742813</v>
      </c>
      <c r="S109">
        <v>0.169393213775893</v>
      </c>
      <c r="T109">
        <v>1.04493329213952</v>
      </c>
      <c r="U109">
        <v>1.04493329213952</v>
      </c>
      <c r="V109">
        <v>4.43</v>
      </c>
      <c r="W109">
        <v>0.37</v>
      </c>
      <c r="X109">
        <v>145761</v>
      </c>
      <c r="Y109">
        <v>8098</v>
      </c>
      <c r="Z109">
        <v>0.37</v>
      </c>
      <c r="AA109">
        <v>18</v>
      </c>
      <c r="AB109">
        <v>12</v>
      </c>
      <c r="AC109">
        <v>6</v>
      </c>
      <c r="AD109">
        <v>66.67</v>
      </c>
      <c r="AE109">
        <v>13</v>
      </c>
      <c r="AF109">
        <v>7</v>
      </c>
      <c r="AG109">
        <v>4</v>
      </c>
      <c r="AH109">
        <v>7</v>
      </c>
    </row>
    <row r="110" spans="1:34">
      <c r="A110" s="111">
        <v>16</v>
      </c>
      <c r="B110">
        <v>5214</v>
      </c>
      <c r="C110" s="115" t="s">
        <v>173</v>
      </c>
      <c r="D110" s="115" t="s">
        <v>140</v>
      </c>
      <c r="E110">
        <v>2395</v>
      </c>
      <c r="F110">
        <v>2374</v>
      </c>
      <c r="G110">
        <v>400</v>
      </c>
      <c r="H110" s="115" t="s">
        <v>87</v>
      </c>
      <c r="I110">
        <v>5411</v>
      </c>
      <c r="J110" s="115" t="s">
        <v>124</v>
      </c>
      <c r="K110" s="115" t="s">
        <v>125</v>
      </c>
      <c r="L110">
        <v>1392</v>
      </c>
      <c r="M110">
        <v>1376</v>
      </c>
      <c r="N110">
        <v>700</v>
      </c>
      <c r="O110" s="115" t="s">
        <v>89</v>
      </c>
      <c r="P110">
        <v>0.90122128803880797</v>
      </c>
      <c r="Q110">
        <v>0.95098331542555403</v>
      </c>
      <c r="R110">
        <v>3.79969361474445E-3</v>
      </c>
      <c r="S110">
        <v>3.7515404354868297E-2</v>
      </c>
      <c r="T110">
        <v>-2.2624094230691898</v>
      </c>
      <c r="U110">
        <v>2.2624094230691898</v>
      </c>
      <c r="V110">
        <v>-4.51</v>
      </c>
      <c r="W110">
        <v>1.43</v>
      </c>
      <c r="X110">
        <v>144532</v>
      </c>
      <c r="Y110">
        <v>9033</v>
      </c>
      <c r="Z110">
        <v>0.55000000000000004</v>
      </c>
      <c r="AA110">
        <v>16</v>
      </c>
      <c r="AB110">
        <v>8</v>
      </c>
      <c r="AC110">
        <v>8</v>
      </c>
      <c r="AD110">
        <v>50</v>
      </c>
      <c r="AE110">
        <v>13</v>
      </c>
      <c r="AF110">
        <v>6</v>
      </c>
      <c r="AG110">
        <v>4</v>
      </c>
      <c r="AH110">
        <v>6</v>
      </c>
    </row>
    <row r="111" spans="1:34">
      <c r="A111" s="111">
        <v>52</v>
      </c>
      <c r="B111">
        <v>2413</v>
      </c>
      <c r="C111" s="115" t="s">
        <v>463</v>
      </c>
      <c r="D111" s="115" t="s">
        <v>155</v>
      </c>
      <c r="E111">
        <v>2983</v>
      </c>
      <c r="F111">
        <v>2990</v>
      </c>
      <c r="G111">
        <v>200</v>
      </c>
      <c r="H111" s="115" t="s">
        <v>89</v>
      </c>
      <c r="I111">
        <v>7649</v>
      </c>
      <c r="J111" s="115" t="s">
        <v>458</v>
      </c>
      <c r="K111" s="115" t="s">
        <v>128</v>
      </c>
      <c r="L111">
        <v>6290</v>
      </c>
      <c r="M111">
        <v>6240</v>
      </c>
      <c r="N111">
        <v>100</v>
      </c>
      <c r="O111" s="115" t="s">
        <v>87</v>
      </c>
      <c r="P111">
        <v>0.90270537356730096</v>
      </c>
      <c r="Q111">
        <v>0.937021063913413</v>
      </c>
      <c r="R111" s="20">
        <v>3.5710277176767698E-4</v>
      </c>
      <c r="S111">
        <v>4.2646220709261898E-2</v>
      </c>
      <c r="T111">
        <v>2.7832770501045498</v>
      </c>
      <c r="U111">
        <v>2.7832770501045498</v>
      </c>
      <c r="V111">
        <v>9.68</v>
      </c>
      <c r="W111">
        <v>4.17</v>
      </c>
      <c r="X111">
        <v>140434</v>
      </c>
      <c r="Y111">
        <v>10803</v>
      </c>
      <c r="Z111">
        <v>0.76</v>
      </c>
      <c r="AA111">
        <v>13</v>
      </c>
      <c r="AB111">
        <v>7</v>
      </c>
      <c r="AC111">
        <v>6</v>
      </c>
      <c r="AD111">
        <v>53.85</v>
      </c>
      <c r="AE111">
        <v>13</v>
      </c>
      <c r="AF111">
        <v>5</v>
      </c>
      <c r="AG111">
        <v>3</v>
      </c>
      <c r="AH111">
        <v>5</v>
      </c>
    </row>
    <row r="112" spans="1:34">
      <c r="A112" s="111">
        <v>209</v>
      </c>
      <c r="B112">
        <v>1963</v>
      </c>
      <c r="C112" s="115" t="s">
        <v>174</v>
      </c>
      <c r="D112" s="115" t="s">
        <v>108</v>
      </c>
      <c r="E112">
        <v>1630</v>
      </c>
      <c r="F112">
        <v>1630</v>
      </c>
      <c r="G112">
        <v>600</v>
      </c>
      <c r="H112" s="115" t="s">
        <v>89</v>
      </c>
      <c r="I112">
        <v>6472</v>
      </c>
      <c r="J112" s="115" t="s">
        <v>183</v>
      </c>
      <c r="K112" s="115" t="s">
        <v>133</v>
      </c>
      <c r="L112">
        <v>342</v>
      </c>
      <c r="M112">
        <v>336</v>
      </c>
      <c r="N112">
        <v>2900</v>
      </c>
      <c r="O112" s="115" t="s">
        <v>87</v>
      </c>
      <c r="P112">
        <v>0.91319328461083804</v>
      </c>
      <c r="Q112">
        <v>0.90705945045394898</v>
      </c>
      <c r="R112">
        <v>0.14496069848138099</v>
      </c>
      <c r="S112">
        <v>7.06728234855507E-4</v>
      </c>
      <c r="T112">
        <v>1.54280540493161</v>
      </c>
      <c r="U112">
        <v>1.54280540493161</v>
      </c>
      <c r="V112">
        <v>5.76</v>
      </c>
      <c r="W112">
        <v>0.37</v>
      </c>
      <c r="X112">
        <v>136633</v>
      </c>
      <c r="Y112">
        <v>7191</v>
      </c>
      <c r="Z112">
        <v>0.35</v>
      </c>
      <c r="AA112">
        <v>19</v>
      </c>
      <c r="AB112">
        <v>11</v>
      </c>
      <c r="AC112">
        <v>8</v>
      </c>
      <c r="AD112">
        <v>57.89</v>
      </c>
      <c r="AE112">
        <v>10</v>
      </c>
      <c r="AF112">
        <v>8</v>
      </c>
      <c r="AG112">
        <v>7</v>
      </c>
      <c r="AH112">
        <v>4</v>
      </c>
    </row>
    <row r="113" spans="1:34">
      <c r="A113" s="111">
        <v>216</v>
      </c>
      <c r="B113">
        <v>7181</v>
      </c>
      <c r="C113" s="115" t="s">
        <v>189</v>
      </c>
      <c r="D113" s="115" t="s">
        <v>144</v>
      </c>
      <c r="E113">
        <v>1902</v>
      </c>
      <c r="F113">
        <v>1902</v>
      </c>
      <c r="G113">
        <v>500</v>
      </c>
      <c r="H113" s="115" t="s">
        <v>89</v>
      </c>
      <c r="I113">
        <v>7327</v>
      </c>
      <c r="J113" s="115" t="s">
        <v>194</v>
      </c>
      <c r="K113" s="115" t="s">
        <v>113</v>
      </c>
      <c r="L113">
        <v>2926</v>
      </c>
      <c r="M113">
        <v>2888</v>
      </c>
      <c r="N113">
        <v>300</v>
      </c>
      <c r="O113" s="115" t="s">
        <v>87</v>
      </c>
      <c r="P113">
        <v>0.94609585056793499</v>
      </c>
      <c r="Q113">
        <v>0.90541426821249504</v>
      </c>
      <c r="R113">
        <v>2.4625869225963402E-3</v>
      </c>
      <c r="S113">
        <v>0.19327876083015799</v>
      </c>
      <c r="T113">
        <v>2.9984756819857501</v>
      </c>
      <c r="U113">
        <v>2.9984756819857501</v>
      </c>
      <c r="V113">
        <v>5.86</v>
      </c>
      <c r="W113">
        <v>9.76</v>
      </c>
      <c r="X113">
        <v>136221</v>
      </c>
      <c r="Y113">
        <v>45407</v>
      </c>
      <c r="Z113">
        <v>2.59</v>
      </c>
      <c r="AA113">
        <v>3</v>
      </c>
      <c r="AB113">
        <v>3</v>
      </c>
      <c r="AC113">
        <v>0</v>
      </c>
      <c r="AD113">
        <v>100</v>
      </c>
      <c r="AE113">
        <v>8</v>
      </c>
      <c r="AF113">
        <v>3</v>
      </c>
      <c r="AG113">
        <v>0</v>
      </c>
      <c r="AH113">
        <v>0</v>
      </c>
    </row>
    <row r="114" spans="1:34">
      <c r="A114" s="111">
        <v>73</v>
      </c>
      <c r="B114">
        <v>8341</v>
      </c>
      <c r="C114" s="115" t="s">
        <v>165</v>
      </c>
      <c r="D114" s="115" t="s">
        <v>113</v>
      </c>
      <c r="E114">
        <v>1768</v>
      </c>
      <c r="F114">
        <v>1747</v>
      </c>
      <c r="G114">
        <v>600</v>
      </c>
      <c r="H114" s="115" t="s">
        <v>89</v>
      </c>
      <c r="I114">
        <v>8795</v>
      </c>
      <c r="J114" s="115" t="s">
        <v>185</v>
      </c>
      <c r="K114" s="115" t="s">
        <v>144</v>
      </c>
      <c r="L114">
        <v>1275</v>
      </c>
      <c r="M114">
        <v>1251</v>
      </c>
      <c r="N114">
        <v>800</v>
      </c>
      <c r="O114" s="115" t="s">
        <v>87</v>
      </c>
      <c r="P114">
        <v>0.94326578689973395</v>
      </c>
      <c r="Q114">
        <v>0.93155980310544595</v>
      </c>
      <c r="R114">
        <v>0.37976889237082601</v>
      </c>
      <c r="S114">
        <v>0.11748110999109899</v>
      </c>
      <c r="T114">
        <v>0.919839718181234</v>
      </c>
      <c r="U114">
        <v>0.919839718181234</v>
      </c>
      <c r="V114">
        <v>2.78</v>
      </c>
      <c r="W114">
        <v>4.5199999999999996</v>
      </c>
      <c r="X114">
        <v>132898</v>
      </c>
      <c r="Y114">
        <v>8860</v>
      </c>
      <c r="Z114">
        <v>0.47</v>
      </c>
      <c r="AA114">
        <v>15</v>
      </c>
      <c r="AB114">
        <v>10</v>
      </c>
      <c r="AC114">
        <v>5</v>
      </c>
      <c r="AD114">
        <v>66.67</v>
      </c>
      <c r="AE114">
        <v>12</v>
      </c>
      <c r="AF114">
        <v>6</v>
      </c>
      <c r="AG114">
        <v>3</v>
      </c>
      <c r="AH114">
        <v>6</v>
      </c>
    </row>
    <row r="115" spans="1:34">
      <c r="A115" s="111">
        <v>226</v>
      </c>
      <c r="B115">
        <v>6856</v>
      </c>
      <c r="C115" s="115" t="s">
        <v>444</v>
      </c>
      <c r="D115" s="115" t="s">
        <v>118</v>
      </c>
      <c r="E115">
        <v>7300</v>
      </c>
      <c r="F115">
        <v>7370</v>
      </c>
      <c r="G115">
        <v>100</v>
      </c>
      <c r="H115" s="115" t="s">
        <v>87</v>
      </c>
      <c r="I115">
        <v>9706</v>
      </c>
      <c r="J115" s="115" t="s">
        <v>464</v>
      </c>
      <c r="K115" s="115" t="s">
        <v>148</v>
      </c>
      <c r="L115">
        <v>5720</v>
      </c>
      <c r="M115">
        <v>5710</v>
      </c>
      <c r="N115">
        <v>100</v>
      </c>
      <c r="O115" s="115" t="s">
        <v>89</v>
      </c>
      <c r="P115">
        <v>0.94606436384261805</v>
      </c>
      <c r="Q115">
        <v>0.904569890124863</v>
      </c>
      <c r="R115">
        <v>0.16978676689552699</v>
      </c>
      <c r="S115">
        <v>1.38803965000993E-2</v>
      </c>
      <c r="T115">
        <v>-1.1041304256253199</v>
      </c>
      <c r="U115">
        <v>1.1041304256253199</v>
      </c>
      <c r="V115">
        <v>-3.83</v>
      </c>
      <c r="W115">
        <v>22.52</v>
      </c>
      <c r="X115">
        <v>132436</v>
      </c>
      <c r="Y115">
        <v>26487</v>
      </c>
      <c r="Z115">
        <v>1.54</v>
      </c>
      <c r="AA115">
        <v>5</v>
      </c>
      <c r="AB115">
        <v>4</v>
      </c>
      <c r="AC115">
        <v>1</v>
      </c>
      <c r="AD115">
        <v>80</v>
      </c>
      <c r="AE115">
        <v>6</v>
      </c>
      <c r="AF115">
        <v>3</v>
      </c>
      <c r="AG115">
        <v>1</v>
      </c>
      <c r="AH115">
        <v>1</v>
      </c>
    </row>
    <row r="116" spans="1:34">
      <c r="A116" s="111">
        <v>1</v>
      </c>
      <c r="B116">
        <v>1928</v>
      </c>
      <c r="C116" s="115" t="s">
        <v>390</v>
      </c>
      <c r="D116" s="115" t="s">
        <v>108</v>
      </c>
      <c r="E116">
        <v>2400</v>
      </c>
      <c r="F116">
        <v>2414</v>
      </c>
      <c r="G116">
        <v>300</v>
      </c>
      <c r="H116" s="115" t="s">
        <v>89</v>
      </c>
      <c r="I116">
        <v>4612</v>
      </c>
      <c r="J116" s="115" t="s">
        <v>177</v>
      </c>
      <c r="K116" s="115" t="s">
        <v>88</v>
      </c>
      <c r="L116">
        <v>6120</v>
      </c>
      <c r="M116">
        <v>6130</v>
      </c>
      <c r="N116">
        <v>100</v>
      </c>
      <c r="O116" s="115" t="s">
        <v>87</v>
      </c>
      <c r="P116">
        <v>0.94690794453120097</v>
      </c>
      <c r="Q116">
        <v>0.96792664025632402</v>
      </c>
      <c r="R116">
        <v>6.2448882283654597E-2</v>
      </c>
      <c r="S116">
        <v>2.2616052752074799E-2</v>
      </c>
      <c r="T116">
        <v>1.11491053389921</v>
      </c>
      <c r="U116">
        <v>1.11491053389921</v>
      </c>
      <c r="V116">
        <v>2.91</v>
      </c>
      <c r="W116">
        <v>18.14</v>
      </c>
      <c r="X116">
        <v>130730</v>
      </c>
      <c r="Y116">
        <v>9338</v>
      </c>
      <c r="Z116">
        <v>0.42</v>
      </c>
      <c r="AA116">
        <v>14</v>
      </c>
      <c r="AB116">
        <v>8</v>
      </c>
      <c r="AC116">
        <v>6</v>
      </c>
      <c r="AD116">
        <v>57.14</v>
      </c>
      <c r="AE116">
        <v>11</v>
      </c>
      <c r="AF116">
        <v>5</v>
      </c>
      <c r="AG116">
        <v>4</v>
      </c>
      <c r="AH116">
        <v>5</v>
      </c>
    </row>
    <row r="117" spans="1:34">
      <c r="A117" s="111">
        <v>202</v>
      </c>
      <c r="B117">
        <v>4183</v>
      </c>
      <c r="C117" s="115" t="s">
        <v>388</v>
      </c>
      <c r="D117" s="115" t="s">
        <v>88</v>
      </c>
      <c r="E117">
        <v>2714</v>
      </c>
      <c r="F117">
        <v>2664</v>
      </c>
      <c r="G117">
        <v>400</v>
      </c>
      <c r="H117" s="115" t="s">
        <v>87</v>
      </c>
      <c r="I117">
        <v>8586</v>
      </c>
      <c r="J117" s="115" t="s">
        <v>381</v>
      </c>
      <c r="K117" s="115" t="s">
        <v>382</v>
      </c>
      <c r="L117">
        <v>2692</v>
      </c>
      <c r="M117">
        <v>2660</v>
      </c>
      <c r="N117">
        <v>400</v>
      </c>
      <c r="O117" s="115" t="s">
        <v>89</v>
      </c>
      <c r="P117">
        <v>0.94502406313713705</v>
      </c>
      <c r="Q117">
        <v>0.90827735014097999</v>
      </c>
      <c r="R117">
        <v>7.1401480872828202E-2</v>
      </c>
      <c r="S117">
        <v>1.56013689929668E-3</v>
      </c>
      <c r="T117">
        <v>-2.6517829132780699</v>
      </c>
      <c r="U117">
        <v>2.6517829132780699</v>
      </c>
      <c r="V117">
        <v>-6.85</v>
      </c>
      <c r="W117">
        <v>0.15</v>
      </c>
      <c r="X117">
        <v>128195</v>
      </c>
      <c r="Y117">
        <v>9861</v>
      </c>
      <c r="Z117">
        <v>0.41</v>
      </c>
      <c r="AA117">
        <v>13</v>
      </c>
      <c r="AB117">
        <v>6</v>
      </c>
      <c r="AC117">
        <v>7</v>
      </c>
      <c r="AD117">
        <v>46.15</v>
      </c>
      <c r="AE117">
        <v>14</v>
      </c>
      <c r="AF117">
        <v>4</v>
      </c>
      <c r="AG117">
        <v>0</v>
      </c>
      <c r="AH117">
        <v>9</v>
      </c>
    </row>
    <row r="118" spans="1:34">
      <c r="A118" s="111">
        <v>169</v>
      </c>
      <c r="B118">
        <v>6103</v>
      </c>
      <c r="C118" s="115" t="s">
        <v>424</v>
      </c>
      <c r="D118" s="115" t="s">
        <v>133</v>
      </c>
      <c r="E118">
        <v>6220</v>
      </c>
      <c r="F118">
        <v>6110</v>
      </c>
      <c r="G118">
        <v>100</v>
      </c>
      <c r="H118" s="115" t="s">
        <v>87</v>
      </c>
      <c r="I118">
        <v>6361</v>
      </c>
      <c r="J118" s="115" t="s">
        <v>442</v>
      </c>
      <c r="K118" s="115" t="s">
        <v>133</v>
      </c>
      <c r="L118">
        <v>3365</v>
      </c>
      <c r="M118">
        <v>3335</v>
      </c>
      <c r="N118">
        <v>200</v>
      </c>
      <c r="O118" s="115" t="s">
        <v>89</v>
      </c>
      <c r="P118">
        <v>0.92013728531413397</v>
      </c>
      <c r="Q118">
        <v>0.91250566826836199</v>
      </c>
      <c r="R118">
        <v>0.20183856274898901</v>
      </c>
      <c r="S118">
        <v>3.8277887700864099E-2</v>
      </c>
      <c r="T118">
        <v>-2.1742284956695102</v>
      </c>
      <c r="U118">
        <v>2.1742284956695102</v>
      </c>
      <c r="V118">
        <v>-9.92</v>
      </c>
      <c r="W118">
        <v>9.17</v>
      </c>
      <c r="X118">
        <v>126822</v>
      </c>
      <c r="Y118">
        <v>10568</v>
      </c>
      <c r="Z118">
        <v>0.96</v>
      </c>
      <c r="AA118">
        <v>12</v>
      </c>
      <c r="AB118">
        <v>7</v>
      </c>
      <c r="AC118">
        <v>5</v>
      </c>
      <c r="AD118">
        <v>58.33</v>
      </c>
      <c r="AE118">
        <v>11</v>
      </c>
      <c r="AF118">
        <v>5</v>
      </c>
      <c r="AG118">
        <v>3</v>
      </c>
      <c r="AH118">
        <v>4</v>
      </c>
    </row>
    <row r="119" spans="1:34">
      <c r="A119" s="111">
        <v>126</v>
      </c>
      <c r="B119">
        <v>4208</v>
      </c>
      <c r="C119" s="115" t="s">
        <v>131</v>
      </c>
      <c r="D119" s="115" t="s">
        <v>88</v>
      </c>
      <c r="E119">
        <v>2349</v>
      </c>
      <c r="F119">
        <v>2323</v>
      </c>
      <c r="G119">
        <v>500</v>
      </c>
      <c r="H119" s="115" t="s">
        <v>87</v>
      </c>
      <c r="I119">
        <v>9072</v>
      </c>
      <c r="J119" s="115" t="s">
        <v>169</v>
      </c>
      <c r="K119" s="115" t="s">
        <v>154</v>
      </c>
      <c r="L119">
        <v>2766</v>
      </c>
      <c r="M119">
        <v>2725</v>
      </c>
      <c r="N119">
        <v>400</v>
      </c>
      <c r="O119" s="115" t="s">
        <v>89</v>
      </c>
      <c r="P119">
        <v>0.93902337426334903</v>
      </c>
      <c r="Q119">
        <v>0.91882277319292205</v>
      </c>
      <c r="R119">
        <v>6.24150934131966E-2</v>
      </c>
      <c r="S119">
        <v>1.03953473861409E-2</v>
      </c>
      <c r="T119">
        <v>-0.97607771855846004</v>
      </c>
      <c r="U119">
        <v>0.97607771855846004</v>
      </c>
      <c r="V119">
        <v>-2</v>
      </c>
      <c r="W119">
        <v>6.56</v>
      </c>
      <c r="X119">
        <v>126426</v>
      </c>
      <c r="Y119">
        <v>11493</v>
      </c>
      <c r="Z119">
        <v>0.65</v>
      </c>
      <c r="AA119">
        <v>11</v>
      </c>
      <c r="AB119">
        <v>7</v>
      </c>
      <c r="AC119">
        <v>4</v>
      </c>
      <c r="AD119">
        <v>63.64</v>
      </c>
      <c r="AE119">
        <v>14</v>
      </c>
      <c r="AF119">
        <v>5</v>
      </c>
      <c r="AG119">
        <v>1</v>
      </c>
      <c r="AH119">
        <v>5</v>
      </c>
    </row>
    <row r="120" spans="1:34">
      <c r="A120" s="111">
        <v>78</v>
      </c>
      <c r="B120">
        <v>4114</v>
      </c>
      <c r="C120" s="115" t="s">
        <v>415</v>
      </c>
      <c r="D120" s="115" t="s">
        <v>88</v>
      </c>
      <c r="E120">
        <v>6870</v>
      </c>
      <c r="F120">
        <v>6730</v>
      </c>
      <c r="G120">
        <v>100</v>
      </c>
      <c r="H120" s="115" t="s">
        <v>89</v>
      </c>
      <c r="I120">
        <v>4118</v>
      </c>
      <c r="J120" s="115" t="s">
        <v>91</v>
      </c>
      <c r="K120" s="115" t="s">
        <v>88</v>
      </c>
      <c r="L120">
        <v>3600</v>
      </c>
      <c r="M120">
        <v>3520</v>
      </c>
      <c r="N120">
        <v>200</v>
      </c>
      <c r="O120" s="115" t="s">
        <v>87</v>
      </c>
      <c r="P120">
        <v>0.93150344198399804</v>
      </c>
      <c r="Q120">
        <v>0.93108122431237506</v>
      </c>
      <c r="R120">
        <v>0.13677913907046799</v>
      </c>
      <c r="S120" s="20">
        <v>3.28945562980197E-4</v>
      </c>
      <c r="T120">
        <v>0.86655768562304902</v>
      </c>
      <c r="U120">
        <v>0.86655768562304902</v>
      </c>
      <c r="V120">
        <v>2.82</v>
      </c>
      <c r="W120">
        <v>4.6100000000000003</v>
      </c>
      <c r="X120">
        <v>117701</v>
      </c>
      <c r="Y120">
        <v>19617</v>
      </c>
      <c r="Z120">
        <v>1.26</v>
      </c>
      <c r="AA120">
        <v>6</v>
      </c>
      <c r="AB120">
        <v>4</v>
      </c>
      <c r="AC120">
        <v>2</v>
      </c>
      <c r="AD120">
        <v>66.67</v>
      </c>
      <c r="AE120">
        <v>15</v>
      </c>
      <c r="AF120">
        <v>3</v>
      </c>
      <c r="AG120">
        <v>0</v>
      </c>
      <c r="AH120">
        <v>3</v>
      </c>
    </row>
    <row r="121" spans="1:34">
      <c r="A121" s="111">
        <v>182</v>
      </c>
      <c r="B121">
        <v>1860</v>
      </c>
      <c r="C121" s="115" t="s">
        <v>145</v>
      </c>
      <c r="D121" s="115" t="s">
        <v>108</v>
      </c>
      <c r="E121">
        <v>682</v>
      </c>
      <c r="F121">
        <v>670</v>
      </c>
      <c r="G121">
        <v>1500</v>
      </c>
      <c r="H121" s="115" t="s">
        <v>87</v>
      </c>
      <c r="I121">
        <v>5110</v>
      </c>
      <c r="J121" s="115" t="s">
        <v>171</v>
      </c>
      <c r="K121" s="115" t="s">
        <v>172</v>
      </c>
      <c r="L121">
        <v>1405</v>
      </c>
      <c r="M121">
        <v>1393</v>
      </c>
      <c r="N121">
        <v>700</v>
      </c>
      <c r="O121" s="115" t="s">
        <v>89</v>
      </c>
      <c r="P121">
        <v>0.96880506398328303</v>
      </c>
      <c r="Q121">
        <v>0.91120844192584405</v>
      </c>
      <c r="R121">
        <v>1.8880761803959398E-2</v>
      </c>
      <c r="S121">
        <v>7.2260022328361302E-3</v>
      </c>
      <c r="T121">
        <v>-0.43978331082583699</v>
      </c>
      <c r="U121">
        <v>0.43978331082583699</v>
      </c>
      <c r="V121">
        <v>-0.74</v>
      </c>
      <c r="W121">
        <v>3.07</v>
      </c>
      <c r="X121">
        <v>117025</v>
      </c>
      <c r="Y121">
        <v>7314</v>
      </c>
      <c r="Z121">
        <v>0.32</v>
      </c>
      <c r="AA121">
        <v>16</v>
      </c>
      <c r="AB121">
        <v>9</v>
      </c>
      <c r="AC121">
        <v>7</v>
      </c>
      <c r="AD121">
        <v>56.25</v>
      </c>
      <c r="AE121">
        <v>12</v>
      </c>
      <c r="AF121">
        <v>6</v>
      </c>
      <c r="AG121">
        <v>4</v>
      </c>
      <c r="AH121">
        <v>6</v>
      </c>
    </row>
    <row r="122" spans="1:34">
      <c r="A122" s="111">
        <v>11</v>
      </c>
      <c r="B122">
        <v>5802</v>
      </c>
      <c r="C122" s="115" t="s">
        <v>175</v>
      </c>
      <c r="D122" s="115" t="s">
        <v>176</v>
      </c>
      <c r="E122">
        <v>1576</v>
      </c>
      <c r="F122">
        <v>1580</v>
      </c>
      <c r="G122">
        <v>600</v>
      </c>
      <c r="H122" s="115" t="s">
        <v>89</v>
      </c>
      <c r="I122">
        <v>7267</v>
      </c>
      <c r="J122" s="115" t="s">
        <v>153</v>
      </c>
      <c r="K122" s="115" t="s">
        <v>115</v>
      </c>
      <c r="L122">
        <v>3147</v>
      </c>
      <c r="M122">
        <v>3109</v>
      </c>
      <c r="N122">
        <v>300</v>
      </c>
      <c r="O122" s="115" t="s">
        <v>87</v>
      </c>
      <c r="P122">
        <v>0.964677648177375</v>
      </c>
      <c r="Q122">
        <v>0.95377379206093205</v>
      </c>
      <c r="R122" s="20">
        <v>0.15510131695986701</v>
      </c>
      <c r="S122">
        <v>2.6015214037390998E-2</v>
      </c>
      <c r="T122">
        <v>1.8655326357026001</v>
      </c>
      <c r="U122">
        <v>1.8655326357026001</v>
      </c>
      <c r="V122">
        <v>3.34</v>
      </c>
      <c r="W122">
        <v>1.64</v>
      </c>
      <c r="X122">
        <v>117004</v>
      </c>
      <c r="Y122">
        <v>7800</v>
      </c>
      <c r="Z122">
        <v>0.36</v>
      </c>
      <c r="AA122">
        <v>15</v>
      </c>
      <c r="AB122">
        <v>10</v>
      </c>
      <c r="AC122">
        <v>5</v>
      </c>
      <c r="AD122">
        <v>66.67</v>
      </c>
      <c r="AE122">
        <v>16</v>
      </c>
      <c r="AF122">
        <v>1</v>
      </c>
      <c r="AG122">
        <v>1</v>
      </c>
      <c r="AH122">
        <v>13</v>
      </c>
    </row>
    <row r="123" spans="1:34">
      <c r="A123" s="111">
        <v>141</v>
      </c>
      <c r="B123">
        <v>3116</v>
      </c>
      <c r="C123" s="115" t="s">
        <v>168</v>
      </c>
      <c r="D123" s="115" t="s">
        <v>115</v>
      </c>
      <c r="E123">
        <v>1740</v>
      </c>
      <c r="F123">
        <v>1715</v>
      </c>
      <c r="G123">
        <v>400</v>
      </c>
      <c r="H123" s="115" t="s">
        <v>89</v>
      </c>
      <c r="I123">
        <v>6371</v>
      </c>
      <c r="J123" s="115" t="s">
        <v>142</v>
      </c>
      <c r="K123" s="115" t="s">
        <v>133</v>
      </c>
      <c r="L123">
        <v>3830</v>
      </c>
      <c r="M123">
        <v>3770</v>
      </c>
      <c r="N123">
        <v>200</v>
      </c>
      <c r="O123" s="115" t="s">
        <v>87</v>
      </c>
      <c r="P123">
        <v>0.948830598216303</v>
      </c>
      <c r="Q123">
        <v>0.91609028479245402</v>
      </c>
      <c r="R123">
        <v>0.116951871623392</v>
      </c>
      <c r="S123">
        <v>2.02979998983067E-2</v>
      </c>
      <c r="T123">
        <v>1.9049351061598601</v>
      </c>
      <c r="U123">
        <v>1.9049351061598601</v>
      </c>
      <c r="V123">
        <v>3.67</v>
      </c>
      <c r="W123">
        <v>9.02</v>
      </c>
      <c r="X123">
        <v>116971</v>
      </c>
      <c r="Y123">
        <v>7798</v>
      </c>
      <c r="Z123">
        <v>0.42</v>
      </c>
      <c r="AA123">
        <v>15</v>
      </c>
      <c r="AB123">
        <v>8</v>
      </c>
      <c r="AC123">
        <v>7</v>
      </c>
      <c r="AD123">
        <v>53.33</v>
      </c>
      <c r="AE123">
        <v>12</v>
      </c>
      <c r="AF123">
        <v>6</v>
      </c>
      <c r="AG123">
        <v>3</v>
      </c>
      <c r="AH123">
        <v>6</v>
      </c>
    </row>
    <row r="124" spans="1:34">
      <c r="A124" s="111">
        <v>241</v>
      </c>
      <c r="B124">
        <v>8304</v>
      </c>
      <c r="C124" s="115" t="s">
        <v>200</v>
      </c>
      <c r="D124" s="115" t="s">
        <v>113</v>
      </c>
      <c r="E124">
        <v>2811</v>
      </c>
      <c r="F124">
        <v>2767</v>
      </c>
      <c r="G124">
        <v>300</v>
      </c>
      <c r="H124" s="115" t="s">
        <v>87</v>
      </c>
      <c r="I124">
        <v>8341</v>
      </c>
      <c r="J124" s="115" t="s">
        <v>165</v>
      </c>
      <c r="K124" s="115" t="s">
        <v>113</v>
      </c>
      <c r="L124">
        <v>1768</v>
      </c>
      <c r="M124">
        <v>1747</v>
      </c>
      <c r="N124">
        <v>500</v>
      </c>
      <c r="O124" s="115" t="s">
        <v>89</v>
      </c>
      <c r="P124">
        <v>0.95952788466243699</v>
      </c>
      <c r="Q124">
        <v>0.90349565152727895</v>
      </c>
      <c r="R124">
        <v>9.89907140512752E-2</v>
      </c>
      <c r="S124">
        <v>0.157416182884659</v>
      </c>
      <c r="T124">
        <v>-1.16252182620318</v>
      </c>
      <c r="U124">
        <v>1.16252182620318</v>
      </c>
      <c r="V124">
        <v>-7.2</v>
      </c>
      <c r="W124">
        <v>5.23</v>
      </c>
      <c r="X124">
        <v>115707</v>
      </c>
      <c r="Y124">
        <v>9642</v>
      </c>
      <c r="Z124">
        <v>0.55000000000000004</v>
      </c>
      <c r="AA124">
        <v>12</v>
      </c>
      <c r="AB124">
        <v>7</v>
      </c>
      <c r="AC124">
        <v>5</v>
      </c>
      <c r="AD124">
        <v>58.33</v>
      </c>
      <c r="AE124">
        <v>13</v>
      </c>
      <c r="AF124">
        <v>5</v>
      </c>
      <c r="AG124">
        <v>1</v>
      </c>
      <c r="AH124">
        <v>6</v>
      </c>
    </row>
    <row r="125" spans="1:34">
      <c r="A125" s="111">
        <v>79</v>
      </c>
      <c r="B125">
        <v>3405</v>
      </c>
      <c r="C125" s="115" t="s">
        <v>164</v>
      </c>
      <c r="D125" s="115" t="s">
        <v>88</v>
      </c>
      <c r="E125">
        <v>1330</v>
      </c>
      <c r="F125">
        <v>1314</v>
      </c>
      <c r="G125">
        <v>800</v>
      </c>
      <c r="H125" s="115" t="s">
        <v>87</v>
      </c>
      <c r="I125">
        <v>8242</v>
      </c>
      <c r="J125" s="115" t="s">
        <v>156</v>
      </c>
      <c r="K125" s="115" t="s">
        <v>128</v>
      </c>
      <c r="L125">
        <v>1246</v>
      </c>
      <c r="M125">
        <v>1216</v>
      </c>
      <c r="N125">
        <v>900</v>
      </c>
      <c r="O125" s="115" t="s">
        <v>89</v>
      </c>
      <c r="P125">
        <v>0.90939428600391203</v>
      </c>
      <c r="Q125">
        <v>0.930877193867652</v>
      </c>
      <c r="R125">
        <v>1.0802402060774601E-3</v>
      </c>
      <c r="S125">
        <v>0.18709658506805399</v>
      </c>
      <c r="T125">
        <v>-0.64849418245512502</v>
      </c>
      <c r="U125">
        <v>0.64849418245512502</v>
      </c>
      <c r="V125">
        <v>-1.1499999999999999</v>
      </c>
      <c r="W125">
        <v>4.1100000000000003</v>
      </c>
      <c r="X125">
        <v>114415</v>
      </c>
      <c r="Y125">
        <v>7628</v>
      </c>
      <c r="Z125">
        <v>0.37</v>
      </c>
      <c r="AA125">
        <v>15</v>
      </c>
      <c r="AB125">
        <v>9</v>
      </c>
      <c r="AC125">
        <v>6</v>
      </c>
      <c r="AD125">
        <v>60</v>
      </c>
      <c r="AE125">
        <v>11</v>
      </c>
      <c r="AF125">
        <v>7</v>
      </c>
      <c r="AG125">
        <v>4</v>
      </c>
      <c r="AH125">
        <v>4</v>
      </c>
    </row>
    <row r="126" spans="1:34">
      <c r="A126" s="111">
        <v>227</v>
      </c>
      <c r="B126">
        <v>5471</v>
      </c>
      <c r="C126" s="115" t="s">
        <v>391</v>
      </c>
      <c r="D126" s="115" t="s">
        <v>125</v>
      </c>
      <c r="E126">
        <v>5130</v>
      </c>
      <c r="F126">
        <v>5020</v>
      </c>
      <c r="G126">
        <v>100</v>
      </c>
      <c r="H126" s="115" t="s">
        <v>87</v>
      </c>
      <c r="I126">
        <v>6988</v>
      </c>
      <c r="J126" s="115" t="s">
        <v>191</v>
      </c>
      <c r="K126" s="115" t="s">
        <v>88</v>
      </c>
      <c r="L126">
        <v>6320</v>
      </c>
      <c r="M126">
        <v>6240</v>
      </c>
      <c r="N126">
        <v>100</v>
      </c>
      <c r="O126" s="115" t="s">
        <v>89</v>
      </c>
      <c r="P126">
        <v>0.95966604523301202</v>
      </c>
      <c r="Q126">
        <v>0.90453585041752804</v>
      </c>
      <c r="R126">
        <v>2.69692775292684E-2</v>
      </c>
      <c r="S126">
        <v>9.6498615017975402E-3</v>
      </c>
      <c r="T126">
        <v>-6.6864984689760099E-2</v>
      </c>
      <c r="U126">
        <v>6.6864984689760099E-2</v>
      </c>
      <c r="V126">
        <v>-0.19</v>
      </c>
      <c r="W126">
        <v>19.55</v>
      </c>
      <c r="X126">
        <v>114186</v>
      </c>
      <c r="Y126">
        <v>114186</v>
      </c>
      <c r="Z126">
        <v>5.01</v>
      </c>
      <c r="AA126">
        <v>1</v>
      </c>
      <c r="AB126">
        <v>1</v>
      </c>
      <c r="AC126">
        <v>0</v>
      </c>
      <c r="AD126">
        <v>100</v>
      </c>
      <c r="AE126">
        <v>2</v>
      </c>
      <c r="AF126">
        <v>1</v>
      </c>
      <c r="AG126">
        <v>0</v>
      </c>
      <c r="AH126">
        <v>0</v>
      </c>
    </row>
    <row r="127" spans="1:34">
      <c r="A127" s="111">
        <v>161</v>
      </c>
      <c r="B127">
        <v>3116</v>
      </c>
      <c r="C127" s="115" t="s">
        <v>168</v>
      </c>
      <c r="D127" s="115" t="s">
        <v>115</v>
      </c>
      <c r="E127">
        <v>1740</v>
      </c>
      <c r="F127">
        <v>1715</v>
      </c>
      <c r="G127">
        <v>400</v>
      </c>
      <c r="H127" s="115" t="s">
        <v>87</v>
      </c>
      <c r="I127">
        <v>6988</v>
      </c>
      <c r="J127" s="115" t="s">
        <v>191</v>
      </c>
      <c r="K127" s="115" t="s">
        <v>88</v>
      </c>
      <c r="L127">
        <v>6320</v>
      </c>
      <c r="M127">
        <v>6240</v>
      </c>
      <c r="N127">
        <v>100</v>
      </c>
      <c r="O127" s="115" t="s">
        <v>89</v>
      </c>
      <c r="P127">
        <v>0.94976185058957097</v>
      </c>
      <c r="Q127">
        <v>0.91367597303059001</v>
      </c>
      <c r="R127">
        <v>0.31388119791067498</v>
      </c>
      <c r="S127" s="20">
        <v>0.17019053076278101</v>
      </c>
      <c r="T127">
        <v>-0.75833100242005902</v>
      </c>
      <c r="U127">
        <v>0.75833100242005902</v>
      </c>
      <c r="V127">
        <v>-2.06</v>
      </c>
      <c r="W127">
        <v>9.94</v>
      </c>
      <c r="X127">
        <v>113643</v>
      </c>
      <c r="Y127">
        <v>12627</v>
      </c>
      <c r="Z127">
        <v>0.94</v>
      </c>
      <c r="AA127">
        <v>9</v>
      </c>
      <c r="AB127">
        <v>7</v>
      </c>
      <c r="AC127">
        <v>2</v>
      </c>
      <c r="AD127">
        <v>77.78</v>
      </c>
      <c r="AE127">
        <v>12</v>
      </c>
      <c r="AF127">
        <v>6</v>
      </c>
      <c r="AG127">
        <v>1</v>
      </c>
      <c r="AH127">
        <v>2</v>
      </c>
    </row>
    <row r="128" spans="1:34">
      <c r="A128" s="111">
        <v>18</v>
      </c>
      <c r="B128">
        <v>3387</v>
      </c>
      <c r="C128" s="115" t="s">
        <v>392</v>
      </c>
      <c r="D128" s="115" t="s">
        <v>128</v>
      </c>
      <c r="E128">
        <v>1879</v>
      </c>
      <c r="F128">
        <v>1848</v>
      </c>
      <c r="G128">
        <v>300</v>
      </c>
      <c r="H128" s="115" t="s">
        <v>87</v>
      </c>
      <c r="I128">
        <v>4612</v>
      </c>
      <c r="J128" s="115" t="s">
        <v>177</v>
      </c>
      <c r="K128" s="115" t="s">
        <v>88</v>
      </c>
      <c r="L128">
        <v>6120</v>
      </c>
      <c r="M128">
        <v>6130</v>
      </c>
      <c r="N128">
        <v>100</v>
      </c>
      <c r="O128" s="115" t="s">
        <v>89</v>
      </c>
      <c r="P128">
        <v>0.93050849862897</v>
      </c>
      <c r="Q128">
        <v>0.94935686890748205</v>
      </c>
      <c r="R128">
        <v>2.6704062541379499E-4</v>
      </c>
      <c r="S128">
        <v>7.7585849059977993E-2</v>
      </c>
      <c r="T128">
        <v>-1.0146278659525101</v>
      </c>
      <c r="U128">
        <v>1.0146278659525101</v>
      </c>
      <c r="V128">
        <v>-5.71</v>
      </c>
      <c r="W128">
        <v>9.56</v>
      </c>
      <c r="X128">
        <v>112239</v>
      </c>
      <c r="Y128">
        <v>6602</v>
      </c>
      <c r="Z128">
        <v>0.34</v>
      </c>
      <c r="AA128">
        <v>17</v>
      </c>
      <c r="AB128">
        <v>10</v>
      </c>
      <c r="AC128">
        <v>7</v>
      </c>
      <c r="AD128">
        <v>58.82</v>
      </c>
      <c r="AE128">
        <v>10</v>
      </c>
      <c r="AF128">
        <v>8</v>
      </c>
      <c r="AG128">
        <v>4</v>
      </c>
      <c r="AH128">
        <v>5</v>
      </c>
    </row>
    <row r="129" spans="1:34">
      <c r="A129" s="111">
        <v>58</v>
      </c>
      <c r="B129">
        <v>5802</v>
      </c>
      <c r="C129" s="115" t="s">
        <v>175</v>
      </c>
      <c r="D129" s="115" t="s">
        <v>176</v>
      </c>
      <c r="E129">
        <v>1576</v>
      </c>
      <c r="F129">
        <v>1580</v>
      </c>
      <c r="G129">
        <v>700</v>
      </c>
      <c r="H129" s="115" t="s">
        <v>89</v>
      </c>
      <c r="I129">
        <v>9072</v>
      </c>
      <c r="J129" s="115" t="s">
        <v>169</v>
      </c>
      <c r="K129" s="115" t="s">
        <v>154</v>
      </c>
      <c r="L129">
        <v>2766</v>
      </c>
      <c r="M129">
        <v>2725</v>
      </c>
      <c r="N129">
        <v>400</v>
      </c>
      <c r="O129" s="115" t="s">
        <v>87</v>
      </c>
      <c r="P129">
        <v>0.97508829446048295</v>
      </c>
      <c r="Q129">
        <v>0.93585562837193403</v>
      </c>
      <c r="R129">
        <v>9.6581979733815105E-4</v>
      </c>
      <c r="S129" s="20">
        <v>3.2378714991599202E-4</v>
      </c>
      <c r="T129">
        <v>1.4701459138785899</v>
      </c>
      <c r="U129">
        <v>1.4701459138785899</v>
      </c>
      <c r="V129">
        <v>5.38</v>
      </c>
      <c r="W129">
        <v>1.47</v>
      </c>
      <c r="X129">
        <v>111309</v>
      </c>
      <c r="Y129">
        <v>5565</v>
      </c>
      <c r="Z129">
        <v>0.26</v>
      </c>
      <c r="AA129">
        <v>20</v>
      </c>
      <c r="AB129">
        <v>12</v>
      </c>
      <c r="AC129">
        <v>8</v>
      </c>
      <c r="AD129">
        <v>60</v>
      </c>
      <c r="AE129">
        <v>15</v>
      </c>
      <c r="AF129">
        <v>6</v>
      </c>
      <c r="AG129">
        <v>2</v>
      </c>
      <c r="AH129">
        <v>12</v>
      </c>
    </row>
    <row r="130" spans="1:34">
      <c r="A130" s="111">
        <v>76</v>
      </c>
      <c r="B130">
        <v>4005</v>
      </c>
      <c r="C130" s="115" t="s">
        <v>152</v>
      </c>
      <c r="D130" s="115" t="s">
        <v>88</v>
      </c>
      <c r="E130">
        <v>505</v>
      </c>
      <c r="F130">
        <v>499</v>
      </c>
      <c r="G130">
        <v>2200</v>
      </c>
      <c r="H130" s="115" t="s">
        <v>87</v>
      </c>
      <c r="I130">
        <v>7211</v>
      </c>
      <c r="J130" s="115" t="s">
        <v>56</v>
      </c>
      <c r="K130" s="115" t="s">
        <v>115</v>
      </c>
      <c r="L130">
        <v>487</v>
      </c>
      <c r="M130">
        <v>488</v>
      </c>
      <c r="N130">
        <v>2200</v>
      </c>
      <c r="O130" s="115" t="s">
        <v>89</v>
      </c>
      <c r="P130">
        <v>0.91798906328590502</v>
      </c>
      <c r="Q130">
        <v>0.93138031278514199</v>
      </c>
      <c r="R130">
        <v>5.2845537828202904E-3</v>
      </c>
      <c r="S130">
        <v>5.9884709492983397E-3</v>
      </c>
      <c r="T130">
        <v>-0.54658094216036301</v>
      </c>
      <c r="U130">
        <v>0.54658094216036301</v>
      </c>
      <c r="V130">
        <v>-1.41</v>
      </c>
      <c r="W130">
        <v>2.2000000000000002</v>
      </c>
      <c r="X130">
        <v>108463</v>
      </c>
      <c r="Y130">
        <v>6026</v>
      </c>
      <c r="Z130">
        <v>0.31</v>
      </c>
      <c r="AA130">
        <v>18</v>
      </c>
      <c r="AB130">
        <v>9</v>
      </c>
      <c r="AC130">
        <v>9</v>
      </c>
      <c r="AD130">
        <v>50</v>
      </c>
      <c r="AE130">
        <v>12</v>
      </c>
      <c r="AF130">
        <v>6</v>
      </c>
      <c r="AG130">
        <v>4</v>
      </c>
      <c r="AH130">
        <v>8</v>
      </c>
    </row>
    <row r="131" spans="1:34">
      <c r="A131" s="111">
        <v>91</v>
      </c>
      <c r="B131">
        <v>4612</v>
      </c>
      <c r="C131" s="115" t="s">
        <v>177</v>
      </c>
      <c r="D131" s="115" t="s">
        <v>88</v>
      </c>
      <c r="E131">
        <v>6120</v>
      </c>
      <c r="F131">
        <v>6130</v>
      </c>
      <c r="G131">
        <v>100</v>
      </c>
      <c r="H131" s="115" t="s">
        <v>87</v>
      </c>
      <c r="I131">
        <v>4613</v>
      </c>
      <c r="J131" s="115" t="s">
        <v>416</v>
      </c>
      <c r="K131" s="115" t="s">
        <v>88</v>
      </c>
      <c r="L131">
        <v>2811</v>
      </c>
      <c r="M131">
        <v>2818</v>
      </c>
      <c r="N131">
        <v>200</v>
      </c>
      <c r="O131" s="115" t="s">
        <v>89</v>
      </c>
      <c r="P131">
        <v>0.94604682634882598</v>
      </c>
      <c r="Q131">
        <v>0.927578850651127</v>
      </c>
      <c r="R131">
        <v>0.13336932781667299</v>
      </c>
      <c r="S131">
        <v>0.30351431436245202</v>
      </c>
      <c r="T131">
        <v>-1.75917973437886</v>
      </c>
      <c r="U131">
        <v>1.75917973437886</v>
      </c>
      <c r="V131">
        <v>-4.3899999999999997</v>
      </c>
      <c r="W131">
        <v>8.06</v>
      </c>
      <c r="X131">
        <v>107731</v>
      </c>
      <c r="Y131">
        <v>8287</v>
      </c>
      <c r="Z131">
        <v>0.3</v>
      </c>
      <c r="AA131">
        <v>13</v>
      </c>
      <c r="AB131">
        <v>7</v>
      </c>
      <c r="AC131">
        <v>6</v>
      </c>
      <c r="AD131">
        <v>53.85</v>
      </c>
      <c r="AE131">
        <v>11</v>
      </c>
      <c r="AF131">
        <v>6</v>
      </c>
      <c r="AG131">
        <v>4</v>
      </c>
      <c r="AH131">
        <v>3</v>
      </c>
    </row>
    <row r="132" spans="1:34">
      <c r="A132" s="111">
        <v>139</v>
      </c>
      <c r="B132">
        <v>2175</v>
      </c>
      <c r="C132" s="115" t="s">
        <v>432</v>
      </c>
      <c r="D132" s="115" t="s">
        <v>155</v>
      </c>
      <c r="E132">
        <v>2987</v>
      </c>
      <c r="F132">
        <v>2988</v>
      </c>
      <c r="G132">
        <v>200</v>
      </c>
      <c r="H132" s="115" t="s">
        <v>89</v>
      </c>
      <c r="I132">
        <v>8036</v>
      </c>
      <c r="J132" s="115" t="s">
        <v>417</v>
      </c>
      <c r="K132" s="115" t="s">
        <v>135</v>
      </c>
      <c r="L132">
        <v>6920</v>
      </c>
      <c r="M132">
        <v>6990</v>
      </c>
      <c r="N132">
        <v>100</v>
      </c>
      <c r="O132" s="115" t="s">
        <v>87</v>
      </c>
      <c r="P132">
        <v>0.92161406395378997</v>
      </c>
      <c r="Q132">
        <v>0.91644129864333901</v>
      </c>
      <c r="R132">
        <v>5.0598316197485302E-3</v>
      </c>
      <c r="S132">
        <v>0.100779232580788</v>
      </c>
      <c r="T132">
        <v>6.7227700703718397E-3</v>
      </c>
      <c r="U132">
        <v>6.7227700703718397E-3</v>
      </c>
      <c r="V132">
        <v>0.02</v>
      </c>
      <c r="W132">
        <v>14.51</v>
      </c>
      <c r="X132">
        <v>107085</v>
      </c>
      <c r="Y132">
        <v>6299</v>
      </c>
      <c r="Z132">
        <v>0.39</v>
      </c>
      <c r="AA132">
        <v>17</v>
      </c>
      <c r="AB132">
        <v>9</v>
      </c>
      <c r="AC132">
        <v>8</v>
      </c>
      <c r="AD132">
        <v>52.94</v>
      </c>
      <c r="AE132">
        <v>11</v>
      </c>
      <c r="AF132">
        <v>8</v>
      </c>
      <c r="AG132">
        <v>6</v>
      </c>
      <c r="AH132">
        <v>3</v>
      </c>
    </row>
    <row r="133" spans="1:34">
      <c r="A133" s="111">
        <v>121</v>
      </c>
      <c r="B133">
        <v>7167</v>
      </c>
      <c r="C133" s="115" t="s">
        <v>134</v>
      </c>
      <c r="D133" s="115" t="s">
        <v>113</v>
      </c>
      <c r="E133">
        <v>290</v>
      </c>
      <c r="F133">
        <v>283</v>
      </c>
      <c r="G133">
        <v>3500</v>
      </c>
      <c r="H133" s="115" t="s">
        <v>87</v>
      </c>
      <c r="I133">
        <v>8795</v>
      </c>
      <c r="J133" s="115" t="s">
        <v>185</v>
      </c>
      <c r="K133" s="115" t="s">
        <v>144</v>
      </c>
      <c r="L133">
        <v>1275</v>
      </c>
      <c r="M133">
        <v>1251</v>
      </c>
      <c r="N133">
        <v>800</v>
      </c>
      <c r="O133" s="115" t="s">
        <v>89</v>
      </c>
      <c r="P133">
        <v>0.96013656783812495</v>
      </c>
      <c r="Q133">
        <v>0.91989300681990704</v>
      </c>
      <c r="R133">
        <v>0.20365122071723599</v>
      </c>
      <c r="S133" s="20">
        <v>0.13564745164343001</v>
      </c>
      <c r="T133">
        <v>-8.8050760333566597E-2</v>
      </c>
      <c r="U133">
        <v>8.8050760333566597E-2</v>
      </c>
      <c r="V133">
        <v>-0.22</v>
      </c>
      <c r="W133">
        <v>1.03</v>
      </c>
      <c r="X133">
        <v>106649</v>
      </c>
      <c r="Y133">
        <v>6666</v>
      </c>
      <c r="Z133">
        <v>0.28000000000000003</v>
      </c>
      <c r="AA133">
        <v>16</v>
      </c>
      <c r="AB133">
        <v>9</v>
      </c>
      <c r="AC133">
        <v>7</v>
      </c>
      <c r="AD133">
        <v>56.25</v>
      </c>
      <c r="AE133">
        <v>15</v>
      </c>
      <c r="AF133">
        <v>3</v>
      </c>
      <c r="AG133">
        <v>1</v>
      </c>
      <c r="AH133">
        <v>12</v>
      </c>
    </row>
    <row r="134" spans="1:34">
      <c r="A134" s="111">
        <v>64</v>
      </c>
      <c r="B134">
        <v>1820</v>
      </c>
      <c r="C134" s="115" t="s">
        <v>158</v>
      </c>
      <c r="D134" s="115" t="s">
        <v>108</v>
      </c>
      <c r="E134">
        <v>2385</v>
      </c>
      <c r="F134">
        <v>2356</v>
      </c>
      <c r="G134">
        <v>400</v>
      </c>
      <c r="H134" s="115" t="s">
        <v>89</v>
      </c>
      <c r="I134">
        <v>1860</v>
      </c>
      <c r="J134" s="115" t="s">
        <v>145</v>
      </c>
      <c r="K134" s="115" t="s">
        <v>108</v>
      </c>
      <c r="L134">
        <v>682</v>
      </c>
      <c r="M134">
        <v>670</v>
      </c>
      <c r="N134">
        <v>1400</v>
      </c>
      <c r="O134" s="115" t="s">
        <v>87</v>
      </c>
      <c r="P134">
        <v>0.94889941629044605</v>
      </c>
      <c r="Q134">
        <v>0.93464595162105601</v>
      </c>
      <c r="R134">
        <v>0.29887500824407598</v>
      </c>
      <c r="S134">
        <v>4.6864814608108797E-2</v>
      </c>
      <c r="T134">
        <v>2.30037864545015</v>
      </c>
      <c r="U134">
        <v>2.30037864545015</v>
      </c>
      <c r="V134">
        <v>6.51</v>
      </c>
      <c r="W134">
        <v>0.47</v>
      </c>
      <c r="X134">
        <v>104342</v>
      </c>
      <c r="Y134">
        <v>4969</v>
      </c>
      <c r="Z134">
        <v>0.28999999999999998</v>
      </c>
      <c r="AA134">
        <v>21</v>
      </c>
      <c r="AB134">
        <v>12</v>
      </c>
      <c r="AC134">
        <v>9</v>
      </c>
      <c r="AD134">
        <v>57.14</v>
      </c>
      <c r="AE134">
        <v>14</v>
      </c>
      <c r="AF134">
        <v>5</v>
      </c>
      <c r="AG134">
        <v>4</v>
      </c>
      <c r="AH134">
        <v>12</v>
      </c>
    </row>
    <row r="135" spans="1:34">
      <c r="A135" s="111">
        <v>80</v>
      </c>
      <c r="B135">
        <v>5802</v>
      </c>
      <c r="C135" s="115" t="s">
        <v>175</v>
      </c>
      <c r="D135" s="115" t="s">
        <v>176</v>
      </c>
      <c r="E135">
        <v>1576</v>
      </c>
      <c r="F135">
        <v>1580</v>
      </c>
      <c r="G135">
        <v>600</v>
      </c>
      <c r="H135" s="115" t="s">
        <v>89</v>
      </c>
      <c r="I135">
        <v>9810</v>
      </c>
      <c r="J135" s="115" t="s">
        <v>170</v>
      </c>
      <c r="K135" s="115" t="s">
        <v>135</v>
      </c>
      <c r="L135">
        <v>5030</v>
      </c>
      <c r="M135">
        <v>4955</v>
      </c>
      <c r="N135">
        <v>200</v>
      </c>
      <c r="O135" s="115" t="s">
        <v>87</v>
      </c>
      <c r="P135">
        <v>0.940688120957065</v>
      </c>
      <c r="Q135">
        <v>0.93037717444576296</v>
      </c>
      <c r="R135">
        <v>0.26138868494572798</v>
      </c>
      <c r="S135">
        <v>3.00598424491497E-2</v>
      </c>
      <c r="T135">
        <v>0.43563470504371399</v>
      </c>
      <c r="U135">
        <v>0.43563470504371399</v>
      </c>
      <c r="V135">
        <v>1.36</v>
      </c>
      <c r="W135">
        <v>4.34</v>
      </c>
      <c r="X135">
        <v>100455</v>
      </c>
      <c r="Y135">
        <v>6278</v>
      </c>
      <c r="Z135">
        <v>0.47</v>
      </c>
      <c r="AA135">
        <v>16</v>
      </c>
      <c r="AB135">
        <v>11</v>
      </c>
      <c r="AC135">
        <v>5</v>
      </c>
      <c r="AD135">
        <v>68.75</v>
      </c>
      <c r="AE135">
        <v>14</v>
      </c>
      <c r="AF135">
        <v>3</v>
      </c>
      <c r="AG135">
        <v>2</v>
      </c>
      <c r="AH135">
        <v>11</v>
      </c>
    </row>
    <row r="136" spans="1:34">
      <c r="A136" s="111">
        <v>49</v>
      </c>
      <c r="B136">
        <v>7167</v>
      </c>
      <c r="C136" s="115" t="s">
        <v>134</v>
      </c>
      <c r="D136" s="115" t="s">
        <v>113</v>
      </c>
      <c r="E136">
        <v>290</v>
      </c>
      <c r="F136">
        <v>283</v>
      </c>
      <c r="G136">
        <v>3600</v>
      </c>
      <c r="H136" s="115" t="s">
        <v>89</v>
      </c>
      <c r="I136">
        <v>8377</v>
      </c>
      <c r="J136" s="115" t="s">
        <v>127</v>
      </c>
      <c r="K136" s="115" t="s">
        <v>113</v>
      </c>
      <c r="L136">
        <v>1121</v>
      </c>
      <c r="M136">
        <v>1117</v>
      </c>
      <c r="N136">
        <v>900</v>
      </c>
      <c r="O136" s="115" t="s">
        <v>87</v>
      </c>
      <c r="P136">
        <v>0.98354473103475804</v>
      </c>
      <c r="Q136">
        <v>0.93786484245374202</v>
      </c>
      <c r="R136">
        <v>4.9453535109266799E-3</v>
      </c>
      <c r="S136" s="20">
        <v>0.19558197951078099</v>
      </c>
      <c r="T136" s="20">
        <v>0.22496875410237099</v>
      </c>
      <c r="U136" s="20">
        <v>0.22496875410237099</v>
      </c>
      <c r="V136">
        <v>0.45</v>
      </c>
      <c r="W136">
        <v>1.34</v>
      </c>
      <c r="X136">
        <v>96023</v>
      </c>
      <c r="Y136">
        <v>6001</v>
      </c>
      <c r="Z136">
        <v>0.25</v>
      </c>
      <c r="AA136">
        <v>16</v>
      </c>
      <c r="AB136">
        <v>11</v>
      </c>
      <c r="AC136">
        <v>5</v>
      </c>
      <c r="AD136">
        <v>68.75</v>
      </c>
      <c r="AE136">
        <v>16</v>
      </c>
      <c r="AF136">
        <v>2</v>
      </c>
      <c r="AG136">
        <v>1</v>
      </c>
      <c r="AH136">
        <v>13</v>
      </c>
    </row>
    <row r="137" spans="1:34">
      <c r="A137" s="111">
        <v>180</v>
      </c>
      <c r="B137">
        <v>4530</v>
      </c>
      <c r="C137" s="115" t="s">
        <v>193</v>
      </c>
      <c r="D137" s="115" t="s">
        <v>188</v>
      </c>
      <c r="E137">
        <v>5390</v>
      </c>
      <c r="F137">
        <v>5250</v>
      </c>
      <c r="G137">
        <v>200</v>
      </c>
      <c r="H137" s="115" t="s">
        <v>89</v>
      </c>
      <c r="I137">
        <v>8279</v>
      </c>
      <c r="J137" s="115" t="s">
        <v>411</v>
      </c>
      <c r="K137" s="115" t="s">
        <v>128</v>
      </c>
      <c r="L137">
        <v>5210</v>
      </c>
      <c r="M137">
        <v>5170</v>
      </c>
      <c r="N137">
        <v>200</v>
      </c>
      <c r="O137" s="115" t="s">
        <v>87</v>
      </c>
      <c r="P137">
        <v>0.91123989159637697</v>
      </c>
      <c r="Q137">
        <v>0.91133442953492505</v>
      </c>
      <c r="R137">
        <v>4.0565761033378904E-3</v>
      </c>
      <c r="S137" s="20">
        <v>0.10575250340522099</v>
      </c>
      <c r="T137">
        <v>1.25050949051167</v>
      </c>
      <c r="U137">
        <v>1.25050949051167</v>
      </c>
      <c r="V137">
        <v>5.96</v>
      </c>
      <c r="W137">
        <v>1.52</v>
      </c>
      <c r="X137">
        <v>95876</v>
      </c>
      <c r="Y137">
        <v>15979</v>
      </c>
      <c r="Z137">
        <v>0.84</v>
      </c>
      <c r="AA137">
        <v>6</v>
      </c>
      <c r="AB137">
        <v>4</v>
      </c>
      <c r="AC137">
        <v>2</v>
      </c>
      <c r="AD137">
        <v>66.67</v>
      </c>
      <c r="AE137">
        <v>12</v>
      </c>
      <c r="AF137">
        <v>3</v>
      </c>
      <c r="AG137">
        <v>1</v>
      </c>
      <c r="AH137">
        <v>2</v>
      </c>
    </row>
    <row r="138" spans="1:34">
      <c r="A138" s="111">
        <v>234</v>
      </c>
      <c r="B138">
        <v>3048</v>
      </c>
      <c r="C138" s="115" t="s">
        <v>402</v>
      </c>
      <c r="D138" s="115" t="s">
        <v>128</v>
      </c>
      <c r="E138">
        <v>1211</v>
      </c>
      <c r="F138">
        <v>1195</v>
      </c>
      <c r="G138">
        <v>900</v>
      </c>
      <c r="H138" s="115" t="s">
        <v>87</v>
      </c>
      <c r="I138">
        <v>8341</v>
      </c>
      <c r="J138" s="115" t="s">
        <v>165</v>
      </c>
      <c r="K138" s="115" t="s">
        <v>113</v>
      </c>
      <c r="L138">
        <v>1768</v>
      </c>
      <c r="M138">
        <v>1747</v>
      </c>
      <c r="N138">
        <v>600</v>
      </c>
      <c r="O138" s="115" t="s">
        <v>89</v>
      </c>
      <c r="P138">
        <v>0.95228711886708495</v>
      </c>
      <c r="Q138">
        <v>0.90411702910298297</v>
      </c>
      <c r="R138">
        <v>0.15851867418381399</v>
      </c>
      <c r="S138">
        <v>0.111008105692758</v>
      </c>
      <c r="T138">
        <v>-1.0053878444522399</v>
      </c>
      <c r="U138">
        <v>1.0053878444522399</v>
      </c>
      <c r="V138">
        <v>-5.53</v>
      </c>
      <c r="W138">
        <v>2.6</v>
      </c>
      <c r="X138">
        <v>88664</v>
      </c>
      <c r="Y138">
        <v>4222</v>
      </c>
      <c r="Z138">
        <v>0.22</v>
      </c>
      <c r="AA138">
        <v>21</v>
      </c>
      <c r="AB138">
        <v>13</v>
      </c>
      <c r="AC138">
        <v>8</v>
      </c>
      <c r="AD138">
        <v>61.9</v>
      </c>
      <c r="AE138">
        <v>12</v>
      </c>
      <c r="AF138">
        <v>10</v>
      </c>
      <c r="AG138">
        <v>5</v>
      </c>
      <c r="AH138">
        <v>6</v>
      </c>
    </row>
    <row r="139" spans="1:34">
      <c r="A139" s="111">
        <v>231</v>
      </c>
      <c r="B139">
        <v>4631</v>
      </c>
      <c r="C139" s="115" t="s">
        <v>182</v>
      </c>
      <c r="D139" s="115" t="s">
        <v>88</v>
      </c>
      <c r="E139">
        <v>3025</v>
      </c>
      <c r="F139">
        <v>2972</v>
      </c>
      <c r="G139">
        <v>300</v>
      </c>
      <c r="H139" s="115" t="s">
        <v>87</v>
      </c>
      <c r="I139">
        <v>5334</v>
      </c>
      <c r="J139" s="115" t="s">
        <v>389</v>
      </c>
      <c r="K139" s="115" t="s">
        <v>140</v>
      </c>
      <c r="L139">
        <v>2209</v>
      </c>
      <c r="M139">
        <v>2189</v>
      </c>
      <c r="N139">
        <v>400</v>
      </c>
      <c r="O139" s="115" t="s">
        <v>89</v>
      </c>
      <c r="P139">
        <v>0.90140688617652198</v>
      </c>
      <c r="Q139">
        <v>0.904309218823525</v>
      </c>
      <c r="R139">
        <v>0.28090452389691001</v>
      </c>
      <c r="S139">
        <v>3.5759333720007599E-3</v>
      </c>
      <c r="T139">
        <v>-2.35115133030809</v>
      </c>
      <c r="U139">
        <v>2.35115133030809</v>
      </c>
      <c r="V139">
        <v>-7.24</v>
      </c>
      <c r="W139">
        <v>1.79</v>
      </c>
      <c r="X139">
        <v>87079</v>
      </c>
      <c r="Y139">
        <v>5442</v>
      </c>
      <c r="Z139">
        <v>0.28999999999999998</v>
      </c>
      <c r="AA139">
        <v>16</v>
      </c>
      <c r="AB139">
        <v>7</v>
      </c>
      <c r="AC139">
        <v>9</v>
      </c>
      <c r="AD139">
        <v>43.75</v>
      </c>
      <c r="AE139">
        <v>10</v>
      </c>
      <c r="AF139">
        <v>7</v>
      </c>
      <c r="AG139">
        <v>4</v>
      </c>
      <c r="AH139">
        <v>5</v>
      </c>
    </row>
    <row r="140" spans="1:34">
      <c r="A140" s="111">
        <v>123</v>
      </c>
      <c r="B140">
        <v>7167</v>
      </c>
      <c r="C140" s="115" t="s">
        <v>134</v>
      </c>
      <c r="D140" s="115" t="s">
        <v>113</v>
      </c>
      <c r="E140">
        <v>290</v>
      </c>
      <c r="F140">
        <v>283</v>
      </c>
      <c r="G140">
        <v>3700</v>
      </c>
      <c r="H140" s="115" t="s">
        <v>87</v>
      </c>
      <c r="I140">
        <v>7186</v>
      </c>
      <c r="J140" s="115" t="s">
        <v>51</v>
      </c>
      <c r="K140" s="115" t="s">
        <v>113</v>
      </c>
      <c r="L140">
        <v>447</v>
      </c>
      <c r="M140">
        <v>442</v>
      </c>
      <c r="N140">
        <v>2400</v>
      </c>
      <c r="O140" s="115" t="s">
        <v>89</v>
      </c>
      <c r="P140">
        <v>0.97509634611091001</v>
      </c>
      <c r="Q140">
        <v>0.91939247365396204</v>
      </c>
      <c r="R140">
        <v>7.2386984742734096E-3</v>
      </c>
      <c r="S140">
        <v>0.10650311981562</v>
      </c>
      <c r="T140">
        <v>-0.15135463768597601</v>
      </c>
      <c r="U140">
        <v>0.15135463768597601</v>
      </c>
      <c r="V140">
        <v>-0.35</v>
      </c>
      <c r="W140">
        <v>1.29</v>
      </c>
      <c r="X140">
        <v>86427</v>
      </c>
      <c r="Y140">
        <v>6173</v>
      </c>
      <c r="Z140">
        <v>0.28999999999999998</v>
      </c>
      <c r="AA140">
        <v>14</v>
      </c>
      <c r="AB140">
        <v>8</v>
      </c>
      <c r="AC140">
        <v>6</v>
      </c>
      <c r="AD140">
        <v>57.14</v>
      </c>
      <c r="AE140">
        <v>15</v>
      </c>
      <c r="AF140">
        <v>1</v>
      </c>
      <c r="AG140">
        <v>1</v>
      </c>
      <c r="AH140">
        <v>12</v>
      </c>
    </row>
    <row r="141" spans="1:34">
      <c r="A141" s="111">
        <v>135</v>
      </c>
      <c r="B141">
        <v>6301</v>
      </c>
      <c r="C141" s="115" t="s">
        <v>143</v>
      </c>
      <c r="D141" s="115" t="s">
        <v>133</v>
      </c>
      <c r="E141">
        <v>2650</v>
      </c>
      <c r="F141">
        <v>2590</v>
      </c>
      <c r="G141">
        <v>400</v>
      </c>
      <c r="H141" s="115" t="s">
        <v>87</v>
      </c>
      <c r="I141">
        <v>6472</v>
      </c>
      <c r="J141" s="115" t="s">
        <v>183</v>
      </c>
      <c r="K141" s="115" t="s">
        <v>133</v>
      </c>
      <c r="L141">
        <v>342</v>
      </c>
      <c r="M141">
        <v>336</v>
      </c>
      <c r="N141">
        <v>3100</v>
      </c>
      <c r="O141" s="115" t="s">
        <v>89</v>
      </c>
      <c r="P141">
        <v>0.95663280180314803</v>
      </c>
      <c r="Q141">
        <v>0.91729609174346105</v>
      </c>
      <c r="R141">
        <v>1.05586977045248E-2</v>
      </c>
      <c r="S141">
        <v>9.6536391344886393E-3</v>
      </c>
      <c r="T141">
        <v>-0.37750233515784398</v>
      </c>
      <c r="U141">
        <v>0.37750233515784398</v>
      </c>
      <c r="V141">
        <v>-1.7</v>
      </c>
      <c r="W141">
        <v>0.54</v>
      </c>
      <c r="X141">
        <v>85896</v>
      </c>
      <c r="Y141">
        <v>4295</v>
      </c>
      <c r="Z141">
        <v>0.12</v>
      </c>
      <c r="AA141">
        <v>20</v>
      </c>
      <c r="AB141">
        <v>10</v>
      </c>
      <c r="AC141">
        <v>10</v>
      </c>
      <c r="AD141">
        <v>50</v>
      </c>
      <c r="AE141">
        <v>11</v>
      </c>
      <c r="AF141">
        <v>8</v>
      </c>
      <c r="AG141">
        <v>7</v>
      </c>
      <c r="AH141">
        <v>5</v>
      </c>
    </row>
    <row r="142" spans="1:34">
      <c r="A142" s="111">
        <v>24</v>
      </c>
      <c r="B142">
        <v>6856</v>
      </c>
      <c r="C142" s="115" t="s">
        <v>444</v>
      </c>
      <c r="D142" s="115" t="s">
        <v>118</v>
      </c>
      <c r="E142">
        <v>7300</v>
      </c>
      <c r="F142">
        <v>7370</v>
      </c>
      <c r="G142">
        <v>100</v>
      </c>
      <c r="H142" s="115" t="s">
        <v>87</v>
      </c>
      <c r="I142">
        <v>6976</v>
      </c>
      <c r="J142" s="115" t="s">
        <v>445</v>
      </c>
      <c r="K142" s="115" t="s">
        <v>118</v>
      </c>
      <c r="L142">
        <v>2870</v>
      </c>
      <c r="M142">
        <v>2914</v>
      </c>
      <c r="N142">
        <v>300</v>
      </c>
      <c r="O142" s="115" t="s">
        <v>89</v>
      </c>
      <c r="P142">
        <v>0.93301522553899296</v>
      </c>
      <c r="Q142">
        <v>0.94613627327532901</v>
      </c>
      <c r="R142">
        <v>0.34038153640676999</v>
      </c>
      <c r="S142">
        <v>2.3660955538200301E-2</v>
      </c>
      <c r="T142">
        <v>-4.5823096604084103E-2</v>
      </c>
      <c r="U142">
        <v>4.5823096604084103E-2</v>
      </c>
      <c r="V142">
        <v>-0.22</v>
      </c>
      <c r="W142">
        <v>18.62</v>
      </c>
      <c r="X142">
        <v>84227</v>
      </c>
      <c r="Y142">
        <v>5264</v>
      </c>
      <c r="Z142">
        <v>0.19</v>
      </c>
      <c r="AA142">
        <v>16</v>
      </c>
      <c r="AB142">
        <v>9</v>
      </c>
      <c r="AC142">
        <v>7</v>
      </c>
      <c r="AD142">
        <v>56.25</v>
      </c>
      <c r="AE142">
        <v>11</v>
      </c>
      <c r="AF142">
        <v>7</v>
      </c>
      <c r="AG142">
        <v>5</v>
      </c>
      <c r="AH142">
        <v>4</v>
      </c>
    </row>
    <row r="143" spans="1:34">
      <c r="A143" s="111">
        <v>219</v>
      </c>
      <c r="B143">
        <v>4202</v>
      </c>
      <c r="C143" s="115" t="s">
        <v>121</v>
      </c>
      <c r="D143" s="115" t="s">
        <v>88</v>
      </c>
      <c r="E143">
        <v>1117</v>
      </c>
      <c r="F143">
        <v>1098</v>
      </c>
      <c r="G143">
        <v>900</v>
      </c>
      <c r="H143" s="115" t="s">
        <v>89</v>
      </c>
      <c r="I143">
        <v>5233</v>
      </c>
      <c r="J143" s="115" t="s">
        <v>199</v>
      </c>
      <c r="K143" s="115" t="s">
        <v>140</v>
      </c>
      <c r="L143">
        <v>3260</v>
      </c>
      <c r="M143">
        <v>3205</v>
      </c>
      <c r="N143">
        <v>300</v>
      </c>
      <c r="O143" s="115" t="s">
        <v>87</v>
      </c>
      <c r="P143">
        <v>0.91286089378723001</v>
      </c>
      <c r="Q143">
        <v>0.90512727298547901</v>
      </c>
      <c r="R143">
        <v>8.0149912065536205E-2</v>
      </c>
      <c r="S143">
        <v>5.21785498628402E-2</v>
      </c>
      <c r="T143">
        <v>1.4518029913302199</v>
      </c>
      <c r="U143">
        <v>1.4518029913302199</v>
      </c>
      <c r="V143">
        <v>7.23</v>
      </c>
      <c r="W143">
        <v>2.78</v>
      </c>
      <c r="X143">
        <v>82184</v>
      </c>
      <c r="Y143">
        <v>4325</v>
      </c>
      <c r="Z143">
        <v>0.16</v>
      </c>
      <c r="AA143">
        <v>19</v>
      </c>
      <c r="AB143">
        <v>9</v>
      </c>
      <c r="AC143">
        <v>10</v>
      </c>
      <c r="AD143">
        <v>47.37</v>
      </c>
      <c r="AE143">
        <v>12</v>
      </c>
      <c r="AF143">
        <v>7</v>
      </c>
      <c r="AG143">
        <v>5</v>
      </c>
      <c r="AH143">
        <v>7</v>
      </c>
    </row>
    <row r="144" spans="1:34">
      <c r="A144" s="111">
        <v>196</v>
      </c>
      <c r="B144">
        <v>6925</v>
      </c>
      <c r="C144" s="115" t="s">
        <v>405</v>
      </c>
      <c r="D144" s="115" t="s">
        <v>118</v>
      </c>
      <c r="E144">
        <v>1666</v>
      </c>
      <c r="F144">
        <v>1645</v>
      </c>
      <c r="G144">
        <v>400</v>
      </c>
      <c r="H144" s="115" t="s">
        <v>87</v>
      </c>
      <c r="I144">
        <v>8036</v>
      </c>
      <c r="J144" s="115" t="s">
        <v>417</v>
      </c>
      <c r="K144" s="115" t="s">
        <v>135</v>
      </c>
      <c r="L144">
        <v>6920</v>
      </c>
      <c r="M144">
        <v>6990</v>
      </c>
      <c r="N144">
        <v>100</v>
      </c>
      <c r="O144" s="115" t="s">
        <v>89</v>
      </c>
      <c r="P144">
        <v>0.91172768499045098</v>
      </c>
      <c r="Q144">
        <v>0.90936417837134198</v>
      </c>
      <c r="R144">
        <v>0.167444295333608</v>
      </c>
      <c r="S144">
        <v>4.4244384440540997E-2</v>
      </c>
      <c r="T144">
        <v>-0.92455571550293103</v>
      </c>
      <c r="U144">
        <v>0.92455571550293103</v>
      </c>
      <c r="V144">
        <v>-2.6</v>
      </c>
      <c r="W144">
        <v>5.87</v>
      </c>
      <c r="X144">
        <v>82099</v>
      </c>
      <c r="Y144">
        <v>4561</v>
      </c>
      <c r="Z144">
        <v>0.34</v>
      </c>
      <c r="AA144">
        <v>18</v>
      </c>
      <c r="AB144">
        <v>9</v>
      </c>
      <c r="AC144">
        <v>9</v>
      </c>
      <c r="AD144">
        <v>50</v>
      </c>
      <c r="AE144">
        <v>13</v>
      </c>
      <c r="AF144">
        <v>6</v>
      </c>
      <c r="AG144">
        <v>4</v>
      </c>
      <c r="AH144">
        <v>8</v>
      </c>
    </row>
    <row r="145" spans="1:34">
      <c r="A145" s="111">
        <v>252</v>
      </c>
      <c r="B145">
        <v>5802</v>
      </c>
      <c r="C145" s="115" t="s">
        <v>175</v>
      </c>
      <c r="D145" s="115" t="s">
        <v>176</v>
      </c>
      <c r="E145">
        <v>1576</v>
      </c>
      <c r="F145">
        <v>1580</v>
      </c>
      <c r="G145">
        <v>600</v>
      </c>
      <c r="H145" s="115" t="s">
        <v>89</v>
      </c>
      <c r="I145">
        <v>7186</v>
      </c>
      <c r="J145" s="115" t="s">
        <v>51</v>
      </c>
      <c r="K145" s="115" t="s">
        <v>113</v>
      </c>
      <c r="L145">
        <v>447</v>
      </c>
      <c r="M145">
        <v>442</v>
      </c>
      <c r="N145">
        <v>2100</v>
      </c>
      <c r="O145" s="115" t="s">
        <v>87</v>
      </c>
      <c r="P145">
        <v>0.96363234028637801</v>
      </c>
      <c r="Q145">
        <v>0.90189328677552105</v>
      </c>
      <c r="R145" s="20">
        <v>1.38804597312506E-2</v>
      </c>
      <c r="S145">
        <v>0.13234593425614</v>
      </c>
      <c r="T145">
        <v>2.9290041596358001</v>
      </c>
      <c r="U145">
        <v>2.9290041596358001</v>
      </c>
      <c r="V145">
        <v>5.35</v>
      </c>
      <c r="W145">
        <v>2.09</v>
      </c>
      <c r="X145">
        <v>81912</v>
      </c>
      <c r="Y145">
        <v>4551</v>
      </c>
      <c r="Z145">
        <v>0.17</v>
      </c>
      <c r="AA145">
        <v>18</v>
      </c>
      <c r="AB145">
        <v>12</v>
      </c>
      <c r="AC145">
        <v>6</v>
      </c>
      <c r="AD145">
        <v>66.67</v>
      </c>
      <c r="AE145">
        <v>14</v>
      </c>
      <c r="AF145">
        <v>5</v>
      </c>
      <c r="AG145">
        <v>6</v>
      </c>
      <c r="AH145">
        <v>7</v>
      </c>
    </row>
    <row r="146" spans="1:34">
      <c r="A146" s="111">
        <v>249</v>
      </c>
      <c r="B146">
        <v>4182</v>
      </c>
      <c r="C146" s="115" t="s">
        <v>119</v>
      </c>
      <c r="D146" s="115" t="s">
        <v>88</v>
      </c>
      <c r="E146">
        <v>1680</v>
      </c>
      <c r="F146">
        <v>1641</v>
      </c>
      <c r="G146">
        <v>600</v>
      </c>
      <c r="H146" s="115" t="s">
        <v>89</v>
      </c>
      <c r="I146">
        <v>5803</v>
      </c>
      <c r="J146" s="115" t="s">
        <v>54</v>
      </c>
      <c r="K146" s="115" t="s">
        <v>176</v>
      </c>
      <c r="L146">
        <v>467</v>
      </c>
      <c r="M146">
        <v>464</v>
      </c>
      <c r="N146">
        <v>2100</v>
      </c>
      <c r="O146" s="115" t="s">
        <v>87</v>
      </c>
      <c r="P146">
        <v>0.90965960729039397</v>
      </c>
      <c r="Q146">
        <v>0.90208773561179401</v>
      </c>
      <c r="R146">
        <v>9.7920947530401301E-2</v>
      </c>
      <c r="S146">
        <v>0.27302566486204799</v>
      </c>
      <c r="T146">
        <v>0.125827122948623</v>
      </c>
      <c r="U146">
        <v>0.125827122948623</v>
      </c>
      <c r="V146">
        <v>0.65</v>
      </c>
      <c r="W146">
        <v>1.04</v>
      </c>
      <c r="X146">
        <v>79900</v>
      </c>
      <c r="Y146">
        <v>4700</v>
      </c>
      <c r="Z146">
        <v>0.19</v>
      </c>
      <c r="AA146">
        <v>17</v>
      </c>
      <c r="AB146">
        <v>10</v>
      </c>
      <c r="AC146">
        <v>7</v>
      </c>
      <c r="AD146">
        <v>58.82</v>
      </c>
      <c r="AE146">
        <v>9</v>
      </c>
      <c r="AF146">
        <v>7</v>
      </c>
      <c r="AG146">
        <v>7</v>
      </c>
      <c r="AH146">
        <v>3</v>
      </c>
    </row>
    <row r="147" spans="1:34">
      <c r="A147" s="111">
        <v>223</v>
      </c>
      <c r="B147">
        <v>1963</v>
      </c>
      <c r="C147" s="115" t="s">
        <v>174</v>
      </c>
      <c r="D147" s="115" t="s">
        <v>108</v>
      </c>
      <c r="E147">
        <v>1630</v>
      </c>
      <c r="F147">
        <v>1630</v>
      </c>
      <c r="G147">
        <v>600</v>
      </c>
      <c r="H147" s="115" t="s">
        <v>89</v>
      </c>
      <c r="I147">
        <v>8002</v>
      </c>
      <c r="J147" s="115" t="s">
        <v>57</v>
      </c>
      <c r="K147" s="115" t="s">
        <v>135</v>
      </c>
      <c r="L147">
        <v>809.9</v>
      </c>
      <c r="M147">
        <v>804.8</v>
      </c>
      <c r="N147">
        <v>1200</v>
      </c>
      <c r="O147" s="115" t="s">
        <v>87</v>
      </c>
      <c r="P147">
        <v>0.94411146285208902</v>
      </c>
      <c r="Q147">
        <v>0.90481979872308804</v>
      </c>
      <c r="R147">
        <v>0.227964372898289</v>
      </c>
      <c r="S147">
        <v>2.9629664837530702E-3</v>
      </c>
      <c r="T147">
        <v>0.69207163096264401</v>
      </c>
      <c r="U147">
        <v>0.69207163096264401</v>
      </c>
      <c r="V147">
        <v>3.32</v>
      </c>
      <c r="W147">
        <v>1.25</v>
      </c>
      <c r="X147">
        <v>77916</v>
      </c>
      <c r="Y147">
        <v>3710</v>
      </c>
      <c r="Z147">
        <v>0.18</v>
      </c>
      <c r="AA147">
        <v>21</v>
      </c>
      <c r="AB147">
        <v>13</v>
      </c>
      <c r="AC147">
        <v>8</v>
      </c>
      <c r="AD147">
        <v>61.9</v>
      </c>
      <c r="AE147">
        <v>13</v>
      </c>
      <c r="AF147">
        <v>7</v>
      </c>
      <c r="AG147">
        <v>6</v>
      </c>
      <c r="AH147">
        <v>8</v>
      </c>
    </row>
    <row r="148" spans="1:34">
      <c r="A148" s="111">
        <v>119</v>
      </c>
      <c r="B148">
        <v>8002</v>
      </c>
      <c r="C148" s="115" t="s">
        <v>57</v>
      </c>
      <c r="D148" s="115" t="s">
        <v>135</v>
      </c>
      <c r="E148">
        <v>809.9</v>
      </c>
      <c r="F148">
        <v>804.8</v>
      </c>
      <c r="G148">
        <v>1400</v>
      </c>
      <c r="H148" s="115" t="s">
        <v>89</v>
      </c>
      <c r="I148">
        <v>9072</v>
      </c>
      <c r="J148" s="115" t="s">
        <v>169</v>
      </c>
      <c r="K148" s="115" t="s">
        <v>154</v>
      </c>
      <c r="L148">
        <v>2766</v>
      </c>
      <c r="M148">
        <v>2725</v>
      </c>
      <c r="N148">
        <v>400</v>
      </c>
      <c r="O148" s="115" t="s">
        <v>87</v>
      </c>
      <c r="P148">
        <v>0.96195062691102295</v>
      </c>
      <c r="Q148">
        <v>0.92035223919619802</v>
      </c>
      <c r="R148">
        <v>4.9522212507771501E-2</v>
      </c>
      <c r="S148">
        <v>2.5360036704722201E-3</v>
      </c>
      <c r="T148">
        <v>0.90215792846514697</v>
      </c>
      <c r="U148">
        <v>0.90215792846514697</v>
      </c>
      <c r="V148">
        <v>1.87</v>
      </c>
      <c r="W148">
        <v>3.37</v>
      </c>
      <c r="X148">
        <v>77791</v>
      </c>
      <c r="Y148">
        <v>4862</v>
      </c>
      <c r="Z148">
        <v>0.24</v>
      </c>
      <c r="AA148">
        <v>16</v>
      </c>
      <c r="AB148">
        <v>8</v>
      </c>
      <c r="AC148">
        <v>8</v>
      </c>
      <c r="AD148">
        <v>50</v>
      </c>
      <c r="AE148">
        <v>16</v>
      </c>
      <c r="AF148">
        <v>4</v>
      </c>
      <c r="AG148">
        <v>1</v>
      </c>
      <c r="AH148">
        <v>11</v>
      </c>
    </row>
    <row r="149" spans="1:34">
      <c r="A149" s="111">
        <v>181</v>
      </c>
      <c r="B149">
        <v>6371</v>
      </c>
      <c r="C149" s="115" t="s">
        <v>142</v>
      </c>
      <c r="D149" s="115" t="s">
        <v>133</v>
      </c>
      <c r="E149">
        <v>3830</v>
      </c>
      <c r="F149">
        <v>3770</v>
      </c>
      <c r="G149">
        <v>200</v>
      </c>
      <c r="H149" s="115" t="s">
        <v>87</v>
      </c>
      <c r="I149">
        <v>6752</v>
      </c>
      <c r="J149" s="115" t="s">
        <v>139</v>
      </c>
      <c r="K149" s="115" t="s">
        <v>118</v>
      </c>
      <c r="L149">
        <v>978.8</v>
      </c>
      <c r="M149">
        <v>981</v>
      </c>
      <c r="N149">
        <v>800</v>
      </c>
      <c r="O149" s="115" t="s">
        <v>89</v>
      </c>
      <c r="P149">
        <v>0.95625328759360595</v>
      </c>
      <c r="Q149">
        <v>0.91122186485566903</v>
      </c>
      <c r="R149">
        <v>6.3628107979830095E-2</v>
      </c>
      <c r="S149">
        <v>0.188670733249933</v>
      </c>
      <c r="T149">
        <v>-0.65657143043460298</v>
      </c>
      <c r="U149">
        <v>0.65657143043460298</v>
      </c>
      <c r="V149">
        <v>-1.27</v>
      </c>
      <c r="W149">
        <v>4.08</v>
      </c>
      <c r="X149">
        <v>75662</v>
      </c>
      <c r="Y149">
        <v>3439</v>
      </c>
      <c r="Z149">
        <v>0.21</v>
      </c>
      <c r="AA149">
        <v>22</v>
      </c>
      <c r="AB149">
        <v>10</v>
      </c>
      <c r="AC149">
        <v>12</v>
      </c>
      <c r="AD149">
        <v>45.45</v>
      </c>
      <c r="AE149">
        <v>13</v>
      </c>
      <c r="AF149">
        <v>5</v>
      </c>
      <c r="AG149">
        <v>3</v>
      </c>
      <c r="AH149">
        <v>14</v>
      </c>
    </row>
    <row r="150" spans="1:34">
      <c r="A150" s="111">
        <v>23</v>
      </c>
      <c r="B150">
        <v>1944</v>
      </c>
      <c r="C150" s="115" t="s">
        <v>179</v>
      </c>
      <c r="D150" s="115" t="s">
        <v>108</v>
      </c>
      <c r="E150">
        <v>1677</v>
      </c>
      <c r="F150">
        <v>1654</v>
      </c>
      <c r="G150">
        <v>500</v>
      </c>
      <c r="H150" s="115" t="s">
        <v>87</v>
      </c>
      <c r="I150">
        <v>7327</v>
      </c>
      <c r="J150" s="115" t="s">
        <v>194</v>
      </c>
      <c r="K150" s="115" t="s">
        <v>113</v>
      </c>
      <c r="L150">
        <v>2926</v>
      </c>
      <c r="M150">
        <v>2888</v>
      </c>
      <c r="N150">
        <v>300</v>
      </c>
      <c r="O150" s="115" t="s">
        <v>89</v>
      </c>
      <c r="P150">
        <v>0.92700711359702104</v>
      </c>
      <c r="Q150">
        <v>0.94716304410894303</v>
      </c>
      <c r="R150">
        <v>1.5822021058538201E-3</v>
      </c>
      <c r="S150">
        <v>1.54399830827509E-4</v>
      </c>
      <c r="T150">
        <v>-1.3791080625429899</v>
      </c>
      <c r="U150">
        <v>1.3791080625429899</v>
      </c>
      <c r="V150">
        <v>-4.5599999999999996</v>
      </c>
      <c r="W150">
        <v>4.55</v>
      </c>
      <c r="X150">
        <v>69712</v>
      </c>
      <c r="Y150">
        <v>34856</v>
      </c>
      <c r="Z150">
        <v>1.94</v>
      </c>
      <c r="AA150">
        <v>2</v>
      </c>
      <c r="AB150">
        <v>2</v>
      </c>
      <c r="AC150">
        <v>0</v>
      </c>
      <c r="AD150">
        <v>100</v>
      </c>
      <c r="AE150">
        <v>16</v>
      </c>
      <c r="AF150">
        <v>2</v>
      </c>
      <c r="AG150">
        <v>0</v>
      </c>
      <c r="AH150">
        <v>0</v>
      </c>
    </row>
    <row r="151" spans="1:34">
      <c r="A151" s="111">
        <v>186</v>
      </c>
      <c r="B151">
        <v>3116</v>
      </c>
      <c r="C151" s="115" t="s">
        <v>168</v>
      </c>
      <c r="D151" s="115" t="s">
        <v>115</v>
      </c>
      <c r="E151">
        <v>1740</v>
      </c>
      <c r="F151">
        <v>1715</v>
      </c>
      <c r="G151">
        <v>600</v>
      </c>
      <c r="H151" s="115" t="s">
        <v>89</v>
      </c>
      <c r="I151">
        <v>8002</v>
      </c>
      <c r="J151" s="115" t="s">
        <v>57</v>
      </c>
      <c r="K151" s="115" t="s">
        <v>135</v>
      </c>
      <c r="L151">
        <v>809.9</v>
      </c>
      <c r="M151">
        <v>804.8</v>
      </c>
      <c r="N151">
        <v>1300</v>
      </c>
      <c r="O151" s="115" t="s">
        <v>87</v>
      </c>
      <c r="P151">
        <v>0.95029199712811296</v>
      </c>
      <c r="Q151">
        <v>0.91089054078060505</v>
      </c>
      <c r="R151">
        <v>8.5954220516224894E-2</v>
      </c>
      <c r="S151">
        <v>0.10864902773464601</v>
      </c>
      <c r="T151">
        <v>0.95548895198582395</v>
      </c>
      <c r="U151">
        <v>0.95548895198582395</v>
      </c>
      <c r="V151">
        <v>1.84</v>
      </c>
      <c r="W151">
        <v>1.68</v>
      </c>
      <c r="X151">
        <v>69702</v>
      </c>
      <c r="Y151">
        <v>5362</v>
      </c>
      <c r="Z151">
        <v>0.33</v>
      </c>
      <c r="AA151">
        <v>13</v>
      </c>
      <c r="AB151">
        <v>5</v>
      </c>
      <c r="AC151">
        <v>8</v>
      </c>
      <c r="AD151">
        <v>38.46</v>
      </c>
      <c r="AE151">
        <v>16</v>
      </c>
      <c r="AF151">
        <v>4</v>
      </c>
      <c r="AG151">
        <v>0</v>
      </c>
      <c r="AH151">
        <v>9</v>
      </c>
    </row>
    <row r="152" spans="1:34">
      <c r="A152" s="111">
        <v>228</v>
      </c>
      <c r="B152">
        <v>5991</v>
      </c>
      <c r="C152" s="115" t="s">
        <v>149</v>
      </c>
      <c r="D152" s="115" t="s">
        <v>150</v>
      </c>
      <c r="E152">
        <v>975</v>
      </c>
      <c r="F152">
        <v>965</v>
      </c>
      <c r="G152">
        <v>1100</v>
      </c>
      <c r="H152" s="115" t="s">
        <v>89</v>
      </c>
      <c r="I152">
        <v>6472</v>
      </c>
      <c r="J152" s="115" t="s">
        <v>183</v>
      </c>
      <c r="K152" s="115" t="s">
        <v>133</v>
      </c>
      <c r="L152">
        <v>342</v>
      </c>
      <c r="M152">
        <v>336</v>
      </c>
      <c r="N152">
        <v>3200</v>
      </c>
      <c r="O152" s="115" t="s">
        <v>87</v>
      </c>
      <c r="P152">
        <v>0.90775024299004903</v>
      </c>
      <c r="Q152">
        <v>0.90452434043178798</v>
      </c>
      <c r="R152">
        <v>0.17600043133184001</v>
      </c>
      <c r="S152">
        <v>0.20993207998890201</v>
      </c>
      <c r="T152">
        <v>2.11194772383933</v>
      </c>
      <c r="U152">
        <v>2.11194772383933</v>
      </c>
      <c r="V152">
        <v>6.9</v>
      </c>
      <c r="W152">
        <v>1.29</v>
      </c>
      <c r="X152">
        <v>67824</v>
      </c>
      <c r="Y152">
        <v>4239</v>
      </c>
      <c r="Z152">
        <v>0.18</v>
      </c>
      <c r="AA152">
        <v>16</v>
      </c>
      <c r="AB152">
        <v>7</v>
      </c>
      <c r="AC152">
        <v>9</v>
      </c>
      <c r="AD152">
        <v>43.75</v>
      </c>
      <c r="AE152">
        <v>14</v>
      </c>
      <c r="AF152">
        <v>4</v>
      </c>
      <c r="AG152">
        <v>3</v>
      </c>
      <c r="AH152">
        <v>9</v>
      </c>
    </row>
    <row r="153" spans="1:34">
      <c r="A153" s="111">
        <v>148</v>
      </c>
      <c r="B153">
        <v>7189</v>
      </c>
      <c r="C153" s="115" t="s">
        <v>112</v>
      </c>
      <c r="D153" s="115" t="s">
        <v>113</v>
      </c>
      <c r="E153">
        <v>854</v>
      </c>
      <c r="F153">
        <v>843</v>
      </c>
      <c r="G153">
        <v>1200</v>
      </c>
      <c r="H153" s="115" t="s">
        <v>89</v>
      </c>
      <c r="I153">
        <v>8279</v>
      </c>
      <c r="J153" s="115" t="s">
        <v>411</v>
      </c>
      <c r="K153" s="115" t="s">
        <v>128</v>
      </c>
      <c r="L153">
        <v>5210</v>
      </c>
      <c r="M153">
        <v>5170</v>
      </c>
      <c r="N153">
        <v>200</v>
      </c>
      <c r="O153" s="115" t="s">
        <v>87</v>
      </c>
      <c r="P153">
        <v>0.94129004650340298</v>
      </c>
      <c r="Q153">
        <v>0.91528465328014597</v>
      </c>
      <c r="R153">
        <v>5.9055912643090097E-2</v>
      </c>
      <c r="S153">
        <v>7.9815871910955793E-2</v>
      </c>
      <c r="T153">
        <v>1.09741430860988</v>
      </c>
      <c r="U153">
        <v>1.09741430860988</v>
      </c>
      <c r="V153">
        <v>6.95</v>
      </c>
      <c r="W153">
        <v>2.17</v>
      </c>
      <c r="X153">
        <v>62449</v>
      </c>
      <c r="Y153">
        <v>3673</v>
      </c>
      <c r="Z153">
        <v>0.09</v>
      </c>
      <c r="AA153">
        <v>17</v>
      </c>
      <c r="AB153">
        <v>8</v>
      </c>
      <c r="AC153">
        <v>9</v>
      </c>
      <c r="AD153">
        <v>47.06</v>
      </c>
      <c r="AE153">
        <v>13</v>
      </c>
      <c r="AF153">
        <v>7</v>
      </c>
      <c r="AG153">
        <v>4</v>
      </c>
      <c r="AH153">
        <v>6</v>
      </c>
    </row>
    <row r="154" spans="1:34">
      <c r="A154" s="111">
        <v>30</v>
      </c>
      <c r="B154">
        <v>3105</v>
      </c>
      <c r="C154" s="115" t="s">
        <v>122</v>
      </c>
      <c r="D154" s="115" t="s">
        <v>118</v>
      </c>
      <c r="E154">
        <v>988</v>
      </c>
      <c r="F154">
        <v>979</v>
      </c>
      <c r="G154">
        <v>600</v>
      </c>
      <c r="H154" s="115" t="s">
        <v>87</v>
      </c>
      <c r="I154">
        <v>6988</v>
      </c>
      <c r="J154" s="115" t="s">
        <v>191</v>
      </c>
      <c r="K154" s="115" t="s">
        <v>88</v>
      </c>
      <c r="L154">
        <v>6320</v>
      </c>
      <c r="M154">
        <v>6240</v>
      </c>
      <c r="N154">
        <v>100</v>
      </c>
      <c r="O154" s="115" t="s">
        <v>89</v>
      </c>
      <c r="P154">
        <v>0.95059566636774095</v>
      </c>
      <c r="Q154">
        <v>0.94311329560208002</v>
      </c>
      <c r="R154">
        <v>0.16937750908150001</v>
      </c>
      <c r="S154">
        <v>3.01431083817803E-2</v>
      </c>
      <c r="T154">
        <v>-0.40974946065809098</v>
      </c>
      <c r="U154">
        <v>0.40974946065809098</v>
      </c>
      <c r="V154">
        <v>-1.02</v>
      </c>
      <c r="W154">
        <v>5.87</v>
      </c>
      <c r="X154">
        <v>59924</v>
      </c>
      <c r="Y154">
        <v>3329</v>
      </c>
      <c r="Z154">
        <v>0.05</v>
      </c>
      <c r="AA154">
        <v>18</v>
      </c>
      <c r="AB154">
        <v>10</v>
      </c>
      <c r="AC154">
        <v>8</v>
      </c>
      <c r="AD154">
        <v>55.56</v>
      </c>
      <c r="AE154">
        <v>12</v>
      </c>
      <c r="AF154">
        <v>6</v>
      </c>
      <c r="AG154">
        <v>5</v>
      </c>
      <c r="AH154">
        <v>7</v>
      </c>
    </row>
    <row r="155" spans="1:34">
      <c r="A155" s="111">
        <v>62</v>
      </c>
      <c r="B155">
        <v>4182</v>
      </c>
      <c r="C155" s="115" t="s">
        <v>119</v>
      </c>
      <c r="D155" s="115" t="s">
        <v>88</v>
      </c>
      <c r="E155">
        <v>1680</v>
      </c>
      <c r="F155">
        <v>1641</v>
      </c>
      <c r="G155">
        <v>500</v>
      </c>
      <c r="H155" s="115" t="s">
        <v>89</v>
      </c>
      <c r="I155">
        <v>6371</v>
      </c>
      <c r="J155" s="115" t="s">
        <v>142</v>
      </c>
      <c r="K155" s="115" t="s">
        <v>133</v>
      </c>
      <c r="L155">
        <v>3830</v>
      </c>
      <c r="M155">
        <v>3770</v>
      </c>
      <c r="N155">
        <v>200</v>
      </c>
      <c r="O155" s="115" t="s">
        <v>87</v>
      </c>
      <c r="P155">
        <v>0.97301496773834995</v>
      </c>
      <c r="Q155">
        <v>0.93504863358521395</v>
      </c>
      <c r="R155">
        <v>1.1484392507460899E-2</v>
      </c>
      <c r="S155">
        <v>1.2170812238245499E-2</v>
      </c>
      <c r="T155">
        <v>1.3399998195367</v>
      </c>
      <c r="U155">
        <v>1.3399998195367</v>
      </c>
      <c r="V155">
        <v>5.61</v>
      </c>
      <c r="W155">
        <v>8.82</v>
      </c>
      <c r="X155">
        <v>55936</v>
      </c>
      <c r="Y155">
        <v>4661</v>
      </c>
      <c r="Z155">
        <v>0.32</v>
      </c>
      <c r="AA155">
        <v>12</v>
      </c>
      <c r="AB155">
        <v>7</v>
      </c>
      <c r="AC155">
        <v>5</v>
      </c>
      <c r="AD155">
        <v>58.33</v>
      </c>
      <c r="AE155">
        <v>13</v>
      </c>
      <c r="AF155">
        <v>3</v>
      </c>
      <c r="AG155">
        <v>2</v>
      </c>
      <c r="AH155">
        <v>7</v>
      </c>
    </row>
    <row r="156" spans="1:34">
      <c r="A156" s="111">
        <v>245</v>
      </c>
      <c r="B156">
        <v>6951</v>
      </c>
      <c r="C156" s="115" t="s">
        <v>422</v>
      </c>
      <c r="D156" s="115" t="s">
        <v>118</v>
      </c>
      <c r="E156">
        <v>2950</v>
      </c>
      <c r="F156">
        <v>3005</v>
      </c>
      <c r="G156">
        <v>300</v>
      </c>
      <c r="H156" s="115" t="s">
        <v>89</v>
      </c>
      <c r="I156">
        <v>6967</v>
      </c>
      <c r="J156" s="115" t="s">
        <v>400</v>
      </c>
      <c r="K156" s="115" t="s">
        <v>118</v>
      </c>
      <c r="L156">
        <v>1060</v>
      </c>
      <c r="M156">
        <v>1052</v>
      </c>
      <c r="N156">
        <v>900</v>
      </c>
      <c r="O156" s="115" t="s">
        <v>87</v>
      </c>
      <c r="P156">
        <v>0.96092056109177104</v>
      </c>
      <c r="Q156">
        <v>0.90260246723387505</v>
      </c>
      <c r="R156">
        <v>8.0465170792920995E-2</v>
      </c>
      <c r="S156">
        <v>6.2913685232211303E-2</v>
      </c>
      <c r="T156">
        <v>1.3697237463526599</v>
      </c>
      <c r="U156">
        <v>1.3697237463526599</v>
      </c>
      <c r="V156">
        <v>3.94</v>
      </c>
      <c r="W156">
        <v>5.0199999999999996</v>
      </c>
      <c r="X156">
        <v>55478</v>
      </c>
      <c r="Y156">
        <v>2920</v>
      </c>
      <c r="Z156">
        <v>0.13</v>
      </c>
      <c r="AA156">
        <v>19</v>
      </c>
      <c r="AB156">
        <v>11</v>
      </c>
      <c r="AC156">
        <v>8</v>
      </c>
      <c r="AD156">
        <v>57.89</v>
      </c>
      <c r="AE156">
        <v>10</v>
      </c>
      <c r="AF156">
        <v>10</v>
      </c>
      <c r="AG156">
        <v>7</v>
      </c>
      <c r="AH156">
        <v>2</v>
      </c>
    </row>
    <row r="157" spans="1:34">
      <c r="A157" s="111">
        <v>214</v>
      </c>
      <c r="B157">
        <v>4516</v>
      </c>
      <c r="C157" s="115" t="s">
        <v>420</v>
      </c>
      <c r="D157" s="115" t="s">
        <v>188</v>
      </c>
      <c r="E157">
        <v>9600</v>
      </c>
      <c r="F157">
        <v>9580</v>
      </c>
      <c r="G157">
        <v>100</v>
      </c>
      <c r="H157" s="115" t="s">
        <v>87</v>
      </c>
      <c r="I157">
        <v>8036</v>
      </c>
      <c r="J157" s="115" t="s">
        <v>417</v>
      </c>
      <c r="K157" s="115" t="s">
        <v>135</v>
      </c>
      <c r="L157">
        <v>6920</v>
      </c>
      <c r="M157">
        <v>6990</v>
      </c>
      <c r="N157">
        <v>100</v>
      </c>
      <c r="O157" s="115" t="s">
        <v>89</v>
      </c>
      <c r="P157">
        <v>0.91397216920102797</v>
      </c>
      <c r="Q157">
        <v>0.90613025213937803</v>
      </c>
      <c r="R157" s="20">
        <v>1.66236399860622E-2</v>
      </c>
      <c r="S157">
        <v>0.114946569588667</v>
      </c>
      <c r="T157">
        <v>-1.7099689379659899</v>
      </c>
      <c r="U157">
        <v>1.7099689379659899</v>
      </c>
      <c r="V157">
        <v>-6.76</v>
      </c>
      <c r="W157">
        <v>27.04</v>
      </c>
      <c r="X157">
        <v>55404</v>
      </c>
      <c r="Y157">
        <v>9234</v>
      </c>
      <c r="Z157">
        <v>0.68</v>
      </c>
      <c r="AA157">
        <v>6</v>
      </c>
      <c r="AB157">
        <v>3</v>
      </c>
      <c r="AC157">
        <v>3</v>
      </c>
      <c r="AD157">
        <v>50</v>
      </c>
      <c r="AE157">
        <v>11</v>
      </c>
      <c r="AF157">
        <v>3</v>
      </c>
      <c r="AG157">
        <v>1</v>
      </c>
      <c r="AH157">
        <v>2</v>
      </c>
    </row>
    <row r="158" spans="1:34">
      <c r="A158" s="111">
        <v>145</v>
      </c>
      <c r="B158">
        <v>4530</v>
      </c>
      <c r="C158" s="115" t="s">
        <v>193</v>
      </c>
      <c r="D158" s="115" t="s">
        <v>188</v>
      </c>
      <c r="E158">
        <v>5390</v>
      </c>
      <c r="F158">
        <v>5250</v>
      </c>
      <c r="G158">
        <v>200</v>
      </c>
      <c r="H158" s="115" t="s">
        <v>89</v>
      </c>
      <c r="I158">
        <v>8267</v>
      </c>
      <c r="J158" s="115" t="s">
        <v>393</v>
      </c>
      <c r="K158" s="115" t="s">
        <v>128</v>
      </c>
      <c r="L158">
        <v>2271</v>
      </c>
      <c r="M158">
        <v>2239</v>
      </c>
      <c r="N158">
        <v>500</v>
      </c>
      <c r="O158" s="115" t="s">
        <v>87</v>
      </c>
      <c r="P158">
        <v>0.92995385720655999</v>
      </c>
      <c r="Q158">
        <v>0.91581180800138895</v>
      </c>
      <c r="R158">
        <v>0.26767230288883498</v>
      </c>
      <c r="S158">
        <v>0.13011707069134801</v>
      </c>
      <c r="T158">
        <v>0.79027494487873395</v>
      </c>
      <c r="U158">
        <v>0.79027494487873395</v>
      </c>
      <c r="V158">
        <v>2.25</v>
      </c>
      <c r="W158">
        <v>6.62</v>
      </c>
      <c r="X158">
        <v>54931</v>
      </c>
      <c r="Y158">
        <v>4994</v>
      </c>
      <c r="Z158">
        <v>0.27</v>
      </c>
      <c r="AA158">
        <v>11</v>
      </c>
      <c r="AB158">
        <v>6</v>
      </c>
      <c r="AC158">
        <v>5</v>
      </c>
      <c r="AD158">
        <v>54.55</v>
      </c>
      <c r="AE158">
        <v>13</v>
      </c>
      <c r="AF158">
        <v>3</v>
      </c>
      <c r="AG158">
        <v>2</v>
      </c>
      <c r="AH158">
        <v>6</v>
      </c>
    </row>
    <row r="159" spans="1:34">
      <c r="A159" s="111">
        <v>45</v>
      </c>
      <c r="B159">
        <v>6457</v>
      </c>
      <c r="C159" s="115" t="s">
        <v>406</v>
      </c>
      <c r="D159" s="115" t="s">
        <v>133</v>
      </c>
      <c r="E159">
        <v>3345</v>
      </c>
      <c r="F159">
        <v>3305</v>
      </c>
      <c r="G159">
        <v>300</v>
      </c>
      <c r="H159" s="115" t="s">
        <v>87</v>
      </c>
      <c r="I159">
        <v>6755</v>
      </c>
      <c r="J159" s="115" t="s">
        <v>446</v>
      </c>
      <c r="K159" s="115" t="s">
        <v>118</v>
      </c>
      <c r="L159">
        <v>2065</v>
      </c>
      <c r="M159">
        <v>2014</v>
      </c>
      <c r="N159">
        <v>500</v>
      </c>
      <c r="O159" s="115" t="s">
        <v>89</v>
      </c>
      <c r="P159">
        <v>0.92436757678709403</v>
      </c>
      <c r="Q159">
        <v>0.94020630122424798</v>
      </c>
      <c r="R159">
        <v>0.109057336121604</v>
      </c>
      <c r="S159">
        <v>6.2130192709513904E-4</v>
      </c>
      <c r="T159">
        <v>-1.0966586137437699</v>
      </c>
      <c r="U159">
        <v>1.0966586137437699</v>
      </c>
      <c r="V159">
        <v>-2.95</v>
      </c>
      <c r="W159">
        <v>1.56</v>
      </c>
      <c r="X159">
        <v>54333</v>
      </c>
      <c r="Y159">
        <v>3622</v>
      </c>
      <c r="Z159">
        <v>0.2</v>
      </c>
      <c r="AA159">
        <v>15</v>
      </c>
      <c r="AB159">
        <v>9</v>
      </c>
      <c r="AC159">
        <v>6</v>
      </c>
      <c r="AD159">
        <v>60</v>
      </c>
      <c r="AE159">
        <v>13</v>
      </c>
      <c r="AF159">
        <v>5</v>
      </c>
      <c r="AG159">
        <v>3</v>
      </c>
      <c r="AH159">
        <v>7</v>
      </c>
    </row>
    <row r="160" spans="1:34">
      <c r="A160" s="111">
        <v>61</v>
      </c>
      <c r="B160">
        <v>3861</v>
      </c>
      <c r="C160" s="115" t="s">
        <v>92</v>
      </c>
      <c r="D160" s="115" t="s">
        <v>111</v>
      </c>
      <c r="E160">
        <v>619</v>
      </c>
      <c r="F160">
        <v>612</v>
      </c>
      <c r="G160">
        <v>1700</v>
      </c>
      <c r="H160" s="115" t="s">
        <v>89</v>
      </c>
      <c r="I160">
        <v>5703</v>
      </c>
      <c r="J160" s="115" t="s">
        <v>394</v>
      </c>
      <c r="K160" s="115" t="s">
        <v>176</v>
      </c>
      <c r="L160">
        <v>228</v>
      </c>
      <c r="M160">
        <v>225</v>
      </c>
      <c r="N160">
        <v>4600</v>
      </c>
      <c r="O160" s="115" t="s">
        <v>87</v>
      </c>
      <c r="P160">
        <v>0.97148669513320396</v>
      </c>
      <c r="Q160">
        <v>0.93515141200018703</v>
      </c>
      <c r="R160">
        <v>3.3247839324701399E-2</v>
      </c>
      <c r="S160">
        <v>0.23086954638278701</v>
      </c>
      <c r="T160">
        <v>1.1055099189542099</v>
      </c>
      <c r="U160">
        <v>1.1055099189542099</v>
      </c>
      <c r="V160">
        <v>2.2200000000000002</v>
      </c>
      <c r="W160">
        <v>0.52</v>
      </c>
      <c r="X160">
        <v>53606</v>
      </c>
      <c r="Y160">
        <v>2331</v>
      </c>
      <c r="Z160">
        <v>0.12</v>
      </c>
      <c r="AA160">
        <v>23</v>
      </c>
      <c r="AB160">
        <v>12</v>
      </c>
      <c r="AC160">
        <v>11</v>
      </c>
      <c r="AD160">
        <v>52.17</v>
      </c>
      <c r="AE160">
        <v>12</v>
      </c>
      <c r="AF160">
        <v>9</v>
      </c>
      <c r="AG160">
        <v>6</v>
      </c>
      <c r="AH160">
        <v>8</v>
      </c>
    </row>
    <row r="161" spans="1:34">
      <c r="A161" s="111">
        <v>147</v>
      </c>
      <c r="B161">
        <v>4182</v>
      </c>
      <c r="C161" s="115" t="s">
        <v>119</v>
      </c>
      <c r="D161" s="115" t="s">
        <v>88</v>
      </c>
      <c r="E161">
        <v>1680</v>
      </c>
      <c r="F161">
        <v>1641</v>
      </c>
      <c r="G161">
        <v>600</v>
      </c>
      <c r="H161" s="115" t="s">
        <v>89</v>
      </c>
      <c r="I161">
        <v>5463</v>
      </c>
      <c r="J161" s="115" t="s">
        <v>196</v>
      </c>
      <c r="K161" s="115" t="s">
        <v>125</v>
      </c>
      <c r="L161">
        <v>3210</v>
      </c>
      <c r="M161">
        <v>3235</v>
      </c>
      <c r="N161">
        <v>300</v>
      </c>
      <c r="O161" s="115" t="s">
        <v>87</v>
      </c>
      <c r="P161">
        <v>0.94331304072269095</v>
      </c>
      <c r="Q161">
        <v>0.91550385228410103</v>
      </c>
      <c r="R161">
        <v>0.32841253560492401</v>
      </c>
      <c r="S161">
        <v>4.2174228894955999E-2</v>
      </c>
      <c r="T161">
        <v>0.13844167321746201</v>
      </c>
      <c r="U161">
        <v>0.13844167321746201</v>
      </c>
      <c r="V161">
        <v>0.75</v>
      </c>
      <c r="W161">
        <v>1.45</v>
      </c>
      <c r="X161">
        <v>49018</v>
      </c>
      <c r="Y161">
        <v>2723</v>
      </c>
      <c r="Z161">
        <v>0.22</v>
      </c>
      <c r="AA161">
        <v>18</v>
      </c>
      <c r="AB161">
        <v>10</v>
      </c>
      <c r="AC161">
        <v>8</v>
      </c>
      <c r="AD161">
        <v>55.56</v>
      </c>
      <c r="AE161">
        <v>11</v>
      </c>
      <c r="AF161">
        <v>7</v>
      </c>
      <c r="AG161">
        <v>6</v>
      </c>
      <c r="AH161">
        <v>5</v>
      </c>
    </row>
    <row r="162" spans="1:34">
      <c r="A162" s="111">
        <v>26</v>
      </c>
      <c r="B162">
        <v>7189</v>
      </c>
      <c r="C162" s="115" t="s">
        <v>112</v>
      </c>
      <c r="D162" s="115" t="s">
        <v>113</v>
      </c>
      <c r="E162">
        <v>854</v>
      </c>
      <c r="F162">
        <v>843</v>
      </c>
      <c r="G162">
        <v>1000</v>
      </c>
      <c r="H162" s="115" t="s">
        <v>89</v>
      </c>
      <c r="I162">
        <v>7327</v>
      </c>
      <c r="J162" s="115" t="s">
        <v>194</v>
      </c>
      <c r="K162" s="115" t="s">
        <v>113</v>
      </c>
      <c r="L162">
        <v>2926</v>
      </c>
      <c r="M162">
        <v>2888</v>
      </c>
      <c r="N162">
        <v>300</v>
      </c>
      <c r="O162" s="115" t="s">
        <v>87</v>
      </c>
      <c r="P162">
        <v>0.96805463510110501</v>
      </c>
      <c r="Q162">
        <v>0.94501614376172405</v>
      </c>
      <c r="R162">
        <v>0.110440361174616</v>
      </c>
      <c r="S162">
        <v>7.6143157206080503E-2</v>
      </c>
      <c r="T162">
        <v>1.0486496724336301</v>
      </c>
      <c r="U162">
        <v>1.0486496724336301</v>
      </c>
      <c r="V162">
        <v>4.4800000000000004</v>
      </c>
      <c r="W162">
        <v>2.7</v>
      </c>
      <c r="X162">
        <v>47900</v>
      </c>
      <c r="Y162">
        <v>11975</v>
      </c>
      <c r="Z162">
        <v>0.68</v>
      </c>
      <c r="AA162">
        <v>4</v>
      </c>
      <c r="AB162">
        <v>2</v>
      </c>
      <c r="AC162">
        <v>2</v>
      </c>
      <c r="AD162">
        <v>50</v>
      </c>
      <c r="AE162">
        <v>10</v>
      </c>
      <c r="AF162">
        <v>2</v>
      </c>
      <c r="AG162">
        <v>1</v>
      </c>
      <c r="AH162">
        <v>1</v>
      </c>
    </row>
    <row r="163" spans="1:34">
      <c r="A163" s="111">
        <v>220</v>
      </c>
      <c r="B163">
        <v>7327</v>
      </c>
      <c r="C163" s="115" t="s">
        <v>194</v>
      </c>
      <c r="D163" s="115" t="s">
        <v>113</v>
      </c>
      <c r="E163">
        <v>2926</v>
      </c>
      <c r="F163">
        <v>2888</v>
      </c>
      <c r="G163">
        <v>300</v>
      </c>
      <c r="H163" s="115" t="s">
        <v>87</v>
      </c>
      <c r="I163">
        <v>9956</v>
      </c>
      <c r="J163" s="115" t="s">
        <v>413</v>
      </c>
      <c r="K163" s="115" t="s">
        <v>128</v>
      </c>
      <c r="L163">
        <v>2053</v>
      </c>
      <c r="M163">
        <v>2040</v>
      </c>
      <c r="N163">
        <v>400</v>
      </c>
      <c r="O163" s="115" t="s">
        <v>89</v>
      </c>
      <c r="P163">
        <v>0.91173500236550897</v>
      </c>
      <c r="Q163">
        <v>0.90508980787813897</v>
      </c>
      <c r="R163">
        <v>0.24808039611906699</v>
      </c>
      <c r="S163" s="20">
        <v>3.9846265775393998E-2</v>
      </c>
      <c r="T163">
        <v>-0.37411052750846602</v>
      </c>
      <c r="U163">
        <v>0.37411052750846602</v>
      </c>
      <c r="V163">
        <v>-1.36</v>
      </c>
      <c r="W163">
        <v>5.82</v>
      </c>
      <c r="X163">
        <v>47107</v>
      </c>
      <c r="Y163">
        <v>11777</v>
      </c>
      <c r="Z163">
        <v>0.69</v>
      </c>
      <c r="AA163">
        <v>4</v>
      </c>
      <c r="AB163">
        <v>3</v>
      </c>
      <c r="AC163">
        <v>1</v>
      </c>
      <c r="AD163">
        <v>75</v>
      </c>
      <c r="AE163">
        <v>7</v>
      </c>
      <c r="AF163">
        <v>2</v>
      </c>
      <c r="AG163">
        <v>1</v>
      </c>
      <c r="AH163">
        <v>1</v>
      </c>
    </row>
    <row r="164" spans="1:34">
      <c r="A164" s="111">
        <v>210</v>
      </c>
      <c r="B164">
        <v>6135</v>
      </c>
      <c r="C164" s="115" t="s">
        <v>397</v>
      </c>
      <c r="D164" s="115" t="s">
        <v>133</v>
      </c>
      <c r="E164">
        <v>5470</v>
      </c>
      <c r="F164">
        <v>5350</v>
      </c>
      <c r="G164">
        <v>100</v>
      </c>
      <c r="H164" s="115" t="s">
        <v>87</v>
      </c>
      <c r="I164">
        <v>6856</v>
      </c>
      <c r="J164" s="115" t="s">
        <v>444</v>
      </c>
      <c r="K164" s="115" t="s">
        <v>118</v>
      </c>
      <c r="L164">
        <v>7300</v>
      </c>
      <c r="M164">
        <v>7370</v>
      </c>
      <c r="N164">
        <v>100</v>
      </c>
      <c r="O164" s="115" t="s">
        <v>89</v>
      </c>
      <c r="P164">
        <v>0.96494222932395002</v>
      </c>
      <c r="Q164">
        <v>0.90672910156211295</v>
      </c>
      <c r="R164">
        <v>0.27952491390456302</v>
      </c>
      <c r="S164">
        <v>0.297176567793559</v>
      </c>
      <c r="T164">
        <v>-0.82482898211117694</v>
      </c>
      <c r="U164">
        <v>0.82482898211117694</v>
      </c>
      <c r="V164">
        <v>-3.11</v>
      </c>
      <c r="W164">
        <v>27.41</v>
      </c>
      <c r="X164">
        <v>46787</v>
      </c>
      <c r="Y164">
        <v>46787</v>
      </c>
      <c r="Z164">
        <v>3.43</v>
      </c>
      <c r="AA164">
        <v>1</v>
      </c>
      <c r="AB164">
        <v>1</v>
      </c>
      <c r="AC164">
        <v>0</v>
      </c>
      <c r="AD164">
        <v>100</v>
      </c>
      <c r="AE164">
        <v>6</v>
      </c>
      <c r="AF164">
        <v>1</v>
      </c>
      <c r="AG164">
        <v>0</v>
      </c>
      <c r="AH164">
        <v>0</v>
      </c>
    </row>
    <row r="165" spans="1:34">
      <c r="A165" s="111">
        <v>5</v>
      </c>
      <c r="B165">
        <v>6471</v>
      </c>
      <c r="C165" s="115" t="s">
        <v>190</v>
      </c>
      <c r="D165" s="115" t="s">
        <v>133</v>
      </c>
      <c r="E165">
        <v>1081</v>
      </c>
      <c r="F165">
        <v>1076</v>
      </c>
      <c r="G165">
        <v>1000</v>
      </c>
      <c r="H165" s="115" t="s">
        <v>89</v>
      </c>
      <c r="I165">
        <v>6473</v>
      </c>
      <c r="J165" s="115" t="s">
        <v>178</v>
      </c>
      <c r="K165" s="115" t="s">
        <v>133</v>
      </c>
      <c r="L165">
        <v>1397</v>
      </c>
      <c r="M165">
        <v>1375</v>
      </c>
      <c r="N165">
        <v>800</v>
      </c>
      <c r="O165" s="115" t="s">
        <v>87</v>
      </c>
      <c r="P165">
        <v>0.98281818852065606</v>
      </c>
      <c r="Q165">
        <v>0.95640332487082302</v>
      </c>
      <c r="R165">
        <v>2.2713620536477801E-3</v>
      </c>
      <c r="S165">
        <v>1.0538265919378001E-2</v>
      </c>
      <c r="T165">
        <v>2.43280484027553</v>
      </c>
      <c r="U165">
        <v>2.43280484027553</v>
      </c>
      <c r="V165">
        <v>4.4800000000000004</v>
      </c>
      <c r="W165">
        <v>2.1800000000000002</v>
      </c>
      <c r="X165">
        <v>46361</v>
      </c>
      <c r="Y165">
        <v>3863</v>
      </c>
      <c r="Z165">
        <v>0.19</v>
      </c>
      <c r="AA165">
        <v>12</v>
      </c>
      <c r="AB165">
        <v>8</v>
      </c>
      <c r="AC165">
        <v>4</v>
      </c>
      <c r="AD165">
        <v>66.67</v>
      </c>
      <c r="AE165">
        <v>16</v>
      </c>
      <c r="AF165">
        <v>1</v>
      </c>
      <c r="AG165">
        <v>1</v>
      </c>
      <c r="AH165">
        <v>10</v>
      </c>
    </row>
    <row r="166" spans="1:34">
      <c r="A166" s="111">
        <v>262</v>
      </c>
      <c r="B166">
        <v>4061</v>
      </c>
      <c r="C166" s="115" t="s">
        <v>159</v>
      </c>
      <c r="D166" s="115" t="s">
        <v>88</v>
      </c>
      <c r="E166">
        <v>3340</v>
      </c>
      <c r="F166">
        <v>3290</v>
      </c>
      <c r="G166">
        <v>300</v>
      </c>
      <c r="H166" s="115" t="s">
        <v>89</v>
      </c>
      <c r="I166">
        <v>9072</v>
      </c>
      <c r="J166" s="115" t="s">
        <v>169</v>
      </c>
      <c r="K166" s="115" t="s">
        <v>154</v>
      </c>
      <c r="L166">
        <v>2766</v>
      </c>
      <c r="M166">
        <v>2725</v>
      </c>
      <c r="N166">
        <v>400</v>
      </c>
      <c r="O166" s="115" t="s">
        <v>87</v>
      </c>
      <c r="P166">
        <v>0.97267026591477401</v>
      </c>
      <c r="Q166">
        <v>0.90032617376336699</v>
      </c>
      <c r="R166">
        <v>1.3677007909043801E-3</v>
      </c>
      <c r="S166">
        <v>3.8951384783572199E-2</v>
      </c>
      <c r="T166">
        <v>0.38709260853046401</v>
      </c>
      <c r="U166">
        <v>0.38709260853046401</v>
      </c>
      <c r="V166">
        <v>0.74</v>
      </c>
      <c r="W166">
        <v>10.44</v>
      </c>
      <c r="X166">
        <v>44299</v>
      </c>
      <c r="Y166">
        <v>4027</v>
      </c>
      <c r="Z166">
        <v>0.36</v>
      </c>
      <c r="AA166">
        <v>11</v>
      </c>
      <c r="AB166">
        <v>7</v>
      </c>
      <c r="AC166">
        <v>4</v>
      </c>
      <c r="AD166">
        <v>63.64</v>
      </c>
      <c r="AE166">
        <v>11</v>
      </c>
      <c r="AF166">
        <v>5</v>
      </c>
      <c r="AG166">
        <v>3</v>
      </c>
      <c r="AH166">
        <v>3</v>
      </c>
    </row>
    <row r="167" spans="1:34">
      <c r="A167" s="111">
        <v>112</v>
      </c>
      <c r="B167">
        <v>4202</v>
      </c>
      <c r="C167" s="115" t="s">
        <v>121</v>
      </c>
      <c r="D167" s="115" t="s">
        <v>88</v>
      </c>
      <c r="E167">
        <v>1117</v>
      </c>
      <c r="F167">
        <v>1098</v>
      </c>
      <c r="G167">
        <v>800</v>
      </c>
      <c r="H167" s="115" t="s">
        <v>89</v>
      </c>
      <c r="I167">
        <v>7327</v>
      </c>
      <c r="J167" s="115" t="s">
        <v>194</v>
      </c>
      <c r="K167" s="115" t="s">
        <v>113</v>
      </c>
      <c r="L167">
        <v>2926</v>
      </c>
      <c r="M167">
        <v>2888</v>
      </c>
      <c r="N167">
        <v>300</v>
      </c>
      <c r="O167" s="115" t="s">
        <v>87</v>
      </c>
      <c r="P167">
        <v>0.92636752091946295</v>
      </c>
      <c r="Q167">
        <v>0.92217422552580997</v>
      </c>
      <c r="R167">
        <v>0.34911144216335699</v>
      </c>
      <c r="S167">
        <v>2.8454349061108102E-2</v>
      </c>
      <c r="T167">
        <v>1.61962559960771</v>
      </c>
      <c r="U167">
        <v>1.61962559960771</v>
      </c>
      <c r="V167">
        <v>8.8699999999999992</v>
      </c>
      <c r="W167">
        <v>1.39</v>
      </c>
      <c r="X167">
        <v>41676</v>
      </c>
      <c r="Y167">
        <v>13892</v>
      </c>
      <c r="Z167">
        <v>0.69</v>
      </c>
      <c r="AA167">
        <v>3</v>
      </c>
      <c r="AB167">
        <v>2</v>
      </c>
      <c r="AC167">
        <v>1</v>
      </c>
      <c r="AD167">
        <v>66.67</v>
      </c>
      <c r="AE167">
        <v>16</v>
      </c>
      <c r="AF167">
        <v>0</v>
      </c>
      <c r="AG167">
        <v>0</v>
      </c>
      <c r="AH167">
        <v>3</v>
      </c>
    </row>
    <row r="168" spans="1:34">
      <c r="A168" s="111">
        <v>237</v>
      </c>
      <c r="B168">
        <v>2801</v>
      </c>
      <c r="C168" s="115" t="s">
        <v>443</v>
      </c>
      <c r="D168" s="115" t="s">
        <v>130</v>
      </c>
      <c r="E168">
        <v>5580</v>
      </c>
      <c r="F168">
        <v>5530</v>
      </c>
      <c r="G168">
        <v>100</v>
      </c>
      <c r="H168" s="115" t="s">
        <v>89</v>
      </c>
      <c r="I168">
        <v>3048</v>
      </c>
      <c r="J168" s="115" t="s">
        <v>402</v>
      </c>
      <c r="K168" s="115" t="s">
        <v>128</v>
      </c>
      <c r="L168">
        <v>1211</v>
      </c>
      <c r="M168">
        <v>1195</v>
      </c>
      <c r="N168">
        <v>500</v>
      </c>
      <c r="O168" s="115" t="s">
        <v>87</v>
      </c>
      <c r="P168">
        <v>0.90593462088851995</v>
      </c>
      <c r="Q168">
        <v>0.903733147203165</v>
      </c>
      <c r="R168">
        <v>7.5080257892179994E-2</v>
      </c>
      <c r="S168">
        <v>9.0073205810661E-2</v>
      </c>
      <c r="T168">
        <v>0.87786160113276501</v>
      </c>
      <c r="U168">
        <v>0.87786160113276501</v>
      </c>
      <c r="V168">
        <v>1.96</v>
      </c>
      <c r="W168">
        <v>8.0500000000000007</v>
      </c>
      <c r="X168">
        <v>38323</v>
      </c>
      <c r="Y168">
        <v>2017</v>
      </c>
      <c r="Z168">
        <v>0.04</v>
      </c>
      <c r="AA168">
        <v>19</v>
      </c>
      <c r="AB168">
        <v>9</v>
      </c>
      <c r="AC168">
        <v>10</v>
      </c>
      <c r="AD168">
        <v>47.37</v>
      </c>
      <c r="AE168">
        <v>11</v>
      </c>
      <c r="AF168">
        <v>7</v>
      </c>
      <c r="AG168">
        <v>7</v>
      </c>
      <c r="AH168">
        <v>5</v>
      </c>
    </row>
    <row r="169" spans="1:34">
      <c r="A169" s="111">
        <v>151</v>
      </c>
      <c r="B169">
        <v>2651</v>
      </c>
      <c r="C169" s="115" t="s">
        <v>465</v>
      </c>
      <c r="D169" s="115" t="s">
        <v>128</v>
      </c>
      <c r="E169">
        <v>6060</v>
      </c>
      <c r="F169">
        <v>6040</v>
      </c>
      <c r="G169">
        <v>100</v>
      </c>
      <c r="H169" s="115" t="s">
        <v>87</v>
      </c>
      <c r="I169">
        <v>4530</v>
      </c>
      <c r="J169" s="115" t="s">
        <v>193</v>
      </c>
      <c r="K169" s="115" t="s">
        <v>188</v>
      </c>
      <c r="L169">
        <v>5390</v>
      </c>
      <c r="M169">
        <v>5250</v>
      </c>
      <c r="N169">
        <v>100</v>
      </c>
      <c r="O169" s="115" t="s">
        <v>89</v>
      </c>
      <c r="P169">
        <v>0.93191050065939796</v>
      </c>
      <c r="Q169">
        <v>0.91493601007120196</v>
      </c>
      <c r="R169">
        <v>0.21318051919882</v>
      </c>
      <c r="S169">
        <v>0.31584422625497099</v>
      </c>
      <c r="T169">
        <v>-1.37125406619628</v>
      </c>
      <c r="U169">
        <v>1.37125406619628</v>
      </c>
      <c r="V169">
        <v>-5.72</v>
      </c>
      <c r="W169">
        <v>13.08</v>
      </c>
      <c r="X169">
        <v>37067</v>
      </c>
      <c r="Y169">
        <v>4633</v>
      </c>
      <c r="Z169">
        <v>-0.25</v>
      </c>
      <c r="AA169">
        <v>8</v>
      </c>
      <c r="AB169">
        <v>4</v>
      </c>
      <c r="AC169">
        <v>4</v>
      </c>
      <c r="AD169">
        <v>50</v>
      </c>
      <c r="AE169">
        <v>8</v>
      </c>
      <c r="AF169">
        <v>4</v>
      </c>
      <c r="AG169">
        <v>4</v>
      </c>
      <c r="AH169">
        <v>0</v>
      </c>
    </row>
    <row r="170" spans="1:34">
      <c r="A170" s="111">
        <v>138</v>
      </c>
      <c r="B170">
        <v>5233</v>
      </c>
      <c r="C170" s="115" t="s">
        <v>199</v>
      </c>
      <c r="D170" s="115" t="s">
        <v>140</v>
      </c>
      <c r="E170">
        <v>3260</v>
      </c>
      <c r="F170">
        <v>3205</v>
      </c>
      <c r="G170">
        <v>300</v>
      </c>
      <c r="H170" s="115" t="s">
        <v>87</v>
      </c>
      <c r="I170">
        <v>7181</v>
      </c>
      <c r="J170" s="115" t="s">
        <v>189</v>
      </c>
      <c r="K170" s="115" t="s">
        <v>144</v>
      </c>
      <c r="L170">
        <v>1902</v>
      </c>
      <c r="M170">
        <v>1902</v>
      </c>
      <c r="N170">
        <v>500</v>
      </c>
      <c r="O170" s="115" t="s">
        <v>89</v>
      </c>
      <c r="P170">
        <v>0.91560778229755901</v>
      </c>
      <c r="Q170">
        <v>0.91663948159013098</v>
      </c>
      <c r="R170" s="20">
        <v>1.30968976534773E-2</v>
      </c>
      <c r="S170">
        <v>0.142984942943847</v>
      </c>
      <c r="T170">
        <v>-1.40438075691827</v>
      </c>
      <c r="U170">
        <v>1.40438075691827</v>
      </c>
      <c r="V170">
        <v>-4.37</v>
      </c>
      <c r="W170">
        <v>1.0900000000000001</v>
      </c>
      <c r="X170">
        <v>35297</v>
      </c>
      <c r="Y170">
        <v>2076</v>
      </c>
      <c r="Z170">
        <v>0.02</v>
      </c>
      <c r="AA170">
        <v>17</v>
      </c>
      <c r="AB170">
        <v>8</v>
      </c>
      <c r="AC170">
        <v>9</v>
      </c>
      <c r="AD170">
        <v>47.06</v>
      </c>
      <c r="AE170">
        <v>12</v>
      </c>
      <c r="AF170">
        <v>5</v>
      </c>
      <c r="AG170">
        <v>5</v>
      </c>
      <c r="AH170">
        <v>7</v>
      </c>
    </row>
    <row r="171" spans="1:34">
      <c r="A171" s="111">
        <v>243</v>
      </c>
      <c r="B171">
        <v>6371</v>
      </c>
      <c r="C171" s="115" t="s">
        <v>142</v>
      </c>
      <c r="D171" s="115" t="s">
        <v>133</v>
      </c>
      <c r="E171">
        <v>3830</v>
      </c>
      <c r="F171">
        <v>3770</v>
      </c>
      <c r="G171">
        <v>200</v>
      </c>
      <c r="H171" s="115" t="s">
        <v>89</v>
      </c>
      <c r="I171">
        <v>9072</v>
      </c>
      <c r="J171" s="115" t="s">
        <v>169</v>
      </c>
      <c r="K171" s="115" t="s">
        <v>154</v>
      </c>
      <c r="L171">
        <v>2766</v>
      </c>
      <c r="M171">
        <v>2725</v>
      </c>
      <c r="N171">
        <v>300</v>
      </c>
      <c r="O171" s="115" t="s">
        <v>87</v>
      </c>
      <c r="P171">
        <v>0.96463885317429598</v>
      </c>
      <c r="Q171">
        <v>0.90295957928941795</v>
      </c>
      <c r="R171">
        <v>0.12392526482138801</v>
      </c>
      <c r="S171">
        <v>3.3775835447784602E-4</v>
      </c>
      <c r="T171">
        <v>1.6274964810417099E-3</v>
      </c>
      <c r="U171">
        <v>1.6274964810417099E-3</v>
      </c>
      <c r="V171">
        <v>0</v>
      </c>
      <c r="W171">
        <v>8.42</v>
      </c>
      <c r="X171">
        <v>33707</v>
      </c>
      <c r="Y171">
        <v>2408</v>
      </c>
      <c r="Z171">
        <v>0.16</v>
      </c>
      <c r="AA171">
        <v>14</v>
      </c>
      <c r="AB171">
        <v>7</v>
      </c>
      <c r="AC171">
        <v>7</v>
      </c>
      <c r="AD171">
        <v>50</v>
      </c>
      <c r="AE171">
        <v>14</v>
      </c>
      <c r="AF171">
        <v>4</v>
      </c>
      <c r="AG171">
        <v>1</v>
      </c>
      <c r="AH171">
        <v>9</v>
      </c>
    </row>
    <row r="172" spans="1:34">
      <c r="A172" s="111">
        <v>240</v>
      </c>
      <c r="B172">
        <v>8795</v>
      </c>
      <c r="C172" s="115" t="s">
        <v>185</v>
      </c>
      <c r="D172" s="115" t="s">
        <v>144</v>
      </c>
      <c r="E172">
        <v>1275</v>
      </c>
      <c r="F172">
        <v>1251</v>
      </c>
      <c r="G172">
        <v>800</v>
      </c>
      <c r="H172" s="115" t="s">
        <v>89</v>
      </c>
      <c r="I172">
        <v>9412</v>
      </c>
      <c r="J172" s="115" t="s">
        <v>109</v>
      </c>
      <c r="K172" s="115" t="s">
        <v>110</v>
      </c>
      <c r="L172">
        <v>475</v>
      </c>
      <c r="M172">
        <v>471</v>
      </c>
      <c r="N172">
        <v>2100</v>
      </c>
      <c r="O172" s="115" t="s">
        <v>87</v>
      </c>
      <c r="P172">
        <v>0.90189923964301399</v>
      </c>
      <c r="Q172">
        <v>0.90367190576781298</v>
      </c>
      <c r="R172">
        <v>7.2264227240635595E-2</v>
      </c>
      <c r="S172">
        <v>8.2022871476288894E-2</v>
      </c>
      <c r="T172">
        <v>0.177502793274285</v>
      </c>
      <c r="U172">
        <v>0.177502793274285</v>
      </c>
      <c r="V172">
        <v>0.92</v>
      </c>
      <c r="W172">
        <v>1.17</v>
      </c>
      <c r="X172">
        <v>32900</v>
      </c>
      <c r="Y172">
        <v>2193</v>
      </c>
      <c r="Z172">
        <v>0.09</v>
      </c>
      <c r="AA172">
        <v>15</v>
      </c>
      <c r="AB172">
        <v>9</v>
      </c>
      <c r="AC172">
        <v>6</v>
      </c>
      <c r="AD172">
        <v>60</v>
      </c>
      <c r="AE172">
        <v>12</v>
      </c>
      <c r="AF172">
        <v>6</v>
      </c>
      <c r="AG172">
        <v>5</v>
      </c>
      <c r="AH172">
        <v>4</v>
      </c>
    </row>
    <row r="173" spans="1:34">
      <c r="A173" s="111">
        <v>69</v>
      </c>
      <c r="B173">
        <v>5802</v>
      </c>
      <c r="C173" s="115" t="s">
        <v>175</v>
      </c>
      <c r="D173" s="115" t="s">
        <v>176</v>
      </c>
      <c r="E173">
        <v>1576</v>
      </c>
      <c r="F173">
        <v>1580</v>
      </c>
      <c r="G173">
        <v>600</v>
      </c>
      <c r="H173" s="115" t="s">
        <v>87</v>
      </c>
      <c r="I173">
        <v>7272</v>
      </c>
      <c r="J173" s="115" t="s">
        <v>385</v>
      </c>
      <c r="K173" s="115" t="s">
        <v>115</v>
      </c>
      <c r="L173">
        <v>2295</v>
      </c>
      <c r="M173">
        <v>2285</v>
      </c>
      <c r="N173">
        <v>400</v>
      </c>
      <c r="O173" s="115" t="s">
        <v>89</v>
      </c>
      <c r="P173">
        <v>0.95768184512975896</v>
      </c>
      <c r="Q173">
        <v>0.93235067406702499</v>
      </c>
      <c r="R173">
        <v>9.8201820493214201E-2</v>
      </c>
      <c r="S173">
        <v>1.5224451652857201E-2</v>
      </c>
      <c r="T173">
        <v>-0.49484840834934601</v>
      </c>
      <c r="U173">
        <v>0.49484840834934601</v>
      </c>
      <c r="V173">
        <v>-1.3</v>
      </c>
      <c r="W173">
        <v>3.72</v>
      </c>
      <c r="X173">
        <v>32314</v>
      </c>
      <c r="Y173">
        <v>1795</v>
      </c>
      <c r="Z173">
        <v>0.03</v>
      </c>
      <c r="AA173">
        <v>18</v>
      </c>
      <c r="AB173">
        <v>9</v>
      </c>
      <c r="AC173">
        <v>9</v>
      </c>
      <c r="AD173">
        <v>50</v>
      </c>
      <c r="AE173">
        <v>15</v>
      </c>
      <c r="AF173">
        <v>4</v>
      </c>
      <c r="AG173">
        <v>2</v>
      </c>
      <c r="AH173">
        <v>12</v>
      </c>
    </row>
    <row r="174" spans="1:34">
      <c r="A174" s="111">
        <v>205</v>
      </c>
      <c r="B174">
        <v>2914</v>
      </c>
      <c r="C174" s="115" t="s">
        <v>129</v>
      </c>
      <c r="D174" s="115" t="s">
        <v>130</v>
      </c>
      <c r="E174">
        <v>2482.5</v>
      </c>
      <c r="F174">
        <v>2476</v>
      </c>
      <c r="G174">
        <v>400</v>
      </c>
      <c r="H174" s="115" t="s">
        <v>87</v>
      </c>
      <c r="I174">
        <v>9505</v>
      </c>
      <c r="J174" s="115" t="s">
        <v>166</v>
      </c>
      <c r="K174" s="115" t="s">
        <v>167</v>
      </c>
      <c r="L174">
        <v>783</v>
      </c>
      <c r="M174">
        <v>776</v>
      </c>
      <c r="N174">
        <v>1300</v>
      </c>
      <c r="O174" s="115" t="s">
        <v>89</v>
      </c>
      <c r="P174">
        <v>0.90287071918835904</v>
      </c>
      <c r="Q174">
        <v>0.90781771746973705</v>
      </c>
      <c r="R174">
        <v>0.106768148547134</v>
      </c>
      <c r="S174" s="20">
        <v>0.26408788910235298</v>
      </c>
      <c r="T174">
        <v>-0.44277223011876898</v>
      </c>
      <c r="U174">
        <v>0.44277223011876898</v>
      </c>
      <c r="V174">
        <v>-2.11</v>
      </c>
      <c r="W174">
        <v>1.86</v>
      </c>
      <c r="X174">
        <v>31189</v>
      </c>
      <c r="Y174">
        <v>1642</v>
      </c>
      <c r="Z174">
        <v>0.12</v>
      </c>
      <c r="AA174">
        <v>19</v>
      </c>
      <c r="AB174">
        <v>11</v>
      </c>
      <c r="AC174">
        <v>8</v>
      </c>
      <c r="AD174">
        <v>57.89</v>
      </c>
      <c r="AE174">
        <v>11</v>
      </c>
      <c r="AF174">
        <v>7</v>
      </c>
      <c r="AG174">
        <v>5</v>
      </c>
      <c r="AH174">
        <v>7</v>
      </c>
    </row>
    <row r="175" spans="1:34">
      <c r="A175" s="111">
        <v>31</v>
      </c>
      <c r="B175">
        <v>3635</v>
      </c>
      <c r="C175" s="115" t="s">
        <v>116</v>
      </c>
      <c r="D175" s="115" t="s">
        <v>110</v>
      </c>
      <c r="E175">
        <v>2585</v>
      </c>
      <c r="F175">
        <v>2597</v>
      </c>
      <c r="G175">
        <v>400</v>
      </c>
      <c r="H175" s="115" t="s">
        <v>89</v>
      </c>
      <c r="I175">
        <v>6702</v>
      </c>
      <c r="J175" s="115" t="s">
        <v>447</v>
      </c>
      <c r="K175" s="115" t="s">
        <v>118</v>
      </c>
      <c r="L175">
        <v>9879</v>
      </c>
      <c r="M175">
        <v>9802</v>
      </c>
      <c r="N175">
        <v>100</v>
      </c>
      <c r="O175" s="115" t="s">
        <v>87</v>
      </c>
      <c r="P175">
        <v>0.94414014870784102</v>
      </c>
      <c r="Q175">
        <v>0.94309869696086701</v>
      </c>
      <c r="R175">
        <v>7.4183810152078601E-3</v>
      </c>
      <c r="S175">
        <v>8.5495039449840296E-4</v>
      </c>
      <c r="T175">
        <v>0.26904002382105102</v>
      </c>
      <c r="U175">
        <v>0.26904002382105102</v>
      </c>
      <c r="V175">
        <v>0.79</v>
      </c>
      <c r="W175">
        <v>5.98</v>
      </c>
      <c r="X175">
        <v>31031</v>
      </c>
      <c r="Y175">
        <v>2586</v>
      </c>
      <c r="Z175">
        <v>0.16</v>
      </c>
      <c r="AA175">
        <v>12</v>
      </c>
      <c r="AB175">
        <v>7</v>
      </c>
      <c r="AC175">
        <v>5</v>
      </c>
      <c r="AD175">
        <v>58.33</v>
      </c>
      <c r="AE175">
        <v>13</v>
      </c>
      <c r="AF175">
        <v>6</v>
      </c>
      <c r="AG175">
        <v>1</v>
      </c>
      <c r="AH175">
        <v>5</v>
      </c>
    </row>
    <row r="176" spans="1:34">
      <c r="A176" s="111">
        <v>222</v>
      </c>
      <c r="B176">
        <v>3099</v>
      </c>
      <c r="C176" s="115" t="s">
        <v>90</v>
      </c>
      <c r="D176" s="115" t="s">
        <v>128</v>
      </c>
      <c r="E176">
        <v>1002</v>
      </c>
      <c r="F176">
        <v>987</v>
      </c>
      <c r="G176">
        <v>900</v>
      </c>
      <c r="H176" s="115" t="s">
        <v>87</v>
      </c>
      <c r="I176">
        <v>6674</v>
      </c>
      <c r="J176" s="115" t="s">
        <v>440</v>
      </c>
      <c r="K176" s="115" t="s">
        <v>118</v>
      </c>
      <c r="L176">
        <v>2282</v>
      </c>
      <c r="M176">
        <v>2252</v>
      </c>
      <c r="N176">
        <v>400</v>
      </c>
      <c r="O176" s="115" t="s">
        <v>89</v>
      </c>
      <c r="P176">
        <v>0.95206757439733403</v>
      </c>
      <c r="Q176">
        <v>0.90505747855014096</v>
      </c>
      <c r="R176">
        <v>0.161318520598069</v>
      </c>
      <c r="S176">
        <v>0.14144879233063801</v>
      </c>
      <c r="T176">
        <v>-0.46833322371601399</v>
      </c>
      <c r="U176">
        <v>0.46833322371601399</v>
      </c>
      <c r="V176">
        <v>-1.96</v>
      </c>
      <c r="W176">
        <v>1.39</v>
      </c>
      <c r="X176">
        <v>30053</v>
      </c>
      <c r="Y176">
        <v>1670</v>
      </c>
      <c r="Z176">
        <v>0.09</v>
      </c>
      <c r="AA176">
        <v>18</v>
      </c>
      <c r="AB176">
        <v>11</v>
      </c>
      <c r="AC176">
        <v>7</v>
      </c>
      <c r="AD176">
        <v>61.11</v>
      </c>
      <c r="AE176">
        <v>13</v>
      </c>
      <c r="AF176">
        <v>5</v>
      </c>
      <c r="AG176">
        <v>3</v>
      </c>
      <c r="AH176">
        <v>10</v>
      </c>
    </row>
    <row r="177" spans="1:34">
      <c r="A177" s="111">
        <v>207</v>
      </c>
      <c r="B177">
        <v>4182</v>
      </c>
      <c r="C177" s="115" t="s">
        <v>119</v>
      </c>
      <c r="D177" s="115" t="s">
        <v>88</v>
      </c>
      <c r="E177">
        <v>1680</v>
      </c>
      <c r="F177">
        <v>1641</v>
      </c>
      <c r="G177">
        <v>600</v>
      </c>
      <c r="H177" s="115" t="s">
        <v>89</v>
      </c>
      <c r="I177">
        <v>5110</v>
      </c>
      <c r="J177" s="115" t="s">
        <v>171</v>
      </c>
      <c r="K177" s="115" t="s">
        <v>172</v>
      </c>
      <c r="L177">
        <v>1405</v>
      </c>
      <c r="M177">
        <v>1393</v>
      </c>
      <c r="N177">
        <v>700</v>
      </c>
      <c r="O177" s="115" t="s">
        <v>87</v>
      </c>
      <c r="P177">
        <v>0.91988274433967099</v>
      </c>
      <c r="Q177">
        <v>0.90745171000542302</v>
      </c>
      <c r="R177">
        <v>3.66012090202186E-2</v>
      </c>
      <c r="S177">
        <v>9.3733709004075697E-2</v>
      </c>
      <c r="T177">
        <v>1.5565810871530099</v>
      </c>
      <c r="U177">
        <v>1.5565810871530099</v>
      </c>
      <c r="V177">
        <v>6.05</v>
      </c>
      <c r="W177">
        <v>0.96</v>
      </c>
      <c r="X177">
        <v>27694</v>
      </c>
      <c r="Y177">
        <v>1629</v>
      </c>
      <c r="Z177">
        <v>0.06</v>
      </c>
      <c r="AA177">
        <v>17</v>
      </c>
      <c r="AB177">
        <v>9</v>
      </c>
      <c r="AC177">
        <v>8</v>
      </c>
      <c r="AD177">
        <v>52.94</v>
      </c>
      <c r="AE177">
        <v>11</v>
      </c>
      <c r="AF177">
        <v>6</v>
      </c>
      <c r="AG177">
        <v>6</v>
      </c>
      <c r="AH177">
        <v>5</v>
      </c>
    </row>
    <row r="178" spans="1:34">
      <c r="A178" s="111">
        <v>152</v>
      </c>
      <c r="B178">
        <v>3099</v>
      </c>
      <c r="C178" s="115" t="s">
        <v>90</v>
      </c>
      <c r="D178" s="115" t="s">
        <v>128</v>
      </c>
      <c r="E178">
        <v>1002</v>
      </c>
      <c r="F178">
        <v>987</v>
      </c>
      <c r="G178">
        <v>900</v>
      </c>
      <c r="H178" s="115" t="s">
        <v>89</v>
      </c>
      <c r="I178">
        <v>9003</v>
      </c>
      <c r="J178" s="115" t="s">
        <v>425</v>
      </c>
      <c r="K178" s="115" t="s">
        <v>154</v>
      </c>
      <c r="L178">
        <v>3080</v>
      </c>
      <c r="M178">
        <v>3060</v>
      </c>
      <c r="N178">
        <v>300</v>
      </c>
      <c r="O178" s="115" t="s">
        <v>87</v>
      </c>
      <c r="P178">
        <v>0.91181854601218904</v>
      </c>
      <c r="Q178">
        <v>0.91490543124319901</v>
      </c>
      <c r="R178">
        <v>5.9301221581791401E-2</v>
      </c>
      <c r="S178">
        <v>0.18676510623645501</v>
      </c>
      <c r="T178">
        <v>1.26468652969011</v>
      </c>
      <c r="U178">
        <v>1.26468652969011</v>
      </c>
      <c r="V178">
        <v>7.04</v>
      </c>
      <c r="W178">
        <v>3.24</v>
      </c>
      <c r="X178">
        <v>23410</v>
      </c>
      <c r="Y178">
        <v>1672</v>
      </c>
      <c r="Z178">
        <v>0.11</v>
      </c>
      <c r="AA178">
        <v>14</v>
      </c>
      <c r="AB178">
        <v>6</v>
      </c>
      <c r="AC178">
        <v>8</v>
      </c>
      <c r="AD178">
        <v>42.86</v>
      </c>
      <c r="AE178">
        <v>14</v>
      </c>
      <c r="AF178">
        <v>3</v>
      </c>
      <c r="AG178">
        <v>1</v>
      </c>
      <c r="AH178">
        <v>10</v>
      </c>
    </row>
    <row r="179" spans="1:34">
      <c r="A179" s="111">
        <v>65</v>
      </c>
      <c r="B179">
        <v>6988</v>
      </c>
      <c r="C179" s="115" t="s">
        <v>191</v>
      </c>
      <c r="D179" s="115" t="s">
        <v>88</v>
      </c>
      <c r="E179">
        <v>6320</v>
      </c>
      <c r="F179">
        <v>6240</v>
      </c>
      <c r="G179">
        <v>100</v>
      </c>
      <c r="H179" s="115" t="s">
        <v>89</v>
      </c>
      <c r="I179">
        <v>6995</v>
      </c>
      <c r="J179" s="115" t="s">
        <v>123</v>
      </c>
      <c r="K179" s="115" t="s">
        <v>115</v>
      </c>
      <c r="L179">
        <v>2129</v>
      </c>
      <c r="M179">
        <v>2122</v>
      </c>
      <c r="N179">
        <v>300</v>
      </c>
      <c r="O179" s="115" t="s">
        <v>87</v>
      </c>
      <c r="P179">
        <v>0.95785866952645304</v>
      </c>
      <c r="Q179">
        <v>0.93350058880314501</v>
      </c>
      <c r="R179">
        <v>0.18529977065883499</v>
      </c>
      <c r="S179">
        <v>4.7155779283079204E-3</v>
      </c>
      <c r="T179">
        <v>9.2814058177837805E-2</v>
      </c>
      <c r="U179">
        <v>9.2814058177837805E-2</v>
      </c>
      <c r="V179">
        <v>0.24</v>
      </c>
      <c r="W179">
        <v>2.02</v>
      </c>
      <c r="X179">
        <v>22867</v>
      </c>
      <c r="Y179">
        <v>2287</v>
      </c>
      <c r="Z179">
        <v>0.11</v>
      </c>
      <c r="AA179">
        <v>10</v>
      </c>
      <c r="AB179">
        <v>7</v>
      </c>
      <c r="AC179">
        <v>3</v>
      </c>
      <c r="AD179">
        <v>70</v>
      </c>
      <c r="AE179">
        <v>13</v>
      </c>
      <c r="AF179">
        <v>2</v>
      </c>
      <c r="AG179">
        <v>2</v>
      </c>
      <c r="AH179">
        <v>6</v>
      </c>
    </row>
    <row r="180" spans="1:34">
      <c r="A180" s="111">
        <v>242</v>
      </c>
      <c r="B180">
        <v>3861</v>
      </c>
      <c r="C180" s="115" t="s">
        <v>92</v>
      </c>
      <c r="D180" s="115" t="s">
        <v>111</v>
      </c>
      <c r="E180">
        <v>619</v>
      </c>
      <c r="F180">
        <v>612</v>
      </c>
      <c r="G180">
        <v>1100</v>
      </c>
      <c r="H180" s="115" t="s">
        <v>89</v>
      </c>
      <c r="I180">
        <v>4114</v>
      </c>
      <c r="J180" s="115" t="s">
        <v>415</v>
      </c>
      <c r="K180" s="115" t="s">
        <v>88</v>
      </c>
      <c r="L180">
        <v>6870</v>
      </c>
      <c r="M180">
        <v>6730</v>
      </c>
      <c r="N180">
        <v>100</v>
      </c>
      <c r="O180" s="115" t="s">
        <v>87</v>
      </c>
      <c r="P180">
        <v>0.94841124748632699</v>
      </c>
      <c r="Q180">
        <v>0.90315803061216904</v>
      </c>
      <c r="R180">
        <v>0.10581755514447699</v>
      </c>
      <c r="S180">
        <v>0.102900429680641</v>
      </c>
      <c r="T180">
        <v>1.79241224049165</v>
      </c>
      <c r="U180">
        <v>1.79241224049165</v>
      </c>
      <c r="V180">
        <v>7.88</v>
      </c>
      <c r="W180">
        <v>0.03</v>
      </c>
      <c r="X180">
        <v>22699</v>
      </c>
      <c r="Y180">
        <v>1135</v>
      </c>
      <c r="Z180">
        <v>0.15</v>
      </c>
      <c r="AA180">
        <v>20</v>
      </c>
      <c r="AB180">
        <v>11</v>
      </c>
      <c r="AC180">
        <v>9</v>
      </c>
      <c r="AD180">
        <v>55</v>
      </c>
      <c r="AE180">
        <v>12</v>
      </c>
      <c r="AF180">
        <v>7</v>
      </c>
      <c r="AG180">
        <v>6</v>
      </c>
      <c r="AH180">
        <v>7</v>
      </c>
    </row>
    <row r="181" spans="1:34">
      <c r="A181" s="111">
        <v>96</v>
      </c>
      <c r="B181">
        <v>5991</v>
      </c>
      <c r="C181" s="115" t="s">
        <v>149</v>
      </c>
      <c r="D181" s="115" t="s">
        <v>150</v>
      </c>
      <c r="E181">
        <v>975</v>
      </c>
      <c r="F181">
        <v>965</v>
      </c>
      <c r="G181">
        <v>1100</v>
      </c>
      <c r="H181" s="115" t="s">
        <v>89</v>
      </c>
      <c r="I181">
        <v>7202</v>
      </c>
      <c r="J181" s="115" t="s">
        <v>181</v>
      </c>
      <c r="K181" s="115" t="s">
        <v>115</v>
      </c>
      <c r="L181">
        <v>1313.5</v>
      </c>
      <c r="M181">
        <v>1304.5</v>
      </c>
      <c r="N181">
        <v>800</v>
      </c>
      <c r="O181" s="115" t="s">
        <v>87</v>
      </c>
      <c r="P181">
        <v>0.92902144299461897</v>
      </c>
      <c r="Q181">
        <v>0.92651114501557397</v>
      </c>
      <c r="R181">
        <v>0.192355937621145</v>
      </c>
      <c r="S181" s="20">
        <v>0.105238488158029</v>
      </c>
      <c r="T181">
        <v>1.5604458348435399</v>
      </c>
      <c r="U181">
        <v>1.5604458348435399</v>
      </c>
      <c r="V181">
        <v>6.33</v>
      </c>
      <c r="W181">
        <v>1.72</v>
      </c>
      <c r="X181">
        <v>21370</v>
      </c>
      <c r="Y181">
        <v>1336</v>
      </c>
      <c r="Z181">
        <v>0.09</v>
      </c>
      <c r="AA181">
        <v>16</v>
      </c>
      <c r="AB181">
        <v>7</v>
      </c>
      <c r="AC181">
        <v>9</v>
      </c>
      <c r="AD181">
        <v>43.75</v>
      </c>
      <c r="AE181">
        <v>15</v>
      </c>
      <c r="AF181">
        <v>2</v>
      </c>
      <c r="AG181">
        <v>0</v>
      </c>
      <c r="AH181">
        <v>14</v>
      </c>
    </row>
    <row r="182" spans="1:34">
      <c r="A182" s="111">
        <v>60</v>
      </c>
      <c r="B182">
        <v>6481</v>
      </c>
      <c r="C182" s="115" t="s">
        <v>448</v>
      </c>
      <c r="D182" s="115" t="s">
        <v>133</v>
      </c>
      <c r="E182">
        <v>3060</v>
      </c>
      <c r="F182">
        <v>3065</v>
      </c>
      <c r="G182">
        <v>200</v>
      </c>
      <c r="H182" s="115" t="s">
        <v>87</v>
      </c>
      <c r="I182">
        <v>6856</v>
      </c>
      <c r="J182" s="115" t="s">
        <v>444</v>
      </c>
      <c r="K182" s="115" t="s">
        <v>118</v>
      </c>
      <c r="L182">
        <v>7300</v>
      </c>
      <c r="M182">
        <v>7370</v>
      </c>
      <c r="N182">
        <v>100</v>
      </c>
      <c r="O182" s="115" t="s">
        <v>89</v>
      </c>
      <c r="P182">
        <v>0.93921262839575104</v>
      </c>
      <c r="Q182">
        <v>0.93529846546893702</v>
      </c>
      <c r="R182" s="20">
        <v>0.199418663095076</v>
      </c>
      <c r="S182">
        <v>1.04986553969345E-2</v>
      </c>
      <c r="T182">
        <v>-1.28117956396044</v>
      </c>
      <c r="U182">
        <v>1.28117956396044</v>
      </c>
      <c r="V182">
        <v>-5.32</v>
      </c>
      <c r="W182">
        <v>16.82</v>
      </c>
      <c r="X182">
        <v>19908</v>
      </c>
      <c r="Y182">
        <v>1810</v>
      </c>
      <c r="Z182">
        <v>-0.11</v>
      </c>
      <c r="AA182">
        <v>11</v>
      </c>
      <c r="AB182">
        <v>6</v>
      </c>
      <c r="AC182">
        <v>5</v>
      </c>
      <c r="AD182">
        <v>54.55</v>
      </c>
      <c r="AE182">
        <v>12</v>
      </c>
      <c r="AF182">
        <v>5</v>
      </c>
      <c r="AG182">
        <v>3</v>
      </c>
      <c r="AH182">
        <v>3</v>
      </c>
    </row>
    <row r="183" spans="1:34">
      <c r="A183" s="111">
        <v>40</v>
      </c>
      <c r="B183">
        <v>4530</v>
      </c>
      <c r="C183" s="115" t="s">
        <v>193</v>
      </c>
      <c r="D183" s="115" t="s">
        <v>188</v>
      </c>
      <c r="E183">
        <v>5390</v>
      </c>
      <c r="F183">
        <v>5250</v>
      </c>
      <c r="G183">
        <v>200</v>
      </c>
      <c r="H183" s="115" t="s">
        <v>89</v>
      </c>
      <c r="I183">
        <v>8304</v>
      </c>
      <c r="J183" s="115" t="s">
        <v>200</v>
      </c>
      <c r="K183" s="115" t="s">
        <v>113</v>
      </c>
      <c r="L183">
        <v>2811</v>
      </c>
      <c r="M183">
        <v>2767</v>
      </c>
      <c r="N183">
        <v>400</v>
      </c>
      <c r="O183" s="115" t="s">
        <v>87</v>
      </c>
      <c r="P183">
        <v>0.90295854374153905</v>
      </c>
      <c r="Q183">
        <v>0.94098582834086197</v>
      </c>
      <c r="R183">
        <v>0.191492256238983</v>
      </c>
      <c r="S183">
        <v>0.110020349532457</v>
      </c>
      <c r="T183">
        <v>1.6930366874889899</v>
      </c>
      <c r="U183">
        <v>1.6930366874889899</v>
      </c>
      <c r="V183">
        <v>6.61</v>
      </c>
      <c r="W183">
        <v>5.41</v>
      </c>
      <c r="X183">
        <v>19467</v>
      </c>
      <c r="Y183">
        <v>3244</v>
      </c>
      <c r="Z183">
        <v>0.11</v>
      </c>
      <c r="AA183">
        <v>6</v>
      </c>
      <c r="AB183">
        <v>3</v>
      </c>
      <c r="AC183">
        <v>3</v>
      </c>
      <c r="AD183">
        <v>50</v>
      </c>
      <c r="AE183">
        <v>12</v>
      </c>
      <c r="AF183">
        <v>3</v>
      </c>
      <c r="AG183">
        <v>1</v>
      </c>
      <c r="AH183">
        <v>2</v>
      </c>
    </row>
    <row r="184" spans="1:34">
      <c r="A184" s="111">
        <v>253</v>
      </c>
      <c r="B184">
        <v>1333</v>
      </c>
      <c r="C184" s="115" t="s">
        <v>434</v>
      </c>
      <c r="D184" s="115" t="s">
        <v>435</v>
      </c>
      <c r="E184">
        <v>2923</v>
      </c>
      <c r="F184">
        <v>2891</v>
      </c>
      <c r="G184">
        <v>300</v>
      </c>
      <c r="H184" s="115" t="s">
        <v>87</v>
      </c>
      <c r="I184">
        <v>7189</v>
      </c>
      <c r="J184" s="115" t="s">
        <v>112</v>
      </c>
      <c r="K184" s="115" t="s">
        <v>113</v>
      </c>
      <c r="L184">
        <v>854</v>
      </c>
      <c r="M184">
        <v>843</v>
      </c>
      <c r="N184">
        <v>1000</v>
      </c>
      <c r="O184" s="115" t="s">
        <v>89</v>
      </c>
      <c r="P184">
        <v>0.91267318376235296</v>
      </c>
      <c r="Q184">
        <v>0.90188593313358101</v>
      </c>
      <c r="R184" s="20">
        <v>7.5397395557526205E-4</v>
      </c>
      <c r="S184">
        <v>0.120596708216479</v>
      </c>
      <c r="T184">
        <v>-1.09755273761231</v>
      </c>
      <c r="U184">
        <v>1.09755273761231</v>
      </c>
      <c r="V184">
        <v>-9.0299999999999994</v>
      </c>
      <c r="W184">
        <v>2.8</v>
      </c>
      <c r="X184">
        <v>16755</v>
      </c>
      <c r="Y184">
        <v>670</v>
      </c>
      <c r="Z184">
        <v>0.01</v>
      </c>
      <c r="AA184">
        <v>25</v>
      </c>
      <c r="AB184">
        <v>11</v>
      </c>
      <c r="AC184">
        <v>14</v>
      </c>
      <c r="AD184">
        <v>44</v>
      </c>
      <c r="AE184">
        <v>10</v>
      </c>
      <c r="AF184">
        <v>11</v>
      </c>
      <c r="AG184">
        <v>8</v>
      </c>
      <c r="AH184">
        <v>6</v>
      </c>
    </row>
    <row r="185" spans="1:34">
      <c r="A185" s="111">
        <v>99</v>
      </c>
      <c r="B185">
        <v>6371</v>
      </c>
      <c r="C185" s="115" t="s">
        <v>142</v>
      </c>
      <c r="D185" s="115" t="s">
        <v>133</v>
      </c>
      <c r="E185">
        <v>3830</v>
      </c>
      <c r="F185">
        <v>3770</v>
      </c>
      <c r="G185">
        <v>200</v>
      </c>
      <c r="H185" s="115" t="s">
        <v>89</v>
      </c>
      <c r="I185">
        <v>6472</v>
      </c>
      <c r="J185" s="115" t="s">
        <v>183</v>
      </c>
      <c r="K185" s="115" t="s">
        <v>133</v>
      </c>
      <c r="L185">
        <v>342</v>
      </c>
      <c r="M185">
        <v>336</v>
      </c>
      <c r="N185">
        <v>2200</v>
      </c>
      <c r="O185" s="115" t="s">
        <v>87</v>
      </c>
      <c r="P185">
        <v>0.93467656220967699</v>
      </c>
      <c r="Q185">
        <v>0.92574179786792798</v>
      </c>
      <c r="R185">
        <v>4.48918707324968E-2</v>
      </c>
      <c r="S185">
        <v>0.11196941362535</v>
      </c>
      <c r="T185">
        <v>0.14051012525880199</v>
      </c>
      <c r="U185">
        <v>0.14051012525880199</v>
      </c>
      <c r="V185">
        <v>0.55000000000000004</v>
      </c>
      <c r="W185">
        <v>1.96</v>
      </c>
      <c r="X185">
        <v>15705</v>
      </c>
      <c r="Y185">
        <v>982</v>
      </c>
      <c r="Z185">
        <v>0.1</v>
      </c>
      <c r="AA185">
        <v>16</v>
      </c>
      <c r="AB185">
        <v>10</v>
      </c>
      <c r="AC185">
        <v>6</v>
      </c>
      <c r="AD185">
        <v>62.5</v>
      </c>
      <c r="AE185">
        <v>16</v>
      </c>
      <c r="AF185">
        <v>3</v>
      </c>
      <c r="AG185">
        <v>3</v>
      </c>
      <c r="AH185">
        <v>10</v>
      </c>
    </row>
    <row r="186" spans="1:34">
      <c r="A186" s="111">
        <v>178</v>
      </c>
      <c r="B186">
        <v>5706</v>
      </c>
      <c r="C186" s="115" t="s">
        <v>423</v>
      </c>
      <c r="D186" s="115" t="s">
        <v>176</v>
      </c>
      <c r="E186">
        <v>2822</v>
      </c>
      <c r="F186">
        <v>2796</v>
      </c>
      <c r="G186">
        <v>200</v>
      </c>
      <c r="H186" s="115" t="s">
        <v>89</v>
      </c>
      <c r="I186">
        <v>6103</v>
      </c>
      <c r="J186" s="115" t="s">
        <v>424</v>
      </c>
      <c r="K186" s="115" t="s">
        <v>133</v>
      </c>
      <c r="L186">
        <v>6220</v>
      </c>
      <c r="M186">
        <v>6110</v>
      </c>
      <c r="N186">
        <v>100</v>
      </c>
      <c r="O186" s="115" t="s">
        <v>87</v>
      </c>
      <c r="P186">
        <v>0.93297752783400101</v>
      </c>
      <c r="Q186">
        <v>0.91140949679029204</v>
      </c>
      <c r="R186">
        <v>0.116378490687797</v>
      </c>
      <c r="S186">
        <v>2.9483417729387501E-3</v>
      </c>
      <c r="T186">
        <v>0.66119725171061094</v>
      </c>
      <c r="U186">
        <v>0.66119725171061094</v>
      </c>
      <c r="V186">
        <v>2.92</v>
      </c>
      <c r="W186">
        <v>8.48</v>
      </c>
      <c r="X186">
        <v>13268</v>
      </c>
      <c r="Y186">
        <v>1895</v>
      </c>
      <c r="Z186">
        <v>-0.05</v>
      </c>
      <c r="AA186">
        <v>7</v>
      </c>
      <c r="AB186">
        <v>3</v>
      </c>
      <c r="AC186">
        <v>4</v>
      </c>
      <c r="AD186">
        <v>42.86</v>
      </c>
      <c r="AE186">
        <v>10</v>
      </c>
      <c r="AF186">
        <v>2</v>
      </c>
      <c r="AG186">
        <v>3</v>
      </c>
      <c r="AH186">
        <v>2</v>
      </c>
    </row>
    <row r="187" spans="1:34">
      <c r="A187" s="111">
        <v>104</v>
      </c>
      <c r="B187">
        <v>8304</v>
      </c>
      <c r="C187" s="115" t="s">
        <v>200</v>
      </c>
      <c r="D187" s="115" t="s">
        <v>113</v>
      </c>
      <c r="E187">
        <v>2811</v>
      </c>
      <c r="F187">
        <v>2767</v>
      </c>
      <c r="G187">
        <v>300</v>
      </c>
      <c r="H187" s="115" t="s">
        <v>87</v>
      </c>
      <c r="I187">
        <v>9505</v>
      </c>
      <c r="J187" s="115" t="s">
        <v>166</v>
      </c>
      <c r="K187" s="115" t="s">
        <v>167</v>
      </c>
      <c r="L187">
        <v>783</v>
      </c>
      <c r="M187">
        <v>776</v>
      </c>
      <c r="N187">
        <v>1100</v>
      </c>
      <c r="O187" s="115" t="s">
        <v>89</v>
      </c>
      <c r="P187">
        <v>0.90590453269599203</v>
      </c>
      <c r="Q187">
        <v>0.92469573822267304</v>
      </c>
      <c r="R187">
        <v>7.8123120475333194E-2</v>
      </c>
      <c r="S187">
        <v>0.22821915626143199</v>
      </c>
      <c r="T187">
        <v>-0.77531078959368904</v>
      </c>
      <c r="U187">
        <v>0.77531078959368904</v>
      </c>
      <c r="V187">
        <v>-2.95</v>
      </c>
      <c r="W187">
        <v>2.83</v>
      </c>
      <c r="X187">
        <v>12693</v>
      </c>
      <c r="Y187">
        <v>668</v>
      </c>
      <c r="Z187">
        <v>0.08</v>
      </c>
      <c r="AA187">
        <v>19</v>
      </c>
      <c r="AB187">
        <v>11</v>
      </c>
      <c r="AC187">
        <v>8</v>
      </c>
      <c r="AD187">
        <v>57.89</v>
      </c>
      <c r="AE187">
        <v>11</v>
      </c>
      <c r="AF187">
        <v>7</v>
      </c>
      <c r="AG187">
        <v>4</v>
      </c>
      <c r="AH187">
        <v>8</v>
      </c>
    </row>
    <row r="188" spans="1:34">
      <c r="A188" s="111">
        <v>113</v>
      </c>
      <c r="B188">
        <v>7189</v>
      </c>
      <c r="C188" s="115" t="s">
        <v>112</v>
      </c>
      <c r="D188" s="115" t="s">
        <v>113</v>
      </c>
      <c r="E188">
        <v>854</v>
      </c>
      <c r="F188">
        <v>843</v>
      </c>
      <c r="G188">
        <v>1300</v>
      </c>
      <c r="H188" s="115" t="s">
        <v>89</v>
      </c>
      <c r="I188">
        <v>9505</v>
      </c>
      <c r="J188" s="115" t="s">
        <v>166</v>
      </c>
      <c r="K188" s="115" t="s">
        <v>167</v>
      </c>
      <c r="L188">
        <v>783</v>
      </c>
      <c r="M188">
        <v>776</v>
      </c>
      <c r="N188">
        <v>1400</v>
      </c>
      <c r="O188" s="115" t="s">
        <v>87</v>
      </c>
      <c r="P188">
        <v>0.93485393604581002</v>
      </c>
      <c r="Q188">
        <v>0.92216302095549096</v>
      </c>
      <c r="R188">
        <v>0.33220808902069798</v>
      </c>
      <c r="S188">
        <v>0.134240221826705</v>
      </c>
      <c r="T188">
        <v>1.46032917484219</v>
      </c>
      <c r="U188">
        <v>1.46032917484219</v>
      </c>
      <c r="V188">
        <v>5.05</v>
      </c>
      <c r="W188">
        <v>0.87</v>
      </c>
      <c r="X188">
        <v>11359</v>
      </c>
      <c r="Y188">
        <v>668</v>
      </c>
      <c r="Z188">
        <v>0</v>
      </c>
      <c r="AA188">
        <v>17</v>
      </c>
      <c r="AB188">
        <v>7</v>
      </c>
      <c r="AC188">
        <v>10</v>
      </c>
      <c r="AD188">
        <v>41.18</v>
      </c>
      <c r="AE188">
        <v>12</v>
      </c>
      <c r="AF188">
        <v>6</v>
      </c>
      <c r="AG188">
        <v>6</v>
      </c>
      <c r="AH188">
        <v>5</v>
      </c>
    </row>
    <row r="189" spans="1:34">
      <c r="A189" s="111">
        <v>98</v>
      </c>
      <c r="B189">
        <v>5991</v>
      </c>
      <c r="C189" s="115" t="s">
        <v>149</v>
      </c>
      <c r="D189" s="115" t="s">
        <v>150</v>
      </c>
      <c r="E189">
        <v>975</v>
      </c>
      <c r="F189">
        <v>965</v>
      </c>
      <c r="G189">
        <v>1100</v>
      </c>
      <c r="H189" s="115" t="s">
        <v>89</v>
      </c>
      <c r="I189">
        <v>8002</v>
      </c>
      <c r="J189" s="115" t="s">
        <v>57</v>
      </c>
      <c r="K189" s="115" t="s">
        <v>135</v>
      </c>
      <c r="L189">
        <v>809.9</v>
      </c>
      <c r="M189">
        <v>804.8</v>
      </c>
      <c r="N189">
        <v>1300</v>
      </c>
      <c r="O189" s="115" t="s">
        <v>87</v>
      </c>
      <c r="P189">
        <v>0.96968633498365198</v>
      </c>
      <c r="Q189">
        <v>0.92594395258568896</v>
      </c>
      <c r="R189">
        <v>6.3930817191148098E-2</v>
      </c>
      <c r="S189">
        <v>5.3187634895936003E-2</v>
      </c>
      <c r="T189">
        <v>1.28047669087419</v>
      </c>
      <c r="U189">
        <v>1.28047669087419</v>
      </c>
      <c r="V189">
        <v>4.5199999999999996</v>
      </c>
      <c r="W189">
        <v>1.44</v>
      </c>
      <c r="X189">
        <v>10934</v>
      </c>
      <c r="Y189">
        <v>643</v>
      </c>
      <c r="Z189">
        <v>0.05</v>
      </c>
      <c r="AA189">
        <v>17</v>
      </c>
      <c r="AB189">
        <v>8</v>
      </c>
      <c r="AC189">
        <v>9</v>
      </c>
      <c r="AD189">
        <v>47.06</v>
      </c>
      <c r="AE189">
        <v>14</v>
      </c>
      <c r="AF189">
        <v>5</v>
      </c>
      <c r="AG189">
        <v>3</v>
      </c>
      <c r="AH189">
        <v>9</v>
      </c>
    </row>
    <row r="190" spans="1:34">
      <c r="A190" s="111">
        <v>206</v>
      </c>
      <c r="B190">
        <v>7202</v>
      </c>
      <c r="C190" s="115" t="s">
        <v>181</v>
      </c>
      <c r="D190" s="115" t="s">
        <v>115</v>
      </c>
      <c r="E190">
        <v>1313.5</v>
      </c>
      <c r="F190">
        <v>1304.5</v>
      </c>
      <c r="G190">
        <v>700</v>
      </c>
      <c r="H190" s="115" t="s">
        <v>89</v>
      </c>
      <c r="I190">
        <v>7327</v>
      </c>
      <c r="J190" s="115" t="s">
        <v>194</v>
      </c>
      <c r="K190" s="115" t="s">
        <v>113</v>
      </c>
      <c r="L190">
        <v>2926</v>
      </c>
      <c r="M190">
        <v>2888</v>
      </c>
      <c r="N190">
        <v>300</v>
      </c>
      <c r="O190" s="115" t="s">
        <v>87</v>
      </c>
      <c r="P190">
        <v>0.93206505736346101</v>
      </c>
      <c r="Q190">
        <v>0.907765512227514</v>
      </c>
      <c r="R190">
        <v>0.12541065215456501</v>
      </c>
      <c r="S190">
        <v>0.132849869035463</v>
      </c>
      <c r="T190">
        <v>0.22516513622901199</v>
      </c>
      <c r="U190">
        <v>0.22516513622901199</v>
      </c>
      <c r="V190">
        <v>0.51</v>
      </c>
      <c r="W190">
        <v>5.4</v>
      </c>
      <c r="X190">
        <v>10491</v>
      </c>
      <c r="Y190">
        <v>5246</v>
      </c>
      <c r="Z190">
        <v>0.45</v>
      </c>
      <c r="AA190">
        <v>2</v>
      </c>
      <c r="AB190">
        <v>1</v>
      </c>
      <c r="AC190">
        <v>1</v>
      </c>
      <c r="AD190">
        <v>50</v>
      </c>
      <c r="AE190">
        <v>13</v>
      </c>
      <c r="AF190">
        <v>1</v>
      </c>
      <c r="AG190">
        <v>0</v>
      </c>
      <c r="AH190">
        <v>1</v>
      </c>
    </row>
    <row r="191" spans="1:34">
      <c r="A191" s="111">
        <v>130</v>
      </c>
      <c r="B191">
        <v>5233</v>
      </c>
      <c r="C191" s="115" t="s">
        <v>199</v>
      </c>
      <c r="D191" s="115" t="s">
        <v>140</v>
      </c>
      <c r="E191">
        <v>3260</v>
      </c>
      <c r="F191">
        <v>3205</v>
      </c>
      <c r="G191">
        <v>300</v>
      </c>
      <c r="H191" s="115" t="s">
        <v>89</v>
      </c>
      <c r="I191">
        <v>7327</v>
      </c>
      <c r="J191" s="115" t="s">
        <v>194</v>
      </c>
      <c r="K191" s="115" t="s">
        <v>113</v>
      </c>
      <c r="L191">
        <v>2926</v>
      </c>
      <c r="M191">
        <v>2888</v>
      </c>
      <c r="N191">
        <v>300</v>
      </c>
      <c r="O191" s="115" t="s">
        <v>87</v>
      </c>
      <c r="P191">
        <v>0.92826451170497304</v>
      </c>
      <c r="Q191">
        <v>0.91804991497037203</v>
      </c>
      <c r="R191">
        <v>4.6148536717827399E-2</v>
      </c>
      <c r="S191">
        <v>6.6872513521402999E-2</v>
      </c>
      <c r="T191">
        <v>0.64641006646852905</v>
      </c>
      <c r="U191">
        <v>0.64641006646852905</v>
      </c>
      <c r="V191">
        <v>1.77</v>
      </c>
      <c r="W191">
        <v>9.89</v>
      </c>
      <c r="X191">
        <v>4195</v>
      </c>
      <c r="Y191">
        <v>2098</v>
      </c>
      <c r="Z191">
        <v>-0.01</v>
      </c>
      <c r="AA191">
        <v>2</v>
      </c>
      <c r="AB191">
        <v>1</v>
      </c>
      <c r="AC191">
        <v>1</v>
      </c>
      <c r="AD191">
        <v>50</v>
      </c>
      <c r="AE191">
        <v>10</v>
      </c>
      <c r="AF191">
        <v>1</v>
      </c>
      <c r="AG191">
        <v>1</v>
      </c>
      <c r="AH191">
        <v>0</v>
      </c>
    </row>
    <row r="192" spans="1:34">
      <c r="A192" s="111">
        <v>106</v>
      </c>
      <c r="B192">
        <v>1944</v>
      </c>
      <c r="C192" s="115" t="s">
        <v>179</v>
      </c>
      <c r="D192" s="115" t="s">
        <v>108</v>
      </c>
      <c r="E192">
        <v>1677</v>
      </c>
      <c r="F192">
        <v>1654</v>
      </c>
      <c r="G192">
        <v>600</v>
      </c>
      <c r="H192" s="115" t="s">
        <v>87</v>
      </c>
      <c r="I192">
        <v>8377</v>
      </c>
      <c r="J192" s="115" t="s">
        <v>127</v>
      </c>
      <c r="K192" s="115" t="s">
        <v>113</v>
      </c>
      <c r="L192">
        <v>1121</v>
      </c>
      <c r="M192">
        <v>1117</v>
      </c>
      <c r="N192">
        <v>900</v>
      </c>
      <c r="O192" s="115" t="s">
        <v>89</v>
      </c>
      <c r="P192">
        <v>0.91760910409503904</v>
      </c>
      <c r="Q192">
        <v>0.92396933023155903</v>
      </c>
      <c r="R192">
        <v>7.5015111401092304E-3</v>
      </c>
      <c r="S192">
        <v>1.0578258830181E-2</v>
      </c>
      <c r="T192">
        <v>-1.3991670920931001</v>
      </c>
      <c r="U192">
        <v>1.3991670920931001</v>
      </c>
      <c r="V192">
        <v>-4.41</v>
      </c>
      <c r="W192">
        <v>1.3</v>
      </c>
      <c r="X192">
        <v>-651</v>
      </c>
      <c r="Y192">
        <v>-41</v>
      </c>
      <c r="Z192">
        <v>0.03</v>
      </c>
      <c r="AA192">
        <v>16</v>
      </c>
      <c r="AB192">
        <v>7</v>
      </c>
      <c r="AC192">
        <v>9</v>
      </c>
      <c r="AD192">
        <v>43.75</v>
      </c>
      <c r="AE192">
        <v>14</v>
      </c>
      <c r="AF192">
        <v>4</v>
      </c>
      <c r="AG192">
        <v>2</v>
      </c>
      <c r="AH192">
        <v>10</v>
      </c>
    </row>
    <row r="193" spans="1:34">
      <c r="A193" s="111">
        <v>239</v>
      </c>
      <c r="B193">
        <v>5334</v>
      </c>
      <c r="C193" s="115" t="s">
        <v>389</v>
      </c>
      <c r="D193" s="115" t="s">
        <v>140</v>
      </c>
      <c r="E193">
        <v>2209</v>
      </c>
      <c r="F193">
        <v>2189</v>
      </c>
      <c r="G193">
        <v>500</v>
      </c>
      <c r="H193" s="115" t="s">
        <v>87</v>
      </c>
      <c r="I193">
        <v>5802</v>
      </c>
      <c r="J193" s="115" t="s">
        <v>175</v>
      </c>
      <c r="K193" s="115" t="s">
        <v>176</v>
      </c>
      <c r="L193">
        <v>1576</v>
      </c>
      <c r="M193">
        <v>1580</v>
      </c>
      <c r="N193">
        <v>700</v>
      </c>
      <c r="O193" s="115" t="s">
        <v>89</v>
      </c>
      <c r="P193">
        <v>0.95583694972897304</v>
      </c>
      <c r="Q193">
        <v>0.90368452174384795</v>
      </c>
      <c r="R193">
        <v>0.228097864043313</v>
      </c>
      <c r="S193">
        <v>7.8577297598153104E-3</v>
      </c>
      <c r="T193">
        <v>-2.3614063659336799</v>
      </c>
      <c r="U193">
        <v>2.3614063659336799</v>
      </c>
      <c r="V193">
        <v>-6.28</v>
      </c>
      <c r="W193">
        <v>1.05</v>
      </c>
      <c r="X193">
        <v>-1578</v>
      </c>
      <c r="Y193">
        <v>-93</v>
      </c>
      <c r="Z193">
        <v>-0.08</v>
      </c>
      <c r="AA193">
        <v>17</v>
      </c>
      <c r="AB193">
        <v>7</v>
      </c>
      <c r="AC193">
        <v>10</v>
      </c>
      <c r="AD193">
        <v>41.18</v>
      </c>
      <c r="AE193">
        <v>12</v>
      </c>
      <c r="AF193">
        <v>5</v>
      </c>
      <c r="AG193">
        <v>5</v>
      </c>
      <c r="AH193">
        <v>7</v>
      </c>
    </row>
    <row r="194" spans="1:34">
      <c r="A194" s="111">
        <v>146</v>
      </c>
      <c r="B194">
        <v>5991</v>
      </c>
      <c r="C194" s="115" t="s">
        <v>149</v>
      </c>
      <c r="D194" s="115" t="s">
        <v>150</v>
      </c>
      <c r="E194">
        <v>975</v>
      </c>
      <c r="F194">
        <v>965</v>
      </c>
      <c r="G194">
        <v>1000</v>
      </c>
      <c r="H194" s="115" t="s">
        <v>89</v>
      </c>
      <c r="I194">
        <v>7267</v>
      </c>
      <c r="J194" s="115" t="s">
        <v>153</v>
      </c>
      <c r="K194" s="115" t="s">
        <v>115</v>
      </c>
      <c r="L194">
        <v>3147</v>
      </c>
      <c r="M194">
        <v>3109</v>
      </c>
      <c r="N194">
        <v>300</v>
      </c>
      <c r="O194" s="115" t="s">
        <v>87</v>
      </c>
      <c r="P194">
        <v>0.97258875616306295</v>
      </c>
      <c r="Q194">
        <v>0.91555397066100996</v>
      </c>
      <c r="R194">
        <v>0.1058325659208</v>
      </c>
      <c r="S194">
        <v>4.1815017415486898E-2</v>
      </c>
      <c r="T194">
        <v>1.81237349593693</v>
      </c>
      <c r="U194">
        <v>1.81237349593693</v>
      </c>
      <c r="V194">
        <v>4.29</v>
      </c>
      <c r="W194">
        <v>3.46</v>
      </c>
      <c r="X194">
        <v>-2961</v>
      </c>
      <c r="Y194">
        <v>-212</v>
      </c>
      <c r="Z194">
        <v>0.02</v>
      </c>
      <c r="AA194">
        <v>14</v>
      </c>
      <c r="AB194">
        <v>9</v>
      </c>
      <c r="AC194">
        <v>5</v>
      </c>
      <c r="AD194">
        <v>64.290000000000006</v>
      </c>
      <c r="AE194">
        <v>16</v>
      </c>
      <c r="AF194">
        <v>1</v>
      </c>
      <c r="AG194">
        <v>1</v>
      </c>
      <c r="AH194">
        <v>12</v>
      </c>
    </row>
    <row r="195" spans="1:34">
      <c r="A195" s="111">
        <v>34</v>
      </c>
      <c r="B195">
        <v>4062</v>
      </c>
      <c r="C195" s="115" t="s">
        <v>428</v>
      </c>
      <c r="D195" s="115" t="s">
        <v>118</v>
      </c>
      <c r="E195">
        <v>2523</v>
      </c>
      <c r="F195">
        <v>2528</v>
      </c>
      <c r="G195">
        <v>400</v>
      </c>
      <c r="H195" s="115" t="s">
        <v>87</v>
      </c>
      <c r="I195">
        <v>6920</v>
      </c>
      <c r="J195" s="115" t="s">
        <v>117</v>
      </c>
      <c r="K195" s="115" t="s">
        <v>118</v>
      </c>
      <c r="L195">
        <v>9000</v>
      </c>
      <c r="M195">
        <v>9160</v>
      </c>
      <c r="N195">
        <v>100</v>
      </c>
      <c r="O195" s="115" t="s">
        <v>89</v>
      </c>
      <c r="P195">
        <v>0.94253350768552102</v>
      </c>
      <c r="Q195">
        <v>0.94237786613628505</v>
      </c>
      <c r="R195">
        <v>0.166545022499685</v>
      </c>
      <c r="S195">
        <v>6.8132783998952395E-2</v>
      </c>
      <c r="T195">
        <v>-1.69191923877744</v>
      </c>
      <c r="U195">
        <v>1.69191923877744</v>
      </c>
      <c r="V195">
        <v>-16.71</v>
      </c>
      <c r="W195">
        <v>10.39</v>
      </c>
      <c r="X195">
        <v>-4708</v>
      </c>
      <c r="Y195">
        <v>-262</v>
      </c>
      <c r="Z195">
        <v>-0.02</v>
      </c>
      <c r="AA195">
        <v>18</v>
      </c>
      <c r="AB195">
        <v>9</v>
      </c>
      <c r="AC195">
        <v>9</v>
      </c>
      <c r="AD195">
        <v>50</v>
      </c>
      <c r="AE195">
        <v>10</v>
      </c>
      <c r="AF195">
        <v>8</v>
      </c>
      <c r="AG195">
        <v>7</v>
      </c>
      <c r="AH195">
        <v>3</v>
      </c>
    </row>
    <row r="196" spans="1:34">
      <c r="A196" s="111">
        <v>66</v>
      </c>
      <c r="B196">
        <v>6752</v>
      </c>
      <c r="C196" s="115" t="s">
        <v>139</v>
      </c>
      <c r="D196" s="115" t="s">
        <v>118</v>
      </c>
      <c r="E196">
        <v>978.8</v>
      </c>
      <c r="F196">
        <v>981</v>
      </c>
      <c r="G196">
        <v>1100</v>
      </c>
      <c r="H196" s="115" t="s">
        <v>87</v>
      </c>
      <c r="I196">
        <v>8002</v>
      </c>
      <c r="J196" s="115" t="s">
        <v>57</v>
      </c>
      <c r="K196" s="115" t="s">
        <v>135</v>
      </c>
      <c r="L196">
        <v>809.9</v>
      </c>
      <c r="M196">
        <v>804.8</v>
      </c>
      <c r="N196">
        <v>1300</v>
      </c>
      <c r="O196" s="115" t="s">
        <v>89</v>
      </c>
      <c r="P196">
        <v>0.92761291436365401</v>
      </c>
      <c r="Q196">
        <v>0.93328713421409903</v>
      </c>
      <c r="R196">
        <v>0.12723282418163401</v>
      </c>
      <c r="S196">
        <v>3.3724986000574701E-3</v>
      </c>
      <c r="T196">
        <v>-0.26751139656668499</v>
      </c>
      <c r="U196">
        <v>0.26751139656668499</v>
      </c>
      <c r="V196">
        <v>-0.67</v>
      </c>
      <c r="W196">
        <v>3.05</v>
      </c>
      <c r="X196">
        <v>-4844</v>
      </c>
      <c r="Y196">
        <v>-231</v>
      </c>
      <c r="Z196">
        <v>-0.02</v>
      </c>
      <c r="AA196">
        <v>21</v>
      </c>
      <c r="AB196">
        <v>11</v>
      </c>
      <c r="AC196">
        <v>10</v>
      </c>
      <c r="AD196">
        <v>52.38</v>
      </c>
      <c r="AE196">
        <v>15</v>
      </c>
      <c r="AF196">
        <v>5</v>
      </c>
      <c r="AG196">
        <v>4</v>
      </c>
      <c r="AH196">
        <v>12</v>
      </c>
    </row>
    <row r="197" spans="1:34">
      <c r="A197" s="111">
        <v>257</v>
      </c>
      <c r="B197">
        <v>4061</v>
      </c>
      <c r="C197" s="115" t="s">
        <v>159</v>
      </c>
      <c r="D197" s="115" t="s">
        <v>88</v>
      </c>
      <c r="E197">
        <v>3340</v>
      </c>
      <c r="F197">
        <v>3290</v>
      </c>
      <c r="G197">
        <v>300</v>
      </c>
      <c r="H197" s="115" t="s">
        <v>89</v>
      </c>
      <c r="I197">
        <v>7167</v>
      </c>
      <c r="J197" s="115" t="s">
        <v>134</v>
      </c>
      <c r="K197" s="115" t="s">
        <v>113</v>
      </c>
      <c r="L197">
        <v>290</v>
      </c>
      <c r="M197">
        <v>283</v>
      </c>
      <c r="N197">
        <v>3500</v>
      </c>
      <c r="O197" s="115" t="s">
        <v>87</v>
      </c>
      <c r="P197">
        <v>0.93539526078025703</v>
      </c>
      <c r="Q197">
        <v>0.901168451424606</v>
      </c>
      <c r="R197" s="20">
        <v>0.214522352917982</v>
      </c>
      <c r="S197" s="20">
        <v>1.41188705988713E-2</v>
      </c>
      <c r="T197">
        <v>0.37324809123083602</v>
      </c>
      <c r="U197">
        <v>0.37324809123083602</v>
      </c>
      <c r="V197">
        <v>0.95</v>
      </c>
      <c r="W197">
        <v>0.35</v>
      </c>
      <c r="X197">
        <v>-5348</v>
      </c>
      <c r="Y197">
        <v>-267</v>
      </c>
      <c r="Z197">
        <v>0.01</v>
      </c>
      <c r="AA197">
        <v>20</v>
      </c>
      <c r="AB197">
        <v>10</v>
      </c>
      <c r="AC197">
        <v>10</v>
      </c>
      <c r="AD197">
        <v>50</v>
      </c>
      <c r="AE197">
        <v>15</v>
      </c>
      <c r="AF197">
        <v>5</v>
      </c>
      <c r="AG197">
        <v>5</v>
      </c>
      <c r="AH197">
        <v>10</v>
      </c>
    </row>
    <row r="198" spans="1:34">
      <c r="A198" s="111">
        <v>21</v>
      </c>
      <c r="B198">
        <v>1860</v>
      </c>
      <c r="C198" s="115" t="s">
        <v>145</v>
      </c>
      <c r="D198" s="115" t="s">
        <v>108</v>
      </c>
      <c r="E198">
        <v>682</v>
      </c>
      <c r="F198">
        <v>670</v>
      </c>
      <c r="G198">
        <v>1500</v>
      </c>
      <c r="H198" s="115" t="s">
        <v>87</v>
      </c>
      <c r="I198">
        <v>4182</v>
      </c>
      <c r="J198" s="115" t="s">
        <v>119</v>
      </c>
      <c r="K198" s="115" t="s">
        <v>88</v>
      </c>
      <c r="L198">
        <v>1680</v>
      </c>
      <c r="M198">
        <v>1641</v>
      </c>
      <c r="N198">
        <v>600</v>
      </c>
      <c r="O198" s="115" t="s">
        <v>89</v>
      </c>
      <c r="P198">
        <v>0.95658093831819502</v>
      </c>
      <c r="Q198">
        <v>0.94759863689102797</v>
      </c>
      <c r="R198">
        <v>0.114053187275199</v>
      </c>
      <c r="S198">
        <v>3.9774377401232699E-4</v>
      </c>
      <c r="T198">
        <v>-1.76051184972925</v>
      </c>
      <c r="U198">
        <v>1.76051184972925</v>
      </c>
      <c r="V198">
        <v>-7.38</v>
      </c>
      <c r="W198">
        <v>2.0699999999999998</v>
      </c>
      <c r="X198">
        <v>-6671</v>
      </c>
      <c r="Y198">
        <v>-445</v>
      </c>
      <c r="Z198">
        <v>0.03</v>
      </c>
      <c r="AA198">
        <v>15</v>
      </c>
      <c r="AB198">
        <v>7</v>
      </c>
      <c r="AC198">
        <v>8</v>
      </c>
      <c r="AD198">
        <v>46.67</v>
      </c>
      <c r="AE198">
        <v>10</v>
      </c>
      <c r="AF198">
        <v>5</v>
      </c>
      <c r="AG198">
        <v>5</v>
      </c>
      <c r="AH198">
        <v>5</v>
      </c>
    </row>
    <row r="199" spans="1:34">
      <c r="A199" s="111">
        <v>128</v>
      </c>
      <c r="B199">
        <v>2222</v>
      </c>
      <c r="C199" s="115" t="s">
        <v>419</v>
      </c>
      <c r="D199" s="115" t="s">
        <v>130</v>
      </c>
      <c r="E199">
        <v>7520</v>
      </c>
      <c r="F199">
        <v>7650</v>
      </c>
      <c r="G199">
        <v>100</v>
      </c>
      <c r="H199" s="115" t="s">
        <v>89</v>
      </c>
      <c r="I199">
        <v>4516</v>
      </c>
      <c r="J199" s="115" t="s">
        <v>420</v>
      </c>
      <c r="K199" s="115" t="s">
        <v>188</v>
      </c>
      <c r="L199">
        <v>9600</v>
      </c>
      <c r="M199">
        <v>9580</v>
      </c>
      <c r="N199">
        <v>100</v>
      </c>
      <c r="O199" s="115" t="s">
        <v>87</v>
      </c>
      <c r="P199">
        <v>0.92169852525970397</v>
      </c>
      <c r="Q199">
        <v>0.91853428239364199</v>
      </c>
      <c r="R199">
        <v>2.2921892210202901E-4</v>
      </c>
      <c r="S199">
        <v>8.8054258077572403E-2</v>
      </c>
      <c r="T199">
        <v>0.89445292978814595</v>
      </c>
      <c r="U199">
        <v>0.89445292978814595</v>
      </c>
      <c r="V199">
        <v>2.09</v>
      </c>
      <c r="W199">
        <v>20.149999999999999</v>
      </c>
      <c r="X199">
        <v>-6765</v>
      </c>
      <c r="Y199">
        <v>-966</v>
      </c>
      <c r="Z199">
        <v>-0.1</v>
      </c>
      <c r="AA199">
        <v>7</v>
      </c>
      <c r="AB199">
        <v>4</v>
      </c>
      <c r="AC199">
        <v>3</v>
      </c>
      <c r="AD199">
        <v>57.14</v>
      </c>
      <c r="AE199">
        <v>7</v>
      </c>
      <c r="AF199">
        <v>3</v>
      </c>
      <c r="AG199">
        <v>3</v>
      </c>
      <c r="AH199">
        <v>1</v>
      </c>
    </row>
    <row r="200" spans="1:34">
      <c r="A200" s="111">
        <v>188</v>
      </c>
      <c r="B200">
        <v>6473</v>
      </c>
      <c r="C200" s="115" t="s">
        <v>178</v>
      </c>
      <c r="D200" s="115" t="s">
        <v>133</v>
      </c>
      <c r="E200">
        <v>1397</v>
      </c>
      <c r="F200">
        <v>1375</v>
      </c>
      <c r="G200">
        <v>500</v>
      </c>
      <c r="H200" s="115" t="s">
        <v>87</v>
      </c>
      <c r="I200">
        <v>6988</v>
      </c>
      <c r="J200" s="115" t="s">
        <v>191</v>
      </c>
      <c r="K200" s="115" t="s">
        <v>88</v>
      </c>
      <c r="L200">
        <v>6320</v>
      </c>
      <c r="M200">
        <v>6240</v>
      </c>
      <c r="N200">
        <v>100</v>
      </c>
      <c r="O200" s="115" t="s">
        <v>89</v>
      </c>
      <c r="P200">
        <v>0.96018729604757302</v>
      </c>
      <c r="Q200">
        <v>0.91078910649004097</v>
      </c>
      <c r="R200">
        <v>9.1526337581678302E-2</v>
      </c>
      <c r="S200">
        <v>1.42457060780849E-2</v>
      </c>
      <c r="T200">
        <v>-2.42275355278634</v>
      </c>
      <c r="U200">
        <v>2.42275355278634</v>
      </c>
      <c r="V200">
        <v>-5.52</v>
      </c>
      <c r="W200">
        <v>10.18</v>
      </c>
      <c r="X200">
        <v>-8814</v>
      </c>
      <c r="Y200">
        <v>-630</v>
      </c>
      <c r="Z200">
        <v>-0.16</v>
      </c>
      <c r="AA200">
        <v>14</v>
      </c>
      <c r="AB200">
        <v>6</v>
      </c>
      <c r="AC200">
        <v>8</v>
      </c>
      <c r="AD200">
        <v>42.86</v>
      </c>
      <c r="AE200">
        <v>14</v>
      </c>
      <c r="AF200">
        <v>4</v>
      </c>
      <c r="AG200">
        <v>1</v>
      </c>
      <c r="AH200">
        <v>9</v>
      </c>
    </row>
    <row r="201" spans="1:34">
      <c r="A201" s="111">
        <v>221</v>
      </c>
      <c r="B201">
        <v>5333</v>
      </c>
      <c r="C201" s="115" t="s">
        <v>459</v>
      </c>
      <c r="D201" s="115" t="s">
        <v>140</v>
      </c>
      <c r="E201">
        <v>1847</v>
      </c>
      <c r="F201">
        <v>1822</v>
      </c>
      <c r="G201">
        <v>600</v>
      </c>
      <c r="H201" s="115" t="s">
        <v>87</v>
      </c>
      <c r="I201">
        <v>5393</v>
      </c>
      <c r="J201" s="115" t="s">
        <v>457</v>
      </c>
      <c r="K201" s="115" t="s">
        <v>140</v>
      </c>
      <c r="L201">
        <v>2580</v>
      </c>
      <c r="M201">
        <v>2545</v>
      </c>
      <c r="N201">
        <v>400</v>
      </c>
      <c r="O201" s="115" t="s">
        <v>89</v>
      </c>
      <c r="P201">
        <v>0.95758119911432704</v>
      </c>
      <c r="Q201">
        <v>0.90508193182255603</v>
      </c>
      <c r="R201">
        <v>2.6014750241483899E-2</v>
      </c>
      <c r="S201">
        <v>9.3699045470477093E-3</v>
      </c>
      <c r="T201">
        <v>-1.4771556069689999</v>
      </c>
      <c r="U201">
        <v>1.4771556069689999</v>
      </c>
      <c r="V201">
        <v>-10.84</v>
      </c>
      <c r="W201">
        <v>7.39</v>
      </c>
      <c r="X201">
        <v>-11690</v>
      </c>
      <c r="Y201">
        <v>-584</v>
      </c>
      <c r="Z201">
        <v>-0.01</v>
      </c>
      <c r="AA201">
        <v>20</v>
      </c>
      <c r="AB201">
        <v>12</v>
      </c>
      <c r="AC201">
        <v>8</v>
      </c>
      <c r="AD201">
        <v>60</v>
      </c>
      <c r="AE201">
        <v>11</v>
      </c>
      <c r="AF201">
        <v>7</v>
      </c>
      <c r="AG201">
        <v>8</v>
      </c>
      <c r="AH201">
        <v>5</v>
      </c>
    </row>
    <row r="202" spans="1:34">
      <c r="A202" s="111">
        <v>101</v>
      </c>
      <c r="B202">
        <v>4183</v>
      </c>
      <c r="C202" s="115" t="s">
        <v>388</v>
      </c>
      <c r="D202" s="115" t="s">
        <v>88</v>
      </c>
      <c r="E202">
        <v>2714</v>
      </c>
      <c r="F202">
        <v>2664</v>
      </c>
      <c r="G202">
        <v>400</v>
      </c>
      <c r="H202" s="115" t="s">
        <v>89</v>
      </c>
      <c r="I202">
        <v>6301</v>
      </c>
      <c r="J202" s="115" t="s">
        <v>143</v>
      </c>
      <c r="K202" s="115" t="s">
        <v>133</v>
      </c>
      <c r="L202">
        <v>2650</v>
      </c>
      <c r="M202">
        <v>2590</v>
      </c>
      <c r="N202">
        <v>400</v>
      </c>
      <c r="O202" s="115" t="s">
        <v>87</v>
      </c>
      <c r="P202">
        <v>0.96449324467080799</v>
      </c>
      <c r="Q202">
        <v>0.92517903170515303</v>
      </c>
      <c r="R202">
        <v>4.7443754315108298E-2</v>
      </c>
      <c r="S202">
        <v>2.82653815292545E-3</v>
      </c>
      <c r="T202">
        <v>1.0953839955410101</v>
      </c>
      <c r="U202">
        <v>1.0953839955410101</v>
      </c>
      <c r="V202">
        <v>1.88</v>
      </c>
      <c r="W202">
        <v>2.78</v>
      </c>
      <c r="X202">
        <v>-14105</v>
      </c>
      <c r="Y202">
        <v>-1567</v>
      </c>
      <c r="Z202">
        <v>-0.03</v>
      </c>
      <c r="AA202">
        <v>9</v>
      </c>
      <c r="AB202">
        <v>5</v>
      </c>
      <c r="AC202">
        <v>4</v>
      </c>
      <c r="AD202">
        <v>55.56</v>
      </c>
      <c r="AE202">
        <v>15</v>
      </c>
      <c r="AF202">
        <v>1</v>
      </c>
      <c r="AG202">
        <v>1</v>
      </c>
      <c r="AH202">
        <v>7</v>
      </c>
    </row>
    <row r="203" spans="1:34">
      <c r="A203" s="111">
        <v>218</v>
      </c>
      <c r="B203">
        <v>4183</v>
      </c>
      <c r="C203" s="115" t="s">
        <v>388</v>
      </c>
      <c r="D203" s="115" t="s">
        <v>88</v>
      </c>
      <c r="E203">
        <v>2714</v>
      </c>
      <c r="F203">
        <v>2664</v>
      </c>
      <c r="G203">
        <v>400</v>
      </c>
      <c r="H203" s="115" t="s">
        <v>87</v>
      </c>
      <c r="I203">
        <v>7762</v>
      </c>
      <c r="J203" s="115" t="s">
        <v>141</v>
      </c>
      <c r="K203" s="115" t="s">
        <v>126</v>
      </c>
      <c r="L203">
        <v>611</v>
      </c>
      <c r="M203">
        <v>610</v>
      </c>
      <c r="N203">
        <v>1700</v>
      </c>
      <c r="O203" s="115" t="s">
        <v>89</v>
      </c>
      <c r="P203">
        <v>0.96522919835064702</v>
      </c>
      <c r="Q203">
        <v>0.905246845405278</v>
      </c>
      <c r="R203">
        <v>1.14089379975257E-2</v>
      </c>
      <c r="S203">
        <v>1.34078295411207E-2</v>
      </c>
      <c r="T203">
        <v>-2.0216528421692002</v>
      </c>
      <c r="U203">
        <v>2.0216528421692002</v>
      </c>
      <c r="V203">
        <v>-4.51</v>
      </c>
      <c r="W203">
        <v>2.68</v>
      </c>
      <c r="X203">
        <v>-15256</v>
      </c>
      <c r="Y203">
        <v>-1174</v>
      </c>
      <c r="Z203">
        <v>-0.12</v>
      </c>
      <c r="AA203">
        <v>13</v>
      </c>
      <c r="AB203">
        <v>7</v>
      </c>
      <c r="AC203">
        <v>6</v>
      </c>
      <c r="AD203">
        <v>53.85</v>
      </c>
      <c r="AE203">
        <v>15</v>
      </c>
      <c r="AF203">
        <v>3</v>
      </c>
      <c r="AG203">
        <v>4</v>
      </c>
      <c r="AH203">
        <v>6</v>
      </c>
    </row>
    <row r="204" spans="1:34">
      <c r="A204" s="111">
        <v>55</v>
      </c>
      <c r="B204">
        <v>8306</v>
      </c>
      <c r="C204" s="115" t="s">
        <v>201</v>
      </c>
      <c r="D204" s="115" t="s">
        <v>113</v>
      </c>
      <c r="E204">
        <v>580</v>
      </c>
      <c r="F204">
        <v>576</v>
      </c>
      <c r="G204">
        <v>1900</v>
      </c>
      <c r="H204" s="115" t="s">
        <v>89</v>
      </c>
      <c r="I204">
        <v>8411</v>
      </c>
      <c r="J204" s="115" t="s">
        <v>157</v>
      </c>
      <c r="K204" s="115" t="s">
        <v>113</v>
      </c>
      <c r="L204">
        <v>170</v>
      </c>
      <c r="M204">
        <v>170.2</v>
      </c>
      <c r="N204">
        <v>6400</v>
      </c>
      <c r="O204" s="115" t="s">
        <v>87</v>
      </c>
      <c r="P204">
        <v>0.98035612934427996</v>
      </c>
      <c r="Q204">
        <v>0.93643528030668599</v>
      </c>
      <c r="R204">
        <v>0.22566552242243201</v>
      </c>
      <c r="S204">
        <v>0.32950660807371701</v>
      </c>
      <c r="T204">
        <v>0.93836318761987003</v>
      </c>
      <c r="U204">
        <v>0.93836318761987003</v>
      </c>
      <c r="V204">
        <v>1.56</v>
      </c>
      <c r="W204">
        <v>0.47</v>
      </c>
      <c r="X204">
        <v>-15387</v>
      </c>
      <c r="Y204">
        <v>-905</v>
      </c>
      <c r="Z204">
        <v>-0.04</v>
      </c>
      <c r="AA204">
        <v>17</v>
      </c>
      <c r="AB204">
        <v>7</v>
      </c>
      <c r="AC204">
        <v>10</v>
      </c>
      <c r="AD204">
        <v>41.18</v>
      </c>
      <c r="AE204">
        <v>17</v>
      </c>
      <c r="AF204">
        <v>2</v>
      </c>
      <c r="AG204">
        <v>0</v>
      </c>
      <c r="AH204">
        <v>15</v>
      </c>
    </row>
    <row r="205" spans="1:34">
      <c r="A205" s="111">
        <v>201</v>
      </c>
      <c r="B205">
        <v>4634</v>
      </c>
      <c r="C205" s="115" t="s">
        <v>192</v>
      </c>
      <c r="D205" s="115" t="s">
        <v>88</v>
      </c>
      <c r="E205">
        <v>2715</v>
      </c>
      <c r="F205">
        <v>2684</v>
      </c>
      <c r="G205">
        <v>400</v>
      </c>
      <c r="H205" s="115" t="s">
        <v>87</v>
      </c>
      <c r="I205">
        <v>6770</v>
      </c>
      <c r="J205" s="115" t="s">
        <v>50</v>
      </c>
      <c r="K205" s="115" t="s">
        <v>118</v>
      </c>
      <c r="L205">
        <v>2477</v>
      </c>
      <c r="M205">
        <v>2488</v>
      </c>
      <c r="N205">
        <v>400</v>
      </c>
      <c r="O205" s="115" t="s">
        <v>89</v>
      </c>
      <c r="P205">
        <v>0.93013857659884802</v>
      </c>
      <c r="Q205">
        <v>0.90839635227013404</v>
      </c>
      <c r="R205">
        <v>0.23370218080279601</v>
      </c>
      <c r="S205">
        <v>6.1051360816865904E-3</v>
      </c>
      <c r="T205">
        <v>-2.7305415776330402</v>
      </c>
      <c r="U205">
        <v>2.7305415776330402</v>
      </c>
      <c r="V205">
        <v>-10.25</v>
      </c>
      <c r="W205">
        <v>7.3</v>
      </c>
      <c r="X205">
        <v>-15409</v>
      </c>
      <c r="Y205">
        <v>-811</v>
      </c>
      <c r="Z205">
        <v>-0.14000000000000001</v>
      </c>
      <c r="AA205">
        <v>19</v>
      </c>
      <c r="AB205">
        <v>10</v>
      </c>
      <c r="AC205">
        <v>9</v>
      </c>
      <c r="AD205">
        <v>52.63</v>
      </c>
      <c r="AE205">
        <v>12</v>
      </c>
      <c r="AF205">
        <v>6</v>
      </c>
      <c r="AG205">
        <v>5</v>
      </c>
      <c r="AH205">
        <v>8</v>
      </c>
    </row>
    <row r="206" spans="1:34">
      <c r="A206" s="111">
        <v>110</v>
      </c>
      <c r="B206">
        <v>6201</v>
      </c>
      <c r="C206" s="115" t="s">
        <v>421</v>
      </c>
      <c r="D206" s="115" t="s">
        <v>115</v>
      </c>
      <c r="E206">
        <v>6550</v>
      </c>
      <c r="F206">
        <v>6560</v>
      </c>
      <c r="G206">
        <v>100</v>
      </c>
      <c r="H206" s="115" t="s">
        <v>89</v>
      </c>
      <c r="I206">
        <v>6506</v>
      </c>
      <c r="J206" s="115" t="s">
        <v>161</v>
      </c>
      <c r="K206" s="115" t="s">
        <v>118</v>
      </c>
      <c r="L206">
        <v>4050</v>
      </c>
      <c r="M206">
        <v>4020</v>
      </c>
      <c r="N206">
        <v>200</v>
      </c>
      <c r="O206" s="115" t="s">
        <v>87</v>
      </c>
      <c r="P206">
        <v>0.916571961136319</v>
      </c>
      <c r="Q206">
        <v>0.92242233350779101</v>
      </c>
      <c r="R206" s="20">
        <v>8.1209510772787194E-3</v>
      </c>
      <c r="S206">
        <v>1.34231449631262E-3</v>
      </c>
      <c r="T206">
        <v>0.983834770177755</v>
      </c>
      <c r="U206">
        <v>0.983834770177755</v>
      </c>
      <c r="V206">
        <v>2.56</v>
      </c>
      <c r="W206">
        <v>22.56</v>
      </c>
      <c r="X206">
        <v>-15466</v>
      </c>
      <c r="Y206">
        <v>-2209</v>
      </c>
      <c r="Z206">
        <v>-0.65</v>
      </c>
      <c r="AA206">
        <v>7</v>
      </c>
      <c r="AB206">
        <v>3</v>
      </c>
      <c r="AC206">
        <v>4</v>
      </c>
      <c r="AD206">
        <v>42.86</v>
      </c>
      <c r="AE206">
        <v>5</v>
      </c>
      <c r="AF206">
        <v>3</v>
      </c>
      <c r="AG206">
        <v>4</v>
      </c>
      <c r="AH206">
        <v>0</v>
      </c>
    </row>
    <row r="207" spans="1:34">
      <c r="A207" s="111">
        <v>77</v>
      </c>
      <c r="B207">
        <v>1928</v>
      </c>
      <c r="C207" s="115" t="s">
        <v>390</v>
      </c>
      <c r="D207" s="115" t="s">
        <v>108</v>
      </c>
      <c r="E207">
        <v>2400</v>
      </c>
      <c r="F207">
        <v>2414</v>
      </c>
      <c r="G207">
        <v>400</v>
      </c>
      <c r="H207" s="115" t="s">
        <v>87</v>
      </c>
      <c r="I207">
        <v>4613</v>
      </c>
      <c r="J207" s="115" t="s">
        <v>416</v>
      </c>
      <c r="K207" s="115" t="s">
        <v>88</v>
      </c>
      <c r="L207">
        <v>2811</v>
      </c>
      <c r="M207">
        <v>2818</v>
      </c>
      <c r="N207">
        <v>300</v>
      </c>
      <c r="O207" s="115" t="s">
        <v>89</v>
      </c>
      <c r="P207">
        <v>0.970710612459595</v>
      </c>
      <c r="Q207">
        <v>0.93109278183894695</v>
      </c>
      <c r="R207">
        <v>1.28293654552987E-2</v>
      </c>
      <c r="S207">
        <v>5.95786405230668E-2</v>
      </c>
      <c r="T207">
        <v>-0.68697315540644199</v>
      </c>
      <c r="U207">
        <v>0.68697315540644199</v>
      </c>
      <c r="V207">
        <v>-1.31</v>
      </c>
      <c r="W207">
        <v>14.22</v>
      </c>
      <c r="X207">
        <v>-16022</v>
      </c>
      <c r="Y207">
        <v>-1232</v>
      </c>
      <c r="Z207">
        <v>-0.04</v>
      </c>
      <c r="AA207">
        <v>13</v>
      </c>
      <c r="AB207">
        <v>7</v>
      </c>
      <c r="AC207">
        <v>6</v>
      </c>
      <c r="AD207">
        <v>53.85</v>
      </c>
      <c r="AE207">
        <v>13</v>
      </c>
      <c r="AF207">
        <v>5</v>
      </c>
      <c r="AG207">
        <v>3</v>
      </c>
      <c r="AH207">
        <v>5</v>
      </c>
    </row>
    <row r="208" spans="1:34">
      <c r="A208" s="111">
        <v>208</v>
      </c>
      <c r="B208">
        <v>4182</v>
      </c>
      <c r="C208" s="115" t="s">
        <v>119</v>
      </c>
      <c r="D208" s="115" t="s">
        <v>88</v>
      </c>
      <c r="E208">
        <v>1680</v>
      </c>
      <c r="F208">
        <v>1641</v>
      </c>
      <c r="G208">
        <v>600</v>
      </c>
      <c r="H208" s="115" t="s">
        <v>89</v>
      </c>
      <c r="I208">
        <v>6472</v>
      </c>
      <c r="J208" s="115" t="s">
        <v>183</v>
      </c>
      <c r="K208" s="115" t="s">
        <v>133</v>
      </c>
      <c r="L208">
        <v>342</v>
      </c>
      <c r="M208">
        <v>336</v>
      </c>
      <c r="N208">
        <v>2900</v>
      </c>
      <c r="O208" s="115" t="s">
        <v>87</v>
      </c>
      <c r="P208">
        <v>0.92042029661786395</v>
      </c>
      <c r="Q208">
        <v>0.90727634004608504</v>
      </c>
      <c r="R208">
        <v>0.17981328225247301</v>
      </c>
      <c r="S208">
        <v>9.1731255857493199E-2</v>
      </c>
      <c r="T208">
        <v>1.95589786475478</v>
      </c>
      <c r="U208">
        <v>1.95589786475478</v>
      </c>
      <c r="V208">
        <v>6.24</v>
      </c>
      <c r="W208">
        <v>1.04</v>
      </c>
      <c r="X208">
        <v>-19437</v>
      </c>
      <c r="Y208">
        <v>-1080</v>
      </c>
      <c r="Z208">
        <v>-0.04</v>
      </c>
      <c r="AA208">
        <v>18</v>
      </c>
      <c r="AB208">
        <v>9</v>
      </c>
      <c r="AC208">
        <v>9</v>
      </c>
      <c r="AD208">
        <v>50</v>
      </c>
      <c r="AE208">
        <v>13</v>
      </c>
      <c r="AF208">
        <v>6</v>
      </c>
      <c r="AG208">
        <v>5</v>
      </c>
      <c r="AH208">
        <v>7</v>
      </c>
    </row>
    <row r="209" spans="1:34">
      <c r="A209" s="111">
        <v>256</v>
      </c>
      <c r="B209">
        <v>7259</v>
      </c>
      <c r="C209" s="115" t="s">
        <v>55</v>
      </c>
      <c r="D209" s="115" t="s">
        <v>115</v>
      </c>
      <c r="E209">
        <v>4140</v>
      </c>
      <c r="F209">
        <v>4150</v>
      </c>
      <c r="G209">
        <v>200</v>
      </c>
      <c r="H209" s="115" t="s">
        <v>89</v>
      </c>
      <c r="I209">
        <v>9072</v>
      </c>
      <c r="J209" s="115" t="s">
        <v>169</v>
      </c>
      <c r="K209" s="115" t="s">
        <v>154</v>
      </c>
      <c r="L209">
        <v>2766</v>
      </c>
      <c r="M209">
        <v>2725</v>
      </c>
      <c r="N209">
        <v>300</v>
      </c>
      <c r="O209" s="115" t="s">
        <v>87</v>
      </c>
      <c r="P209">
        <v>0.931008749359446</v>
      </c>
      <c r="Q209">
        <v>0.90148049521575202</v>
      </c>
      <c r="R209">
        <v>0.130702667532128</v>
      </c>
      <c r="S209">
        <v>2.4288273329212601E-4</v>
      </c>
      <c r="T209">
        <v>1.00856565108785</v>
      </c>
      <c r="U209">
        <v>1.00856565108785</v>
      </c>
      <c r="V209">
        <v>6.91</v>
      </c>
      <c r="W209">
        <v>1.51</v>
      </c>
      <c r="X209">
        <v>-20389</v>
      </c>
      <c r="Y209">
        <v>-2039</v>
      </c>
      <c r="Z209">
        <v>-0.19</v>
      </c>
      <c r="AA209">
        <v>10</v>
      </c>
      <c r="AB209">
        <v>5</v>
      </c>
      <c r="AC209">
        <v>5</v>
      </c>
      <c r="AD209">
        <v>50</v>
      </c>
      <c r="AE209">
        <v>11</v>
      </c>
      <c r="AF209">
        <v>4</v>
      </c>
      <c r="AG209">
        <v>3</v>
      </c>
      <c r="AH209">
        <v>3</v>
      </c>
    </row>
    <row r="210" spans="1:34">
      <c r="A210" s="111">
        <v>38</v>
      </c>
      <c r="B210">
        <v>7167</v>
      </c>
      <c r="C210" s="115" t="s">
        <v>134</v>
      </c>
      <c r="D210" s="115" t="s">
        <v>113</v>
      </c>
      <c r="E210">
        <v>290</v>
      </c>
      <c r="F210">
        <v>283</v>
      </c>
      <c r="G210">
        <v>3000</v>
      </c>
      <c r="H210" s="115" t="s">
        <v>87</v>
      </c>
      <c r="I210">
        <v>8309</v>
      </c>
      <c r="J210" s="115" t="s">
        <v>52</v>
      </c>
      <c r="K210" s="115" t="s">
        <v>113</v>
      </c>
      <c r="L210">
        <v>4257</v>
      </c>
      <c r="M210">
        <v>4211</v>
      </c>
      <c r="N210">
        <v>200</v>
      </c>
      <c r="O210" s="115" t="s">
        <v>89</v>
      </c>
      <c r="P210">
        <v>0.953739332372741</v>
      </c>
      <c r="Q210">
        <v>0.94153636277451602</v>
      </c>
      <c r="R210">
        <v>0.19741090299664099</v>
      </c>
      <c r="S210">
        <v>8.7645358710927102E-2</v>
      </c>
      <c r="T210">
        <v>-1.2905047131266301</v>
      </c>
      <c r="U210">
        <v>1.2905047131266301</v>
      </c>
      <c r="V210">
        <v>-2.23</v>
      </c>
      <c r="W210">
        <v>0.81</v>
      </c>
      <c r="X210">
        <v>-21468</v>
      </c>
      <c r="Y210">
        <v>-1651</v>
      </c>
      <c r="Z210">
        <v>-0.08</v>
      </c>
      <c r="AA210">
        <v>13</v>
      </c>
      <c r="AB210">
        <v>6</v>
      </c>
      <c r="AC210">
        <v>7</v>
      </c>
      <c r="AD210">
        <v>46.15</v>
      </c>
      <c r="AE210">
        <v>15</v>
      </c>
      <c r="AF210">
        <v>2</v>
      </c>
      <c r="AG210">
        <v>1</v>
      </c>
      <c r="AH210">
        <v>10</v>
      </c>
    </row>
    <row r="211" spans="1:34">
      <c r="A211" s="111">
        <v>127</v>
      </c>
      <c r="B211">
        <v>1928</v>
      </c>
      <c r="C211" s="115" t="s">
        <v>390</v>
      </c>
      <c r="D211" s="115" t="s">
        <v>108</v>
      </c>
      <c r="E211">
        <v>2400</v>
      </c>
      <c r="F211">
        <v>2414</v>
      </c>
      <c r="G211">
        <v>300</v>
      </c>
      <c r="H211" s="115" t="s">
        <v>89</v>
      </c>
      <c r="I211">
        <v>7649</v>
      </c>
      <c r="J211" s="115" t="s">
        <v>458</v>
      </c>
      <c r="K211" s="115" t="s">
        <v>128</v>
      </c>
      <c r="L211">
        <v>6290</v>
      </c>
      <c r="M211">
        <v>6240</v>
      </c>
      <c r="N211">
        <v>100</v>
      </c>
      <c r="O211" s="115" t="s">
        <v>87</v>
      </c>
      <c r="P211">
        <v>0.94897387546892698</v>
      </c>
      <c r="Q211">
        <v>0.918665653319933</v>
      </c>
      <c r="R211">
        <v>0.102961343917664</v>
      </c>
      <c r="S211">
        <v>1.45141527674559E-2</v>
      </c>
      <c r="T211">
        <v>1.49316959783655</v>
      </c>
      <c r="U211">
        <v>1.49316959783655</v>
      </c>
      <c r="V211">
        <v>6.51</v>
      </c>
      <c r="W211">
        <v>16.059999999999999</v>
      </c>
      <c r="X211">
        <v>-23765</v>
      </c>
      <c r="Y211">
        <v>-1828</v>
      </c>
      <c r="Z211">
        <v>7.0000000000000007E-2</v>
      </c>
      <c r="AA211">
        <v>13</v>
      </c>
      <c r="AB211">
        <v>7</v>
      </c>
      <c r="AC211">
        <v>6</v>
      </c>
      <c r="AD211">
        <v>53.85</v>
      </c>
      <c r="AE211">
        <v>13</v>
      </c>
      <c r="AF211">
        <v>4</v>
      </c>
      <c r="AG211">
        <v>3</v>
      </c>
      <c r="AH211">
        <v>6</v>
      </c>
    </row>
    <row r="212" spans="1:34">
      <c r="A212" s="111">
        <v>83</v>
      </c>
      <c r="B212">
        <v>3861</v>
      </c>
      <c r="C212" s="115" t="s">
        <v>92</v>
      </c>
      <c r="D212" s="115" t="s">
        <v>111</v>
      </c>
      <c r="E212">
        <v>619</v>
      </c>
      <c r="F212">
        <v>612</v>
      </c>
      <c r="G212">
        <v>1600</v>
      </c>
      <c r="H212" s="115" t="s">
        <v>89</v>
      </c>
      <c r="I212">
        <v>5233</v>
      </c>
      <c r="J212" s="115" t="s">
        <v>199</v>
      </c>
      <c r="K212" s="115" t="s">
        <v>140</v>
      </c>
      <c r="L212">
        <v>3260</v>
      </c>
      <c r="M212">
        <v>3205</v>
      </c>
      <c r="N212">
        <v>300</v>
      </c>
      <c r="O212" s="115" t="s">
        <v>87</v>
      </c>
      <c r="P212">
        <v>0.92700217710006805</v>
      </c>
      <c r="Q212">
        <v>0.92899162959682902</v>
      </c>
      <c r="R212">
        <v>0.16067370640773099</v>
      </c>
      <c r="S212">
        <v>7.0680111617396693E-2</v>
      </c>
      <c r="T212">
        <v>1.16395276653581</v>
      </c>
      <c r="U212">
        <v>1.16395276653581</v>
      </c>
      <c r="V212">
        <v>3.9</v>
      </c>
      <c r="W212">
        <v>1.84</v>
      </c>
      <c r="X212">
        <v>-26129</v>
      </c>
      <c r="Y212">
        <v>-1136</v>
      </c>
      <c r="Z212">
        <v>0.01</v>
      </c>
      <c r="AA212">
        <v>23</v>
      </c>
      <c r="AB212">
        <v>11</v>
      </c>
      <c r="AC212">
        <v>12</v>
      </c>
      <c r="AD212">
        <v>47.83</v>
      </c>
      <c r="AE212">
        <v>13</v>
      </c>
      <c r="AF212">
        <v>5</v>
      </c>
      <c r="AG212">
        <v>8</v>
      </c>
      <c r="AH212">
        <v>10</v>
      </c>
    </row>
    <row r="213" spans="1:34">
      <c r="A213" s="111">
        <v>170</v>
      </c>
      <c r="B213">
        <v>6371</v>
      </c>
      <c r="C213" s="115" t="s">
        <v>142</v>
      </c>
      <c r="D213" s="115" t="s">
        <v>133</v>
      </c>
      <c r="E213">
        <v>3830</v>
      </c>
      <c r="F213">
        <v>3770</v>
      </c>
      <c r="G213">
        <v>200</v>
      </c>
      <c r="H213" s="115" t="s">
        <v>87</v>
      </c>
      <c r="I213">
        <v>7272</v>
      </c>
      <c r="J213" s="115" t="s">
        <v>385</v>
      </c>
      <c r="K213" s="115" t="s">
        <v>115</v>
      </c>
      <c r="L213">
        <v>2295</v>
      </c>
      <c r="M213">
        <v>2285</v>
      </c>
      <c r="N213">
        <v>300</v>
      </c>
      <c r="O213" s="115" t="s">
        <v>89</v>
      </c>
      <c r="P213">
        <v>0.93964261511145997</v>
      </c>
      <c r="Q213">
        <v>0.91249837759072705</v>
      </c>
      <c r="R213">
        <v>0.209769257837779</v>
      </c>
      <c r="S213" s="20">
        <v>7.35838842275407E-3</v>
      </c>
      <c r="T213">
        <v>-1.6987010278743</v>
      </c>
      <c r="U213">
        <v>1.6987010278743</v>
      </c>
      <c r="V213">
        <v>-7.16</v>
      </c>
      <c r="W213">
        <v>9.08</v>
      </c>
      <c r="X213">
        <v>-28954</v>
      </c>
      <c r="Y213">
        <v>-2632</v>
      </c>
      <c r="Z213">
        <v>-0.13</v>
      </c>
      <c r="AA213">
        <v>11</v>
      </c>
      <c r="AB213">
        <v>6</v>
      </c>
      <c r="AC213">
        <v>5</v>
      </c>
      <c r="AD213">
        <v>54.55</v>
      </c>
      <c r="AE213">
        <v>13</v>
      </c>
      <c r="AF213">
        <v>3</v>
      </c>
      <c r="AG213">
        <v>3</v>
      </c>
      <c r="AH213">
        <v>5</v>
      </c>
    </row>
    <row r="214" spans="1:34">
      <c r="A214" s="111">
        <v>85</v>
      </c>
      <c r="B214">
        <v>2914</v>
      </c>
      <c r="C214" s="115" t="s">
        <v>129</v>
      </c>
      <c r="D214" s="115" t="s">
        <v>130</v>
      </c>
      <c r="E214">
        <v>2482.5</v>
      </c>
      <c r="F214">
        <v>2476</v>
      </c>
      <c r="G214">
        <v>300</v>
      </c>
      <c r="H214" s="115" t="s">
        <v>87</v>
      </c>
      <c r="I214">
        <v>4507</v>
      </c>
      <c r="J214" s="115" t="s">
        <v>429</v>
      </c>
      <c r="K214" s="115" t="s">
        <v>188</v>
      </c>
      <c r="L214">
        <v>6530</v>
      </c>
      <c r="M214">
        <v>6445</v>
      </c>
      <c r="N214">
        <v>100</v>
      </c>
      <c r="O214" s="115" t="s">
        <v>89</v>
      </c>
      <c r="P214">
        <v>0.908889685969266</v>
      </c>
      <c r="Q214">
        <v>0.92863226646726504</v>
      </c>
      <c r="R214">
        <v>4.9827698524190202E-2</v>
      </c>
      <c r="S214">
        <v>2.9357542779474498E-3</v>
      </c>
      <c r="T214">
        <v>-1.3383316355733501</v>
      </c>
      <c r="U214">
        <v>1.3383316355733501</v>
      </c>
      <c r="V214">
        <v>-2.37</v>
      </c>
      <c r="W214">
        <v>15.25</v>
      </c>
      <c r="X214">
        <v>-30523</v>
      </c>
      <c r="Y214">
        <v>-5087</v>
      </c>
      <c r="Z214">
        <v>-0.76</v>
      </c>
      <c r="AA214">
        <v>6</v>
      </c>
      <c r="AB214">
        <v>3</v>
      </c>
      <c r="AC214">
        <v>3</v>
      </c>
      <c r="AD214">
        <v>50</v>
      </c>
      <c r="AE214">
        <v>11</v>
      </c>
      <c r="AF214">
        <v>2</v>
      </c>
      <c r="AG214">
        <v>3</v>
      </c>
      <c r="AH214">
        <v>1</v>
      </c>
    </row>
    <row r="215" spans="1:34">
      <c r="A215" s="111">
        <v>163</v>
      </c>
      <c r="B215">
        <v>1973</v>
      </c>
      <c r="C215" s="115" t="s">
        <v>401</v>
      </c>
      <c r="D215" s="115" t="s">
        <v>110</v>
      </c>
      <c r="E215">
        <v>3450</v>
      </c>
      <c r="F215">
        <v>3430</v>
      </c>
      <c r="G215">
        <v>300</v>
      </c>
      <c r="H215" s="115" t="s">
        <v>87</v>
      </c>
      <c r="I215">
        <v>6951</v>
      </c>
      <c r="J215" s="115" t="s">
        <v>422</v>
      </c>
      <c r="K215" s="115" t="s">
        <v>118</v>
      </c>
      <c r="L215">
        <v>2950</v>
      </c>
      <c r="M215">
        <v>3005</v>
      </c>
      <c r="N215">
        <v>300</v>
      </c>
      <c r="O215" s="115" t="s">
        <v>89</v>
      </c>
      <c r="P215">
        <v>0.90673468803175195</v>
      </c>
      <c r="Q215">
        <v>0.91336587759859</v>
      </c>
      <c r="R215" s="20">
        <v>5.31840186023224E-3</v>
      </c>
      <c r="S215">
        <v>1.00399889914545E-2</v>
      </c>
      <c r="T215">
        <v>-0.27377061543843301</v>
      </c>
      <c r="U215">
        <v>0.27377061543843301</v>
      </c>
      <c r="V215">
        <v>-0.94</v>
      </c>
      <c r="W215">
        <v>12.39</v>
      </c>
      <c r="X215">
        <v>-33445</v>
      </c>
      <c r="Y215">
        <v>-1967</v>
      </c>
      <c r="Z215">
        <v>-0.08</v>
      </c>
      <c r="AA215">
        <v>17</v>
      </c>
      <c r="AB215">
        <v>9</v>
      </c>
      <c r="AC215">
        <v>8</v>
      </c>
      <c r="AD215">
        <v>52.94</v>
      </c>
      <c r="AE215">
        <v>11</v>
      </c>
      <c r="AF215">
        <v>6</v>
      </c>
      <c r="AG215">
        <v>8</v>
      </c>
      <c r="AH215">
        <v>3</v>
      </c>
    </row>
    <row r="216" spans="1:34">
      <c r="A216" s="111">
        <v>33</v>
      </c>
      <c r="B216">
        <v>5901</v>
      </c>
      <c r="C216" s="115" t="s">
        <v>418</v>
      </c>
      <c r="D216" s="115" t="s">
        <v>150</v>
      </c>
      <c r="E216">
        <v>1933</v>
      </c>
      <c r="F216">
        <v>1927</v>
      </c>
      <c r="G216">
        <v>500</v>
      </c>
      <c r="H216" s="115" t="s">
        <v>87</v>
      </c>
      <c r="I216">
        <v>7181</v>
      </c>
      <c r="J216" s="115" t="s">
        <v>189</v>
      </c>
      <c r="K216" s="115" t="s">
        <v>144</v>
      </c>
      <c r="L216">
        <v>1902</v>
      </c>
      <c r="M216">
        <v>1902</v>
      </c>
      <c r="N216">
        <v>500</v>
      </c>
      <c r="O216" s="115" t="s">
        <v>89</v>
      </c>
      <c r="P216">
        <v>0.908721470422864</v>
      </c>
      <c r="Q216">
        <v>0.94271839573823402</v>
      </c>
      <c r="R216">
        <v>9.2471420406846999E-2</v>
      </c>
      <c r="S216">
        <v>7.4524884152083803E-2</v>
      </c>
      <c r="T216">
        <v>-0.55932088276437897</v>
      </c>
      <c r="U216">
        <v>0.55932088276437897</v>
      </c>
      <c r="V216">
        <v>-1.77</v>
      </c>
      <c r="W216">
        <v>1.3</v>
      </c>
      <c r="X216">
        <v>-37153</v>
      </c>
      <c r="Y216">
        <v>-2185</v>
      </c>
      <c r="Z216">
        <v>-0.22</v>
      </c>
      <c r="AA216">
        <v>17</v>
      </c>
      <c r="AB216">
        <v>5</v>
      </c>
      <c r="AC216">
        <v>12</v>
      </c>
      <c r="AD216">
        <v>29.41</v>
      </c>
      <c r="AE216">
        <v>13</v>
      </c>
      <c r="AF216">
        <v>5</v>
      </c>
      <c r="AG216">
        <v>5</v>
      </c>
      <c r="AH216">
        <v>7</v>
      </c>
    </row>
    <row r="217" spans="1:34">
      <c r="A217" s="111">
        <v>261</v>
      </c>
      <c r="B217">
        <v>5802</v>
      </c>
      <c r="C217" s="115" t="s">
        <v>175</v>
      </c>
      <c r="D217" s="115" t="s">
        <v>176</v>
      </c>
      <c r="E217">
        <v>1576</v>
      </c>
      <c r="F217">
        <v>1580</v>
      </c>
      <c r="G217">
        <v>600</v>
      </c>
      <c r="H217" s="115" t="s">
        <v>89</v>
      </c>
      <c r="I217">
        <v>6473</v>
      </c>
      <c r="J217" s="115" t="s">
        <v>178</v>
      </c>
      <c r="K217" s="115" t="s">
        <v>133</v>
      </c>
      <c r="L217">
        <v>1397</v>
      </c>
      <c r="M217">
        <v>1375</v>
      </c>
      <c r="N217">
        <v>700</v>
      </c>
      <c r="O217" s="115" t="s">
        <v>87</v>
      </c>
      <c r="P217">
        <v>0.97975224436320596</v>
      </c>
      <c r="Q217">
        <v>0.90039378561179495</v>
      </c>
      <c r="R217">
        <v>6.2445737887739702E-2</v>
      </c>
      <c r="S217">
        <v>0.187436100461771</v>
      </c>
      <c r="T217">
        <v>3.2661686987137801</v>
      </c>
      <c r="U217">
        <v>3.2661686987137801</v>
      </c>
      <c r="V217">
        <v>5.01</v>
      </c>
      <c r="W217">
        <v>1.53</v>
      </c>
      <c r="X217">
        <v>-37728</v>
      </c>
      <c r="Y217">
        <v>-2902</v>
      </c>
      <c r="Z217">
        <v>-0.12</v>
      </c>
      <c r="AA217">
        <v>13</v>
      </c>
      <c r="AB217">
        <v>7</v>
      </c>
      <c r="AC217">
        <v>6</v>
      </c>
      <c r="AD217">
        <v>53.85</v>
      </c>
      <c r="AE217">
        <v>16</v>
      </c>
      <c r="AF217">
        <v>4</v>
      </c>
      <c r="AG217">
        <v>2</v>
      </c>
      <c r="AH217">
        <v>7</v>
      </c>
    </row>
    <row r="218" spans="1:34">
      <c r="A218" s="111">
        <v>25</v>
      </c>
      <c r="B218">
        <v>7453</v>
      </c>
      <c r="C218" s="115" t="s">
        <v>138</v>
      </c>
      <c r="D218" s="115" t="s">
        <v>128</v>
      </c>
      <c r="E218">
        <v>2496</v>
      </c>
      <c r="F218">
        <v>2480</v>
      </c>
      <c r="G218">
        <v>400</v>
      </c>
      <c r="H218" s="115" t="s">
        <v>89</v>
      </c>
      <c r="I218">
        <v>8267</v>
      </c>
      <c r="J218" s="115" t="s">
        <v>393</v>
      </c>
      <c r="K218" s="115" t="s">
        <v>128</v>
      </c>
      <c r="L218">
        <v>2271</v>
      </c>
      <c r="M218">
        <v>2239</v>
      </c>
      <c r="N218">
        <v>400</v>
      </c>
      <c r="O218" s="115" t="s">
        <v>87</v>
      </c>
      <c r="P218">
        <v>0.961617471119255</v>
      </c>
      <c r="Q218">
        <v>0.94535724564986601</v>
      </c>
      <c r="R218">
        <v>3.3296730826752101E-2</v>
      </c>
      <c r="S218">
        <v>1.41015853438047E-2</v>
      </c>
      <c r="T218">
        <v>1.44749206726088</v>
      </c>
      <c r="U218">
        <v>1.44749206726088</v>
      </c>
      <c r="V218">
        <v>7.16</v>
      </c>
      <c r="W218">
        <v>9.7200000000000006</v>
      </c>
      <c r="X218">
        <v>-41525</v>
      </c>
      <c r="Y218">
        <v>-2186</v>
      </c>
      <c r="Z218">
        <v>-0.04</v>
      </c>
      <c r="AA218">
        <v>19</v>
      </c>
      <c r="AB218">
        <v>8</v>
      </c>
      <c r="AC218">
        <v>11</v>
      </c>
      <c r="AD218">
        <v>42.11</v>
      </c>
      <c r="AE218">
        <v>12</v>
      </c>
      <c r="AF218">
        <v>5</v>
      </c>
      <c r="AG218">
        <v>3</v>
      </c>
      <c r="AH218">
        <v>11</v>
      </c>
    </row>
    <row r="219" spans="1:34">
      <c r="A219" s="111">
        <v>57</v>
      </c>
      <c r="B219">
        <v>5703</v>
      </c>
      <c r="C219" s="115" t="s">
        <v>394</v>
      </c>
      <c r="D219" s="115" t="s">
        <v>176</v>
      </c>
      <c r="E219">
        <v>228</v>
      </c>
      <c r="F219">
        <v>225</v>
      </c>
      <c r="G219">
        <v>4000</v>
      </c>
      <c r="H219" s="115" t="s">
        <v>89</v>
      </c>
      <c r="I219">
        <v>7751</v>
      </c>
      <c r="J219" s="115" t="s">
        <v>187</v>
      </c>
      <c r="K219" s="115" t="s">
        <v>118</v>
      </c>
      <c r="L219">
        <v>3020</v>
      </c>
      <c r="M219">
        <v>3023</v>
      </c>
      <c r="N219">
        <v>300</v>
      </c>
      <c r="O219" s="115" t="s">
        <v>87</v>
      </c>
      <c r="P219">
        <v>0.90833653287325999</v>
      </c>
      <c r="Q219">
        <v>0.93599852396852601</v>
      </c>
      <c r="R219">
        <v>0.16415407844492599</v>
      </c>
      <c r="S219">
        <v>6.6299098015180696E-3</v>
      </c>
      <c r="T219">
        <v>1.1602862557970499</v>
      </c>
      <c r="U219">
        <v>1.1602862557970499</v>
      </c>
      <c r="V219">
        <v>6.07</v>
      </c>
      <c r="W219">
        <v>0.76</v>
      </c>
      <c r="X219">
        <v>-45226</v>
      </c>
      <c r="Y219">
        <v>-2154</v>
      </c>
      <c r="Z219">
        <v>-0.12</v>
      </c>
      <c r="AA219">
        <v>21</v>
      </c>
      <c r="AB219">
        <v>12</v>
      </c>
      <c r="AC219">
        <v>9</v>
      </c>
      <c r="AD219">
        <v>57.14</v>
      </c>
      <c r="AE219">
        <v>13</v>
      </c>
      <c r="AF219">
        <v>4</v>
      </c>
      <c r="AG219">
        <v>6</v>
      </c>
      <c r="AH219">
        <v>11</v>
      </c>
    </row>
    <row r="220" spans="1:34">
      <c r="A220" s="111">
        <v>153</v>
      </c>
      <c r="B220">
        <v>7205</v>
      </c>
      <c r="C220" s="115" t="s">
        <v>151</v>
      </c>
      <c r="D220" s="115" t="s">
        <v>115</v>
      </c>
      <c r="E220">
        <v>1076</v>
      </c>
      <c r="F220">
        <v>1069</v>
      </c>
      <c r="G220">
        <v>1000</v>
      </c>
      <c r="H220" s="115" t="s">
        <v>89</v>
      </c>
      <c r="I220">
        <v>8002</v>
      </c>
      <c r="J220" s="115" t="s">
        <v>57</v>
      </c>
      <c r="K220" s="115" t="s">
        <v>135</v>
      </c>
      <c r="L220">
        <v>809.9</v>
      </c>
      <c r="M220">
        <v>804.8</v>
      </c>
      <c r="N220">
        <v>1300</v>
      </c>
      <c r="O220" s="115" t="s">
        <v>87</v>
      </c>
      <c r="P220">
        <v>0.95336686791494496</v>
      </c>
      <c r="Q220">
        <v>0.91486665018070601</v>
      </c>
      <c r="R220">
        <v>0.17932254410937301</v>
      </c>
      <c r="S220">
        <v>3.9979566365659899E-2</v>
      </c>
      <c r="T220">
        <v>1.36981122474233</v>
      </c>
      <c r="U220">
        <v>1.36981122474233</v>
      </c>
      <c r="V220">
        <v>4.49</v>
      </c>
      <c r="W220">
        <v>2.13</v>
      </c>
      <c r="X220">
        <v>-45838</v>
      </c>
      <c r="Y220">
        <v>-2696</v>
      </c>
      <c r="Z220">
        <v>-0.13</v>
      </c>
      <c r="AA220">
        <v>17</v>
      </c>
      <c r="AB220">
        <v>7</v>
      </c>
      <c r="AC220">
        <v>10</v>
      </c>
      <c r="AD220">
        <v>41.18</v>
      </c>
      <c r="AE220">
        <v>16</v>
      </c>
      <c r="AF220">
        <v>2</v>
      </c>
      <c r="AG220">
        <v>2</v>
      </c>
      <c r="AH220">
        <v>13</v>
      </c>
    </row>
    <row r="221" spans="1:34">
      <c r="A221" s="111">
        <v>199</v>
      </c>
      <c r="B221">
        <v>2492</v>
      </c>
      <c r="C221" s="115" t="s">
        <v>466</v>
      </c>
      <c r="D221" s="115" t="s">
        <v>155</v>
      </c>
      <c r="E221">
        <v>1953</v>
      </c>
      <c r="F221">
        <v>1955</v>
      </c>
      <c r="G221">
        <v>500</v>
      </c>
      <c r="H221" s="115" t="s">
        <v>89</v>
      </c>
      <c r="I221">
        <v>9746</v>
      </c>
      <c r="J221" s="115" t="s">
        <v>467</v>
      </c>
      <c r="K221" s="115" t="s">
        <v>110</v>
      </c>
      <c r="L221">
        <v>5100</v>
      </c>
      <c r="M221">
        <v>5100</v>
      </c>
      <c r="N221">
        <v>200</v>
      </c>
      <c r="O221" s="115" t="s">
        <v>87</v>
      </c>
      <c r="P221">
        <v>0.91258405742102</v>
      </c>
      <c r="Q221">
        <v>0.90881375930521402</v>
      </c>
      <c r="R221" s="20">
        <v>0.220485470390715</v>
      </c>
      <c r="S221">
        <v>0.27229899938586799</v>
      </c>
      <c r="T221">
        <v>1.3847471123844799</v>
      </c>
      <c r="U221">
        <v>1.3847471123844799</v>
      </c>
      <c r="V221">
        <v>6.26</v>
      </c>
      <c r="W221">
        <v>4.17</v>
      </c>
      <c r="X221">
        <v>-48312</v>
      </c>
      <c r="Y221">
        <v>-2101</v>
      </c>
      <c r="Z221">
        <v>-0.08</v>
      </c>
      <c r="AA221">
        <v>23</v>
      </c>
      <c r="AB221">
        <v>11</v>
      </c>
      <c r="AC221">
        <v>12</v>
      </c>
      <c r="AD221">
        <v>47.83</v>
      </c>
      <c r="AE221">
        <v>9</v>
      </c>
      <c r="AF221">
        <v>9</v>
      </c>
      <c r="AG221">
        <v>9</v>
      </c>
      <c r="AH221">
        <v>5</v>
      </c>
    </row>
    <row r="222" spans="1:34">
      <c r="A222" s="111">
        <v>162</v>
      </c>
      <c r="B222">
        <v>3148</v>
      </c>
      <c r="C222" s="115" t="s">
        <v>384</v>
      </c>
      <c r="D222" s="115" t="s">
        <v>128</v>
      </c>
      <c r="E222">
        <v>2730</v>
      </c>
      <c r="F222">
        <v>2676</v>
      </c>
      <c r="G222">
        <v>400</v>
      </c>
      <c r="H222" s="115" t="s">
        <v>87</v>
      </c>
      <c r="I222">
        <v>8267</v>
      </c>
      <c r="J222" s="115" t="s">
        <v>393</v>
      </c>
      <c r="K222" s="115" t="s">
        <v>128</v>
      </c>
      <c r="L222">
        <v>2271</v>
      </c>
      <c r="M222">
        <v>2239</v>
      </c>
      <c r="N222">
        <v>500</v>
      </c>
      <c r="O222" s="115" t="s">
        <v>89</v>
      </c>
      <c r="P222">
        <v>0.96936475492728202</v>
      </c>
      <c r="Q222">
        <v>0.91350621930734699</v>
      </c>
      <c r="R222" s="20">
        <v>2.4405519990027699E-2</v>
      </c>
      <c r="S222">
        <v>0.10696115579613499</v>
      </c>
      <c r="T222">
        <v>-1.6890891314649601</v>
      </c>
      <c r="U222">
        <v>1.6890891314649601</v>
      </c>
      <c r="V222">
        <v>-3.24</v>
      </c>
      <c r="W222">
        <v>4.59</v>
      </c>
      <c r="X222">
        <v>-57289</v>
      </c>
      <c r="Y222">
        <v>-3819</v>
      </c>
      <c r="Z222">
        <v>-0.22</v>
      </c>
      <c r="AA222">
        <v>15</v>
      </c>
      <c r="AB222">
        <v>6</v>
      </c>
      <c r="AC222">
        <v>9</v>
      </c>
      <c r="AD222">
        <v>40</v>
      </c>
      <c r="AE222">
        <v>15</v>
      </c>
      <c r="AF222">
        <v>2</v>
      </c>
      <c r="AG222">
        <v>2</v>
      </c>
      <c r="AH222">
        <v>11</v>
      </c>
    </row>
    <row r="223" spans="1:34">
      <c r="A223" s="111">
        <v>250</v>
      </c>
      <c r="B223">
        <v>1808</v>
      </c>
      <c r="C223" s="115" t="s">
        <v>441</v>
      </c>
      <c r="D223" s="115" t="s">
        <v>108</v>
      </c>
      <c r="E223">
        <v>1416</v>
      </c>
      <c r="F223">
        <v>1404</v>
      </c>
      <c r="G223">
        <v>700</v>
      </c>
      <c r="H223" s="115" t="s">
        <v>87</v>
      </c>
      <c r="I223">
        <v>4204</v>
      </c>
      <c r="J223" s="115" t="s">
        <v>426</v>
      </c>
      <c r="K223" s="115" t="s">
        <v>88</v>
      </c>
      <c r="L223">
        <v>1920</v>
      </c>
      <c r="M223">
        <v>1909</v>
      </c>
      <c r="N223">
        <v>500</v>
      </c>
      <c r="O223" s="115" t="s">
        <v>89</v>
      </c>
      <c r="P223">
        <v>0.95700826173875597</v>
      </c>
      <c r="Q223">
        <v>0.90205556096800299</v>
      </c>
      <c r="R223">
        <v>0.27052679628036103</v>
      </c>
      <c r="S223">
        <v>4.7635214885245102E-2</v>
      </c>
      <c r="T223">
        <v>-0.279056785596701</v>
      </c>
      <c r="U223">
        <v>0.279056785596701</v>
      </c>
      <c r="V223">
        <v>-0.72</v>
      </c>
      <c r="W223">
        <v>2.96</v>
      </c>
      <c r="X223">
        <v>-60953</v>
      </c>
      <c r="Y223">
        <v>-4354</v>
      </c>
      <c r="Z223">
        <v>-0.26</v>
      </c>
      <c r="AA223">
        <v>14</v>
      </c>
      <c r="AB223">
        <v>6</v>
      </c>
      <c r="AC223">
        <v>8</v>
      </c>
      <c r="AD223">
        <v>42.86</v>
      </c>
      <c r="AE223">
        <v>15</v>
      </c>
      <c r="AF223">
        <v>2</v>
      </c>
      <c r="AG223">
        <v>2</v>
      </c>
      <c r="AH223">
        <v>10</v>
      </c>
    </row>
    <row r="224" spans="1:34">
      <c r="A224" s="111">
        <v>71</v>
      </c>
      <c r="B224">
        <v>6457</v>
      </c>
      <c r="C224" s="115" t="s">
        <v>406</v>
      </c>
      <c r="D224" s="115" t="s">
        <v>133</v>
      </c>
      <c r="E224">
        <v>3345</v>
      </c>
      <c r="F224">
        <v>3305</v>
      </c>
      <c r="G224">
        <v>200</v>
      </c>
      <c r="H224" s="115" t="s">
        <v>89</v>
      </c>
      <c r="I224">
        <v>7203</v>
      </c>
      <c r="J224" s="115" t="s">
        <v>437</v>
      </c>
      <c r="K224" s="115" t="s">
        <v>115</v>
      </c>
      <c r="L224">
        <v>7788</v>
      </c>
      <c r="M224">
        <v>7708</v>
      </c>
      <c r="N224">
        <v>100</v>
      </c>
      <c r="O224" s="115" t="s">
        <v>87</v>
      </c>
      <c r="P224">
        <v>0.96098011561305996</v>
      </c>
      <c r="Q224">
        <v>0.93214824895596604</v>
      </c>
      <c r="R224">
        <v>8.58997189422602E-2</v>
      </c>
      <c r="S224">
        <v>5.5152274039253699E-2</v>
      </c>
      <c r="T224">
        <v>1.1884510055048101</v>
      </c>
      <c r="U224">
        <v>1.1884510055048101</v>
      </c>
      <c r="V224">
        <v>2.15</v>
      </c>
      <c r="W224">
        <v>14.24</v>
      </c>
      <c r="X224">
        <v>-61118</v>
      </c>
      <c r="Y224">
        <v>-12224</v>
      </c>
      <c r="Z224">
        <v>-0.8</v>
      </c>
      <c r="AA224">
        <v>5</v>
      </c>
      <c r="AB224">
        <v>2</v>
      </c>
      <c r="AC224">
        <v>3</v>
      </c>
      <c r="AD224">
        <v>40</v>
      </c>
      <c r="AE224">
        <v>14</v>
      </c>
      <c r="AF224">
        <v>2</v>
      </c>
      <c r="AG224">
        <v>3</v>
      </c>
      <c r="AH224">
        <v>0</v>
      </c>
    </row>
    <row r="225" spans="1:34">
      <c r="A225" s="111">
        <v>108</v>
      </c>
      <c r="B225">
        <v>4182</v>
      </c>
      <c r="C225" s="115" t="s">
        <v>119</v>
      </c>
      <c r="D225" s="115" t="s">
        <v>88</v>
      </c>
      <c r="E225">
        <v>1680</v>
      </c>
      <c r="F225">
        <v>1641</v>
      </c>
      <c r="G225">
        <v>600</v>
      </c>
      <c r="H225" s="115" t="s">
        <v>89</v>
      </c>
      <c r="I225">
        <v>7267</v>
      </c>
      <c r="J225" s="115" t="s">
        <v>153</v>
      </c>
      <c r="K225" s="115" t="s">
        <v>115</v>
      </c>
      <c r="L225">
        <v>3147</v>
      </c>
      <c r="M225">
        <v>3109</v>
      </c>
      <c r="N225">
        <v>300</v>
      </c>
      <c r="O225" s="115" t="s">
        <v>87</v>
      </c>
      <c r="P225">
        <v>0.949556634777588</v>
      </c>
      <c r="Q225">
        <v>0.92338807332574502</v>
      </c>
      <c r="R225" s="20">
        <v>4.8982757882533298E-2</v>
      </c>
      <c r="S225">
        <v>2.5781290523059101E-2</v>
      </c>
      <c r="T225">
        <v>1.0600010721940101</v>
      </c>
      <c r="U225">
        <v>1.0600010721940101</v>
      </c>
      <c r="V225">
        <v>3.58</v>
      </c>
      <c r="W225">
        <v>5.56</v>
      </c>
      <c r="X225">
        <v>-68114</v>
      </c>
      <c r="Y225">
        <v>-4257</v>
      </c>
      <c r="Z225">
        <v>-0.3</v>
      </c>
      <c r="AA225">
        <v>16</v>
      </c>
      <c r="AB225">
        <v>10</v>
      </c>
      <c r="AC225">
        <v>6</v>
      </c>
      <c r="AD225">
        <v>62.5</v>
      </c>
      <c r="AE225">
        <v>14</v>
      </c>
      <c r="AF225">
        <v>4</v>
      </c>
      <c r="AG225">
        <v>4</v>
      </c>
      <c r="AH225">
        <v>8</v>
      </c>
    </row>
    <row r="226" spans="1:34">
      <c r="A226" s="111">
        <v>259</v>
      </c>
      <c r="B226">
        <v>4182</v>
      </c>
      <c r="C226" s="115" t="s">
        <v>119</v>
      </c>
      <c r="D226" s="115" t="s">
        <v>88</v>
      </c>
      <c r="E226">
        <v>1680</v>
      </c>
      <c r="F226">
        <v>1641</v>
      </c>
      <c r="G226">
        <v>600</v>
      </c>
      <c r="H226" s="115" t="s">
        <v>89</v>
      </c>
      <c r="I226">
        <v>7167</v>
      </c>
      <c r="J226" s="115" t="s">
        <v>134</v>
      </c>
      <c r="K226" s="115" t="s">
        <v>113</v>
      </c>
      <c r="L226">
        <v>290</v>
      </c>
      <c r="M226">
        <v>283</v>
      </c>
      <c r="N226">
        <v>3500</v>
      </c>
      <c r="O226" s="115" t="s">
        <v>87</v>
      </c>
      <c r="P226">
        <v>0.95450924188981701</v>
      </c>
      <c r="Q226">
        <v>0.90110419341373904</v>
      </c>
      <c r="R226">
        <v>0.146673508787456</v>
      </c>
      <c r="S226">
        <v>0.280516911222428</v>
      </c>
      <c r="T226">
        <v>1.4795255985845901</v>
      </c>
      <c r="U226">
        <v>1.4795255985845901</v>
      </c>
      <c r="V226">
        <v>5.86</v>
      </c>
      <c r="W226">
        <v>0.6</v>
      </c>
      <c r="X226">
        <v>-68832</v>
      </c>
      <c r="Y226">
        <v>-3824</v>
      </c>
      <c r="Z226">
        <v>-0.24</v>
      </c>
      <c r="AA226">
        <v>18</v>
      </c>
      <c r="AB226">
        <v>10</v>
      </c>
      <c r="AC226">
        <v>8</v>
      </c>
      <c r="AD226">
        <v>55.56</v>
      </c>
      <c r="AE226">
        <v>15</v>
      </c>
      <c r="AF226">
        <v>3</v>
      </c>
      <c r="AG226">
        <v>4</v>
      </c>
      <c r="AH226">
        <v>11</v>
      </c>
    </row>
    <row r="227" spans="1:34">
      <c r="A227" s="111">
        <v>54</v>
      </c>
      <c r="B227">
        <v>1860</v>
      </c>
      <c r="C227" s="115" t="s">
        <v>145</v>
      </c>
      <c r="D227" s="115" t="s">
        <v>108</v>
      </c>
      <c r="E227">
        <v>682</v>
      </c>
      <c r="F227">
        <v>670</v>
      </c>
      <c r="G227">
        <v>1400</v>
      </c>
      <c r="H227" s="115" t="s">
        <v>87</v>
      </c>
      <c r="I227">
        <v>5802</v>
      </c>
      <c r="J227" s="115" t="s">
        <v>175</v>
      </c>
      <c r="K227" s="115" t="s">
        <v>176</v>
      </c>
      <c r="L227">
        <v>1576</v>
      </c>
      <c r="M227">
        <v>1580</v>
      </c>
      <c r="N227">
        <v>600</v>
      </c>
      <c r="O227" s="115" t="s">
        <v>89</v>
      </c>
      <c r="P227">
        <v>0.95901108946586699</v>
      </c>
      <c r="Q227">
        <v>0.93698941221764098</v>
      </c>
      <c r="R227">
        <v>2.6665804101015499E-2</v>
      </c>
      <c r="S227">
        <v>2.32223187341114E-3</v>
      </c>
      <c r="T227">
        <v>-2.6432364372913999</v>
      </c>
      <c r="U227">
        <v>2.6432364372913999</v>
      </c>
      <c r="V227">
        <v>-7.02</v>
      </c>
      <c r="W227">
        <v>1.05</v>
      </c>
      <c r="X227">
        <v>-73660</v>
      </c>
      <c r="Y227">
        <v>-4333</v>
      </c>
      <c r="Z227">
        <v>-0.2</v>
      </c>
      <c r="AA227">
        <v>17</v>
      </c>
      <c r="AB227">
        <v>7</v>
      </c>
      <c r="AC227">
        <v>10</v>
      </c>
      <c r="AD227">
        <v>41.18</v>
      </c>
      <c r="AE227">
        <v>13</v>
      </c>
      <c r="AF227">
        <v>6</v>
      </c>
      <c r="AG227">
        <v>4</v>
      </c>
      <c r="AH227">
        <v>7</v>
      </c>
    </row>
    <row r="228" spans="1:34">
      <c r="A228" s="111">
        <v>15</v>
      </c>
      <c r="B228">
        <v>5802</v>
      </c>
      <c r="C228" s="115" t="s">
        <v>175</v>
      </c>
      <c r="D228" s="115" t="s">
        <v>176</v>
      </c>
      <c r="E228">
        <v>1576</v>
      </c>
      <c r="F228">
        <v>1580</v>
      </c>
      <c r="G228">
        <v>600</v>
      </c>
      <c r="H228" s="115" t="s">
        <v>89</v>
      </c>
      <c r="I228">
        <v>8002</v>
      </c>
      <c r="J228" s="115" t="s">
        <v>57</v>
      </c>
      <c r="K228" s="115" t="s">
        <v>135</v>
      </c>
      <c r="L228">
        <v>809.9</v>
      </c>
      <c r="M228">
        <v>804.8</v>
      </c>
      <c r="N228">
        <v>1200</v>
      </c>
      <c r="O228" s="115" t="s">
        <v>87</v>
      </c>
      <c r="P228">
        <v>0.96300706994641905</v>
      </c>
      <c r="Q228">
        <v>0.95211289627504803</v>
      </c>
      <c r="R228">
        <v>0.270964948486212</v>
      </c>
      <c r="S228">
        <v>5.1851788489459798E-3</v>
      </c>
      <c r="T228">
        <v>1.3206920431037099</v>
      </c>
      <c r="U228">
        <v>1.3206920431037099</v>
      </c>
      <c r="V228">
        <v>3.59</v>
      </c>
      <c r="W228">
        <v>1.87</v>
      </c>
      <c r="X228">
        <v>-78530</v>
      </c>
      <c r="Y228">
        <v>-4619</v>
      </c>
      <c r="Z228">
        <v>-0.22</v>
      </c>
      <c r="AA228">
        <v>17</v>
      </c>
      <c r="AB228">
        <v>7</v>
      </c>
      <c r="AC228">
        <v>10</v>
      </c>
      <c r="AD228">
        <v>41.18</v>
      </c>
      <c r="AE228">
        <v>15</v>
      </c>
      <c r="AF228">
        <v>3</v>
      </c>
      <c r="AG228">
        <v>2</v>
      </c>
      <c r="AH228">
        <v>12</v>
      </c>
    </row>
    <row r="229" spans="1:34">
      <c r="A229" s="111">
        <v>88</v>
      </c>
      <c r="B229">
        <v>6752</v>
      </c>
      <c r="C229" s="115" t="s">
        <v>139</v>
      </c>
      <c r="D229" s="115" t="s">
        <v>118</v>
      </c>
      <c r="E229">
        <v>978.8</v>
      </c>
      <c r="F229">
        <v>981</v>
      </c>
      <c r="G229">
        <v>1000</v>
      </c>
      <c r="H229" s="115" t="s">
        <v>89</v>
      </c>
      <c r="I229">
        <v>8795</v>
      </c>
      <c r="J229" s="115" t="s">
        <v>185</v>
      </c>
      <c r="K229" s="115" t="s">
        <v>144</v>
      </c>
      <c r="L229">
        <v>1275</v>
      </c>
      <c r="M229">
        <v>1251</v>
      </c>
      <c r="N229">
        <v>800</v>
      </c>
      <c r="O229" s="115" t="s">
        <v>87</v>
      </c>
      <c r="P229">
        <v>0.94198466408381498</v>
      </c>
      <c r="Q229">
        <v>0.92787318648886896</v>
      </c>
      <c r="R229">
        <v>4.1288095870713602E-2</v>
      </c>
      <c r="S229">
        <v>8.0609812096784E-2</v>
      </c>
      <c r="T229">
        <v>0.42874183476508598</v>
      </c>
      <c r="U229">
        <v>0.42874183476508598</v>
      </c>
      <c r="V229">
        <v>1.26</v>
      </c>
      <c r="W229">
        <v>1.98</v>
      </c>
      <c r="X229">
        <v>-86216</v>
      </c>
      <c r="Y229">
        <v>-5388</v>
      </c>
      <c r="Z229">
        <v>-0.22</v>
      </c>
      <c r="AA229">
        <v>16</v>
      </c>
      <c r="AB229">
        <v>6</v>
      </c>
      <c r="AC229">
        <v>10</v>
      </c>
      <c r="AD229">
        <v>37.5</v>
      </c>
      <c r="AE229">
        <v>14</v>
      </c>
      <c r="AF229">
        <v>4</v>
      </c>
      <c r="AG229">
        <v>5</v>
      </c>
      <c r="AH229">
        <v>7</v>
      </c>
    </row>
    <row r="230" spans="1:34">
      <c r="A230" s="111">
        <v>184</v>
      </c>
      <c r="B230">
        <v>5334</v>
      </c>
      <c r="C230" s="115" t="s">
        <v>389</v>
      </c>
      <c r="D230" s="115" t="s">
        <v>140</v>
      </c>
      <c r="E230">
        <v>2209</v>
      </c>
      <c r="F230">
        <v>2189</v>
      </c>
      <c r="G230">
        <v>400</v>
      </c>
      <c r="H230" s="115" t="s">
        <v>89</v>
      </c>
      <c r="I230">
        <v>6923</v>
      </c>
      <c r="J230" s="115" t="s">
        <v>146</v>
      </c>
      <c r="K230" s="115" t="s">
        <v>118</v>
      </c>
      <c r="L230">
        <v>3050</v>
      </c>
      <c r="M230">
        <v>3010</v>
      </c>
      <c r="N230">
        <v>300</v>
      </c>
      <c r="O230" s="115" t="s">
        <v>87</v>
      </c>
      <c r="P230">
        <v>0.95620874217021501</v>
      </c>
      <c r="Q230">
        <v>0.91118498599494302</v>
      </c>
      <c r="R230">
        <v>0.12933590459642899</v>
      </c>
      <c r="S230">
        <v>8.9735305258860407E-2</v>
      </c>
      <c r="T230">
        <v>0.43055857562962802</v>
      </c>
      <c r="U230">
        <v>0.43055857562962802</v>
      </c>
      <c r="V230">
        <v>1.1200000000000001</v>
      </c>
      <c r="W230">
        <v>3.03</v>
      </c>
      <c r="X230">
        <v>-100321</v>
      </c>
      <c r="Y230">
        <v>-7717</v>
      </c>
      <c r="Z230">
        <v>-0.36</v>
      </c>
      <c r="AA230">
        <v>13</v>
      </c>
      <c r="AB230">
        <v>7</v>
      </c>
      <c r="AC230">
        <v>6</v>
      </c>
      <c r="AD230">
        <v>53.85</v>
      </c>
      <c r="AE230">
        <v>13</v>
      </c>
      <c r="AF230">
        <v>3</v>
      </c>
      <c r="AG230">
        <v>3</v>
      </c>
      <c r="AH230">
        <v>7</v>
      </c>
    </row>
    <row r="231" spans="1:34">
      <c r="A231" s="111">
        <v>82</v>
      </c>
      <c r="B231">
        <v>5401</v>
      </c>
      <c r="C231" s="115" t="s">
        <v>439</v>
      </c>
      <c r="D231" s="115" t="s">
        <v>125</v>
      </c>
      <c r="E231">
        <v>1630</v>
      </c>
      <c r="F231">
        <v>1617.5</v>
      </c>
      <c r="G231">
        <v>500</v>
      </c>
      <c r="H231" s="115" t="s">
        <v>87</v>
      </c>
      <c r="I231">
        <v>8058</v>
      </c>
      <c r="J231" s="115" t="s">
        <v>449</v>
      </c>
      <c r="K231" s="115" t="s">
        <v>135</v>
      </c>
      <c r="L231">
        <v>2910</v>
      </c>
      <c r="M231">
        <v>2878.5</v>
      </c>
      <c r="N231">
        <v>300</v>
      </c>
      <c r="O231" s="115" t="s">
        <v>89</v>
      </c>
      <c r="P231">
        <v>0.90975067589484504</v>
      </c>
      <c r="Q231">
        <v>0.92945229361061499</v>
      </c>
      <c r="R231">
        <v>0.23059864020705201</v>
      </c>
      <c r="S231">
        <v>0.17917318570798599</v>
      </c>
      <c r="T231">
        <v>-0.35711801279932198</v>
      </c>
      <c r="U231">
        <v>0.35711801279932198</v>
      </c>
      <c r="V231">
        <v>-0.49</v>
      </c>
      <c r="W231">
        <v>6.35</v>
      </c>
      <c r="X231">
        <v>-100739</v>
      </c>
      <c r="Y231">
        <v>-7196</v>
      </c>
      <c r="Z231">
        <v>-0.39</v>
      </c>
      <c r="AA231">
        <v>14</v>
      </c>
      <c r="AB231">
        <v>5</v>
      </c>
      <c r="AC231">
        <v>9</v>
      </c>
      <c r="AD231">
        <v>35.71</v>
      </c>
      <c r="AE231">
        <v>15</v>
      </c>
      <c r="AF231">
        <v>4</v>
      </c>
      <c r="AG231">
        <v>2</v>
      </c>
      <c r="AH231">
        <v>8</v>
      </c>
    </row>
    <row r="232" spans="1:34">
      <c r="A232" s="111">
        <v>120</v>
      </c>
      <c r="B232">
        <v>8410</v>
      </c>
      <c r="C232" s="115" t="s">
        <v>387</v>
      </c>
      <c r="D232" s="115" t="s">
        <v>113</v>
      </c>
      <c r="E232">
        <v>337</v>
      </c>
      <c r="F232">
        <v>338</v>
      </c>
      <c r="G232">
        <v>3200</v>
      </c>
      <c r="H232" s="115" t="s">
        <v>89</v>
      </c>
      <c r="I232">
        <v>9412</v>
      </c>
      <c r="J232" s="115" t="s">
        <v>109</v>
      </c>
      <c r="K232" s="115" t="s">
        <v>110</v>
      </c>
      <c r="L232">
        <v>475</v>
      </c>
      <c r="M232">
        <v>471</v>
      </c>
      <c r="N232">
        <v>2300</v>
      </c>
      <c r="O232" s="115" t="s">
        <v>87</v>
      </c>
      <c r="P232">
        <v>0.94151411680879904</v>
      </c>
      <c r="Q232">
        <v>0.91994097815907805</v>
      </c>
      <c r="R232">
        <v>1.03059890289374E-3</v>
      </c>
      <c r="S232">
        <v>2.8277217860098999E-4</v>
      </c>
      <c r="T232">
        <v>1.71259313599357</v>
      </c>
      <c r="U232">
        <v>1.71259313599357</v>
      </c>
      <c r="V232">
        <v>4.87</v>
      </c>
      <c r="W232">
        <v>0.16</v>
      </c>
      <c r="X232">
        <v>-101553</v>
      </c>
      <c r="Y232">
        <v>-5345</v>
      </c>
      <c r="Z232">
        <v>-0.25</v>
      </c>
      <c r="AA232">
        <v>19</v>
      </c>
      <c r="AB232">
        <v>8</v>
      </c>
      <c r="AC232">
        <v>11</v>
      </c>
      <c r="AD232">
        <v>42.11</v>
      </c>
      <c r="AE232">
        <v>14</v>
      </c>
      <c r="AF232">
        <v>5</v>
      </c>
      <c r="AG232">
        <v>2</v>
      </c>
      <c r="AH232">
        <v>12</v>
      </c>
    </row>
    <row r="233" spans="1:34">
      <c r="A233" s="111">
        <v>187</v>
      </c>
      <c r="B233">
        <v>1911</v>
      </c>
      <c r="C233" s="115" t="s">
        <v>137</v>
      </c>
      <c r="D233" s="115" t="s">
        <v>108</v>
      </c>
      <c r="E233">
        <v>1615</v>
      </c>
      <c r="F233">
        <v>1588</v>
      </c>
      <c r="G233">
        <v>700</v>
      </c>
      <c r="H233" s="115" t="s">
        <v>89</v>
      </c>
      <c r="I233">
        <v>4634</v>
      </c>
      <c r="J233" s="115" t="s">
        <v>192</v>
      </c>
      <c r="K233" s="115" t="s">
        <v>88</v>
      </c>
      <c r="L233">
        <v>2715</v>
      </c>
      <c r="M233">
        <v>2684</v>
      </c>
      <c r="N233">
        <v>400</v>
      </c>
      <c r="O233" s="115" t="s">
        <v>87</v>
      </c>
      <c r="P233">
        <v>0.98114047286531103</v>
      </c>
      <c r="Q233">
        <v>0.91083148692885296</v>
      </c>
      <c r="R233" s="20">
        <v>0.18250572031505299</v>
      </c>
      <c r="S233">
        <v>0.313916452267612</v>
      </c>
      <c r="T233">
        <v>0.38497082645495201</v>
      </c>
      <c r="U233">
        <v>0.38497082645495201</v>
      </c>
      <c r="V233">
        <v>0.67</v>
      </c>
      <c r="W233">
        <v>3.54</v>
      </c>
      <c r="X233">
        <v>-104038</v>
      </c>
      <c r="Y233">
        <v>-6502</v>
      </c>
      <c r="Z233">
        <v>-0.38</v>
      </c>
      <c r="AA233">
        <v>16</v>
      </c>
      <c r="AB233">
        <v>6</v>
      </c>
      <c r="AC233">
        <v>10</v>
      </c>
      <c r="AD233">
        <v>37.5</v>
      </c>
      <c r="AE233">
        <v>15</v>
      </c>
      <c r="AF233">
        <v>2</v>
      </c>
      <c r="AG233">
        <v>2</v>
      </c>
      <c r="AH233">
        <v>12</v>
      </c>
    </row>
    <row r="234" spans="1:34">
      <c r="A234" s="111">
        <v>236</v>
      </c>
      <c r="B234">
        <v>5803</v>
      </c>
      <c r="C234" s="115" t="s">
        <v>54</v>
      </c>
      <c r="D234" s="115" t="s">
        <v>176</v>
      </c>
      <c r="E234">
        <v>467</v>
      </c>
      <c r="F234">
        <v>464</v>
      </c>
      <c r="G234">
        <v>2000</v>
      </c>
      <c r="H234" s="115" t="s">
        <v>87</v>
      </c>
      <c r="I234">
        <v>7272</v>
      </c>
      <c r="J234" s="115" t="s">
        <v>385</v>
      </c>
      <c r="K234" s="115" t="s">
        <v>115</v>
      </c>
      <c r="L234">
        <v>2295</v>
      </c>
      <c r="M234">
        <v>2285</v>
      </c>
      <c r="N234">
        <v>400</v>
      </c>
      <c r="O234" s="115" t="s">
        <v>89</v>
      </c>
      <c r="P234">
        <v>0.93248090134661599</v>
      </c>
      <c r="Q234">
        <v>0.90378712526077498</v>
      </c>
      <c r="R234">
        <v>0.36902215383665998</v>
      </c>
      <c r="S234">
        <v>0.11807672383712201</v>
      </c>
      <c r="T234">
        <v>-0.33433225965686802</v>
      </c>
      <c r="U234">
        <v>0.33433225965686802</v>
      </c>
      <c r="V234">
        <v>-1.93</v>
      </c>
      <c r="W234">
        <v>1.53</v>
      </c>
      <c r="X234">
        <v>-106056</v>
      </c>
      <c r="Y234">
        <v>-6628</v>
      </c>
      <c r="Z234">
        <v>-0.43</v>
      </c>
      <c r="AA234">
        <v>16</v>
      </c>
      <c r="AB234">
        <v>10</v>
      </c>
      <c r="AC234">
        <v>6</v>
      </c>
      <c r="AD234">
        <v>62.5</v>
      </c>
      <c r="AE234">
        <v>12</v>
      </c>
      <c r="AF234">
        <v>6</v>
      </c>
      <c r="AG234">
        <v>5</v>
      </c>
      <c r="AH234">
        <v>5</v>
      </c>
    </row>
    <row r="235" spans="1:34">
      <c r="A235" s="111">
        <v>258</v>
      </c>
      <c r="B235">
        <v>3291</v>
      </c>
      <c r="C235" s="115" t="s">
        <v>147</v>
      </c>
      <c r="D235" s="115" t="s">
        <v>148</v>
      </c>
      <c r="E235">
        <v>1908</v>
      </c>
      <c r="F235">
        <v>1894</v>
      </c>
      <c r="G235">
        <v>500</v>
      </c>
      <c r="H235" s="115" t="s">
        <v>89</v>
      </c>
      <c r="I235">
        <v>7202</v>
      </c>
      <c r="J235" s="115" t="s">
        <v>181</v>
      </c>
      <c r="K235" s="115" t="s">
        <v>115</v>
      </c>
      <c r="L235">
        <v>1313.5</v>
      </c>
      <c r="M235">
        <v>1304.5</v>
      </c>
      <c r="N235">
        <v>700</v>
      </c>
      <c r="O235" s="115" t="s">
        <v>87</v>
      </c>
      <c r="P235">
        <v>0.91020535816460502</v>
      </c>
      <c r="Q235">
        <v>0.90112108475675601</v>
      </c>
      <c r="R235">
        <v>8.3770119117582101E-2</v>
      </c>
      <c r="S235">
        <v>4.9466956457419303E-2</v>
      </c>
      <c r="T235">
        <v>5.6094660741663298E-2</v>
      </c>
      <c r="U235">
        <v>5.6094660741663298E-2</v>
      </c>
      <c r="V235">
        <v>0.12</v>
      </c>
      <c r="W235">
        <v>3.57</v>
      </c>
      <c r="X235">
        <v>-108849</v>
      </c>
      <c r="Y235">
        <v>-6403</v>
      </c>
      <c r="Z235">
        <v>-0.31</v>
      </c>
      <c r="AA235">
        <v>17</v>
      </c>
      <c r="AB235">
        <v>9</v>
      </c>
      <c r="AC235">
        <v>8</v>
      </c>
      <c r="AD235">
        <v>52.94</v>
      </c>
      <c r="AE235">
        <v>12</v>
      </c>
      <c r="AF235">
        <v>3</v>
      </c>
      <c r="AG235">
        <v>6</v>
      </c>
      <c r="AH235">
        <v>8</v>
      </c>
    </row>
    <row r="236" spans="1:34">
      <c r="A236" s="111">
        <v>155</v>
      </c>
      <c r="B236">
        <v>4202</v>
      </c>
      <c r="C236" s="115" t="s">
        <v>121</v>
      </c>
      <c r="D236" s="115" t="s">
        <v>88</v>
      </c>
      <c r="E236">
        <v>1117</v>
      </c>
      <c r="F236">
        <v>1098</v>
      </c>
      <c r="G236">
        <v>700</v>
      </c>
      <c r="H236" s="115" t="s">
        <v>89</v>
      </c>
      <c r="I236">
        <v>6371</v>
      </c>
      <c r="J236" s="115" t="s">
        <v>142</v>
      </c>
      <c r="K236" s="115" t="s">
        <v>133</v>
      </c>
      <c r="L236">
        <v>3830</v>
      </c>
      <c r="M236">
        <v>3770</v>
      </c>
      <c r="N236">
        <v>200</v>
      </c>
      <c r="O236" s="115" t="s">
        <v>87</v>
      </c>
      <c r="P236">
        <v>0.95124523719806997</v>
      </c>
      <c r="Q236">
        <v>0.91457338437120705</v>
      </c>
      <c r="R236">
        <v>0.20932828735074999</v>
      </c>
      <c r="S236">
        <v>0.199567923878294</v>
      </c>
      <c r="T236">
        <v>1.8771989653350001</v>
      </c>
      <c r="U236">
        <v>1.8771989653350001</v>
      </c>
      <c r="V236">
        <v>8.39</v>
      </c>
      <c r="W236">
        <v>1.94</v>
      </c>
      <c r="X236">
        <v>-110166</v>
      </c>
      <c r="Y236">
        <v>-6885</v>
      </c>
      <c r="Z236">
        <v>-0.47</v>
      </c>
      <c r="AA236">
        <v>16</v>
      </c>
      <c r="AB236">
        <v>5</v>
      </c>
      <c r="AC236">
        <v>11</v>
      </c>
      <c r="AD236">
        <v>31.25</v>
      </c>
      <c r="AE236">
        <v>14</v>
      </c>
      <c r="AF236">
        <v>3</v>
      </c>
      <c r="AG236">
        <v>5</v>
      </c>
      <c r="AH236">
        <v>8</v>
      </c>
    </row>
    <row r="237" spans="1:34">
      <c r="A237" s="111">
        <v>132</v>
      </c>
      <c r="B237">
        <v>6702</v>
      </c>
      <c r="C237" s="115" t="s">
        <v>447</v>
      </c>
      <c r="D237" s="115" t="s">
        <v>118</v>
      </c>
      <c r="E237">
        <v>9879</v>
      </c>
      <c r="F237">
        <v>9802</v>
      </c>
      <c r="G237">
        <v>100</v>
      </c>
      <c r="H237" s="115" t="s">
        <v>89</v>
      </c>
      <c r="I237">
        <v>6845</v>
      </c>
      <c r="J237" s="115" t="s">
        <v>396</v>
      </c>
      <c r="K237" s="115" t="s">
        <v>118</v>
      </c>
      <c r="L237">
        <v>3140</v>
      </c>
      <c r="M237">
        <v>3125</v>
      </c>
      <c r="N237">
        <v>300</v>
      </c>
      <c r="O237" s="115" t="s">
        <v>87</v>
      </c>
      <c r="P237">
        <v>0.92069100419146299</v>
      </c>
      <c r="Q237">
        <v>0.91788202683842102</v>
      </c>
      <c r="R237" s="20">
        <v>9.0409562826600301E-2</v>
      </c>
      <c r="S237">
        <v>1.6819155412108801E-2</v>
      </c>
      <c r="T237">
        <v>1.1666101149833299</v>
      </c>
      <c r="U237">
        <v>1.1666101149833299</v>
      </c>
      <c r="V237">
        <v>2.79</v>
      </c>
      <c r="W237">
        <v>4.3600000000000003</v>
      </c>
      <c r="X237">
        <v>-115725</v>
      </c>
      <c r="Y237">
        <v>-9644</v>
      </c>
      <c r="Z237">
        <v>-0.71</v>
      </c>
      <c r="AA237">
        <v>12</v>
      </c>
      <c r="AB237">
        <v>5</v>
      </c>
      <c r="AC237">
        <v>7</v>
      </c>
      <c r="AD237">
        <v>41.67</v>
      </c>
      <c r="AE237">
        <v>13</v>
      </c>
      <c r="AF237">
        <v>4</v>
      </c>
      <c r="AG237">
        <v>3</v>
      </c>
      <c r="AH237">
        <v>5</v>
      </c>
    </row>
    <row r="238" spans="1:34">
      <c r="A238" s="111">
        <v>248</v>
      </c>
      <c r="B238">
        <v>4182</v>
      </c>
      <c r="C238" s="115" t="s">
        <v>119</v>
      </c>
      <c r="D238" s="115" t="s">
        <v>88</v>
      </c>
      <c r="E238">
        <v>1680</v>
      </c>
      <c r="F238">
        <v>1641</v>
      </c>
      <c r="G238">
        <v>600</v>
      </c>
      <c r="H238" s="115" t="s">
        <v>89</v>
      </c>
      <c r="I238">
        <v>8410</v>
      </c>
      <c r="J238" s="115" t="s">
        <v>387</v>
      </c>
      <c r="K238" s="115" t="s">
        <v>113</v>
      </c>
      <c r="L238">
        <v>337</v>
      </c>
      <c r="M238">
        <v>338</v>
      </c>
      <c r="N238">
        <v>2900</v>
      </c>
      <c r="O238" s="115" t="s">
        <v>87</v>
      </c>
      <c r="P238">
        <v>0.96489986477246203</v>
      </c>
      <c r="Q238">
        <v>0.90229030865334103</v>
      </c>
      <c r="R238">
        <v>0.16310306653929299</v>
      </c>
      <c r="S238">
        <v>4.7628474907921098E-3</v>
      </c>
      <c r="T238">
        <v>0.38873159212416902</v>
      </c>
      <c r="U238">
        <v>0.38873159212416902</v>
      </c>
      <c r="V238">
        <v>1.83</v>
      </c>
      <c r="W238">
        <v>0.45</v>
      </c>
      <c r="X238">
        <v>-116513</v>
      </c>
      <c r="Y238">
        <v>-7282</v>
      </c>
      <c r="Z238">
        <v>-0.39</v>
      </c>
      <c r="AA238">
        <v>16</v>
      </c>
      <c r="AB238">
        <v>7</v>
      </c>
      <c r="AC238">
        <v>9</v>
      </c>
      <c r="AD238">
        <v>43.75</v>
      </c>
      <c r="AE238">
        <v>11</v>
      </c>
      <c r="AF238">
        <v>6</v>
      </c>
      <c r="AG238">
        <v>6</v>
      </c>
      <c r="AH238">
        <v>4</v>
      </c>
    </row>
    <row r="239" spans="1:34">
      <c r="A239" s="111">
        <v>89</v>
      </c>
      <c r="B239">
        <v>4062</v>
      </c>
      <c r="C239" s="115" t="s">
        <v>428</v>
      </c>
      <c r="D239" s="115" t="s">
        <v>118</v>
      </c>
      <c r="E239">
        <v>2523</v>
      </c>
      <c r="F239">
        <v>2528</v>
      </c>
      <c r="G239">
        <v>400</v>
      </c>
      <c r="H239" s="115" t="s">
        <v>87</v>
      </c>
      <c r="I239">
        <v>6951</v>
      </c>
      <c r="J239" s="115" t="s">
        <v>422</v>
      </c>
      <c r="K239" s="115" t="s">
        <v>118</v>
      </c>
      <c r="L239">
        <v>2950</v>
      </c>
      <c r="M239">
        <v>3005</v>
      </c>
      <c r="N239">
        <v>300</v>
      </c>
      <c r="O239" s="115" t="s">
        <v>89</v>
      </c>
      <c r="P239">
        <v>0.95972574244089603</v>
      </c>
      <c r="Q239">
        <v>0.92773509910264196</v>
      </c>
      <c r="R239">
        <v>1.2756970234435601E-2</v>
      </c>
      <c r="S239">
        <v>8.1590855756410105E-2</v>
      </c>
      <c r="T239">
        <v>-0.72571934611298605</v>
      </c>
      <c r="U239">
        <v>0.72571934611298605</v>
      </c>
      <c r="V239">
        <v>-2.5299999999999998</v>
      </c>
      <c r="W239">
        <v>12.17</v>
      </c>
      <c r="X239">
        <v>-118052</v>
      </c>
      <c r="Y239">
        <v>-7870</v>
      </c>
      <c r="Z239">
        <v>-0.41</v>
      </c>
      <c r="AA239">
        <v>15</v>
      </c>
      <c r="AB239">
        <v>7</v>
      </c>
      <c r="AC239">
        <v>8</v>
      </c>
      <c r="AD239">
        <v>46.67</v>
      </c>
      <c r="AE239">
        <v>12</v>
      </c>
      <c r="AF239">
        <v>5</v>
      </c>
      <c r="AG239">
        <v>6</v>
      </c>
      <c r="AH239">
        <v>4</v>
      </c>
    </row>
    <row r="240" spans="1:34">
      <c r="A240" s="111">
        <v>124</v>
      </c>
      <c r="B240">
        <v>4507</v>
      </c>
      <c r="C240" s="115" t="s">
        <v>429</v>
      </c>
      <c r="D240" s="115" t="s">
        <v>188</v>
      </c>
      <c r="E240">
        <v>6530</v>
      </c>
      <c r="F240">
        <v>6445</v>
      </c>
      <c r="G240">
        <v>100</v>
      </c>
      <c r="H240" s="115" t="s">
        <v>87</v>
      </c>
      <c r="I240">
        <v>7189</v>
      </c>
      <c r="J240" s="115" t="s">
        <v>112</v>
      </c>
      <c r="K240" s="115" t="s">
        <v>113</v>
      </c>
      <c r="L240">
        <v>854</v>
      </c>
      <c r="M240">
        <v>843</v>
      </c>
      <c r="N240">
        <v>800</v>
      </c>
      <c r="O240" s="115" t="s">
        <v>89</v>
      </c>
      <c r="P240">
        <v>0.91086453671408396</v>
      </c>
      <c r="Q240">
        <v>0.91896761308422903</v>
      </c>
      <c r="R240" s="20">
        <v>1.9401464895253701E-2</v>
      </c>
      <c r="S240">
        <v>4.4693247330358597E-3</v>
      </c>
      <c r="T240">
        <v>-0.77571747928724899</v>
      </c>
      <c r="U240">
        <v>0.77571747928724899</v>
      </c>
      <c r="V240">
        <v>-5.24</v>
      </c>
      <c r="W240">
        <v>4.6399999999999997</v>
      </c>
      <c r="X240">
        <v>-126360</v>
      </c>
      <c r="Y240">
        <v>-4860</v>
      </c>
      <c r="Z240">
        <v>-0.49</v>
      </c>
      <c r="AA240">
        <v>26</v>
      </c>
      <c r="AB240">
        <v>10</v>
      </c>
      <c r="AC240">
        <v>16</v>
      </c>
      <c r="AD240">
        <v>38.46</v>
      </c>
      <c r="AE240">
        <v>13</v>
      </c>
      <c r="AF240">
        <v>6</v>
      </c>
      <c r="AG240">
        <v>11</v>
      </c>
      <c r="AH240">
        <v>9</v>
      </c>
    </row>
    <row r="241" spans="1:34">
      <c r="A241" s="111">
        <v>175</v>
      </c>
      <c r="B241">
        <v>3105</v>
      </c>
      <c r="C241" s="115" t="s">
        <v>122</v>
      </c>
      <c r="D241" s="115" t="s">
        <v>118</v>
      </c>
      <c r="E241">
        <v>988</v>
      </c>
      <c r="F241">
        <v>979</v>
      </c>
      <c r="G241">
        <v>800</v>
      </c>
      <c r="H241" s="115" t="s">
        <v>89</v>
      </c>
      <c r="I241">
        <v>6371</v>
      </c>
      <c r="J241" s="115" t="s">
        <v>142</v>
      </c>
      <c r="K241" s="115" t="s">
        <v>133</v>
      </c>
      <c r="L241">
        <v>3830</v>
      </c>
      <c r="M241">
        <v>3770</v>
      </c>
      <c r="N241">
        <v>200</v>
      </c>
      <c r="O241" s="115" t="s">
        <v>87</v>
      </c>
      <c r="P241">
        <v>0.952781192580895</v>
      </c>
      <c r="Q241">
        <v>0.91197278558959005</v>
      </c>
      <c r="R241">
        <v>8.8871482208590404E-3</v>
      </c>
      <c r="S241">
        <v>6.0009931848632E-2</v>
      </c>
      <c r="T241">
        <v>2.3393965674754398</v>
      </c>
      <c r="U241">
        <v>2.3393965674754398</v>
      </c>
      <c r="V241">
        <v>4.6500000000000004</v>
      </c>
      <c r="W241">
        <v>3.87</v>
      </c>
      <c r="X241">
        <v>-127614</v>
      </c>
      <c r="Y241">
        <v>-5801</v>
      </c>
      <c r="Z241">
        <v>-0.39</v>
      </c>
      <c r="AA241">
        <v>22</v>
      </c>
      <c r="AB241">
        <v>11</v>
      </c>
      <c r="AC241">
        <v>11</v>
      </c>
      <c r="AD241">
        <v>50</v>
      </c>
      <c r="AE241">
        <v>13</v>
      </c>
      <c r="AF241">
        <v>6</v>
      </c>
      <c r="AG241">
        <v>6</v>
      </c>
      <c r="AH241">
        <v>10</v>
      </c>
    </row>
    <row r="242" spans="1:34">
      <c r="A242" s="111">
        <v>154</v>
      </c>
      <c r="B242">
        <v>8267</v>
      </c>
      <c r="C242" s="115" t="s">
        <v>393</v>
      </c>
      <c r="D242" s="115" t="s">
        <v>128</v>
      </c>
      <c r="E242">
        <v>2271</v>
      </c>
      <c r="F242">
        <v>2239</v>
      </c>
      <c r="G242">
        <v>400</v>
      </c>
      <c r="H242" s="115" t="s">
        <v>87</v>
      </c>
      <c r="I242">
        <v>8410</v>
      </c>
      <c r="J242" s="115" t="s">
        <v>387</v>
      </c>
      <c r="K242" s="115" t="s">
        <v>113</v>
      </c>
      <c r="L242">
        <v>337</v>
      </c>
      <c r="M242">
        <v>338</v>
      </c>
      <c r="N242">
        <v>2600</v>
      </c>
      <c r="O242" s="115" t="s">
        <v>89</v>
      </c>
      <c r="P242">
        <v>0.92802929999620698</v>
      </c>
      <c r="Q242">
        <v>0.91472893526795096</v>
      </c>
      <c r="R242">
        <v>4.6210018252630998E-2</v>
      </c>
      <c r="S242">
        <v>5.0718062891132003E-2</v>
      </c>
      <c r="T242">
        <v>-1.3675570963754</v>
      </c>
      <c r="U242">
        <v>1.3675570963754</v>
      </c>
      <c r="V242">
        <v>-3.37</v>
      </c>
      <c r="W242">
        <v>1.88</v>
      </c>
      <c r="X242">
        <v>-136825</v>
      </c>
      <c r="Y242">
        <v>-7201</v>
      </c>
      <c r="Z242">
        <v>-0.32</v>
      </c>
      <c r="AA242">
        <v>19</v>
      </c>
      <c r="AB242">
        <v>8</v>
      </c>
      <c r="AC242">
        <v>11</v>
      </c>
      <c r="AD242">
        <v>42.11</v>
      </c>
      <c r="AE242">
        <v>14</v>
      </c>
      <c r="AF242">
        <v>2</v>
      </c>
      <c r="AG242">
        <v>5</v>
      </c>
      <c r="AH242">
        <v>12</v>
      </c>
    </row>
    <row r="243" spans="1:34">
      <c r="A243" s="111">
        <v>166</v>
      </c>
      <c r="B243">
        <v>8002</v>
      </c>
      <c r="C243" s="115" t="s">
        <v>57</v>
      </c>
      <c r="D243" s="115" t="s">
        <v>135</v>
      </c>
      <c r="E243">
        <v>809.9</v>
      </c>
      <c r="F243">
        <v>804.8</v>
      </c>
      <c r="G243">
        <v>1300</v>
      </c>
      <c r="H243" s="115" t="s">
        <v>89</v>
      </c>
      <c r="I243">
        <v>8306</v>
      </c>
      <c r="J243" s="115" t="s">
        <v>201</v>
      </c>
      <c r="K243" s="115" t="s">
        <v>113</v>
      </c>
      <c r="L243">
        <v>580</v>
      </c>
      <c r="M243">
        <v>576</v>
      </c>
      <c r="N243">
        <v>1800</v>
      </c>
      <c r="O243" s="115" t="s">
        <v>87</v>
      </c>
      <c r="P243">
        <v>0.945531641623792</v>
      </c>
      <c r="Q243">
        <v>0.91301134322621202</v>
      </c>
      <c r="R243" s="20">
        <v>0.29136218823578403</v>
      </c>
      <c r="S243">
        <v>9.1477588041954702E-2</v>
      </c>
      <c r="T243">
        <v>2.1231081806797398</v>
      </c>
      <c r="U243">
        <v>2.1231081806797398</v>
      </c>
      <c r="V243">
        <v>4.29</v>
      </c>
      <c r="W243">
        <v>0.9</v>
      </c>
      <c r="X243">
        <v>-141734</v>
      </c>
      <c r="Y243">
        <v>-9449</v>
      </c>
      <c r="Z243">
        <v>-0.44</v>
      </c>
      <c r="AA243">
        <v>15</v>
      </c>
      <c r="AB243">
        <v>5</v>
      </c>
      <c r="AC243">
        <v>10</v>
      </c>
      <c r="AD243">
        <v>33.33</v>
      </c>
      <c r="AE243">
        <v>16</v>
      </c>
      <c r="AF243">
        <v>2</v>
      </c>
      <c r="AG243">
        <v>4</v>
      </c>
      <c r="AH243">
        <v>9</v>
      </c>
    </row>
    <row r="244" spans="1:34">
      <c r="A244" s="111">
        <v>59</v>
      </c>
      <c r="B244">
        <v>4182</v>
      </c>
      <c r="C244" s="115" t="s">
        <v>119</v>
      </c>
      <c r="D244" s="115" t="s">
        <v>88</v>
      </c>
      <c r="E244">
        <v>1680</v>
      </c>
      <c r="F244">
        <v>1641</v>
      </c>
      <c r="G244">
        <v>700</v>
      </c>
      <c r="H244" s="115" t="s">
        <v>89</v>
      </c>
      <c r="I244">
        <v>9072</v>
      </c>
      <c r="J244" s="115" t="s">
        <v>169</v>
      </c>
      <c r="K244" s="115" t="s">
        <v>154</v>
      </c>
      <c r="L244">
        <v>2766</v>
      </c>
      <c r="M244">
        <v>2725</v>
      </c>
      <c r="N244">
        <v>400</v>
      </c>
      <c r="O244" s="115" t="s">
        <v>87</v>
      </c>
      <c r="P244">
        <v>0.96775885152803098</v>
      </c>
      <c r="Q244">
        <v>0.93583753555023697</v>
      </c>
      <c r="R244" s="20">
        <v>1.8122593425896501E-2</v>
      </c>
      <c r="S244" s="20">
        <v>7.9824747655977494E-5</v>
      </c>
      <c r="T244">
        <v>1.0125888798951399</v>
      </c>
      <c r="U244">
        <v>1.0125888798951399</v>
      </c>
      <c r="V244">
        <v>5.57</v>
      </c>
      <c r="W244">
        <v>5.39</v>
      </c>
      <c r="X244">
        <v>-153106</v>
      </c>
      <c r="Y244">
        <v>-9006</v>
      </c>
      <c r="Z244">
        <v>-0.41</v>
      </c>
      <c r="AA244">
        <v>17</v>
      </c>
      <c r="AB244">
        <v>6</v>
      </c>
      <c r="AC244">
        <v>11</v>
      </c>
      <c r="AD244">
        <v>35.29</v>
      </c>
      <c r="AE244">
        <v>13</v>
      </c>
      <c r="AF244">
        <v>6</v>
      </c>
      <c r="AG244">
        <v>5</v>
      </c>
      <c r="AH244">
        <v>6</v>
      </c>
    </row>
    <row r="245" spans="1:34">
      <c r="A245" s="111">
        <v>0</v>
      </c>
      <c r="B245">
        <v>9506</v>
      </c>
      <c r="C245" s="115" t="s">
        <v>202</v>
      </c>
      <c r="D245" s="115" t="s">
        <v>167</v>
      </c>
      <c r="E245">
        <v>1080</v>
      </c>
      <c r="F245">
        <v>1062</v>
      </c>
      <c r="G245">
        <v>1000</v>
      </c>
      <c r="H245" s="115" t="s">
        <v>87</v>
      </c>
      <c r="I245">
        <v>9507</v>
      </c>
      <c r="J245" s="115" t="s">
        <v>203</v>
      </c>
      <c r="K245" s="115" t="s">
        <v>167</v>
      </c>
      <c r="L245">
        <v>1034</v>
      </c>
      <c r="M245">
        <v>1031</v>
      </c>
      <c r="N245">
        <v>1000</v>
      </c>
      <c r="O245" s="115" t="s">
        <v>89</v>
      </c>
      <c r="P245">
        <v>0.91120376251697599</v>
      </c>
      <c r="Q245">
        <v>0.97832315601355202</v>
      </c>
      <c r="R245">
        <v>7.01971407170945E-2</v>
      </c>
      <c r="S245">
        <v>0.30573682920381101</v>
      </c>
      <c r="T245">
        <v>-0.40067839188014898</v>
      </c>
      <c r="U245">
        <v>0.40067839188014898</v>
      </c>
      <c r="V245">
        <v>-0.7</v>
      </c>
      <c r="W245">
        <v>2.92</v>
      </c>
      <c r="X245">
        <v>-174408</v>
      </c>
      <c r="Y245">
        <v>-7583</v>
      </c>
      <c r="Z245">
        <v>-0.36</v>
      </c>
      <c r="AA245">
        <v>23</v>
      </c>
      <c r="AB245">
        <v>9</v>
      </c>
      <c r="AC245">
        <v>14</v>
      </c>
      <c r="AD245">
        <v>39.130000000000003</v>
      </c>
      <c r="AE245">
        <v>14</v>
      </c>
      <c r="AF245">
        <v>2</v>
      </c>
      <c r="AG245">
        <v>6</v>
      </c>
      <c r="AH245">
        <v>15</v>
      </c>
    </row>
    <row r="246" spans="1:34">
      <c r="A246" s="111">
        <v>47</v>
      </c>
      <c r="B246">
        <v>7189</v>
      </c>
      <c r="C246" s="115" t="s">
        <v>112</v>
      </c>
      <c r="D246" s="115" t="s">
        <v>113</v>
      </c>
      <c r="E246">
        <v>854</v>
      </c>
      <c r="F246">
        <v>843</v>
      </c>
      <c r="G246">
        <v>1200</v>
      </c>
      <c r="H246" s="115" t="s">
        <v>89</v>
      </c>
      <c r="I246">
        <v>8377</v>
      </c>
      <c r="J246" s="115" t="s">
        <v>127</v>
      </c>
      <c r="K246" s="115" t="s">
        <v>113</v>
      </c>
      <c r="L246">
        <v>1121</v>
      </c>
      <c r="M246">
        <v>1117</v>
      </c>
      <c r="N246">
        <v>900</v>
      </c>
      <c r="O246" s="115" t="s">
        <v>87</v>
      </c>
      <c r="P246">
        <v>0.977697248120872</v>
      </c>
      <c r="Q246">
        <v>0.939009786557367</v>
      </c>
      <c r="R246">
        <v>9.2864100250178896E-2</v>
      </c>
      <c r="S246">
        <v>0.34578789584330499</v>
      </c>
      <c r="T246">
        <v>1.05460474954353</v>
      </c>
      <c r="U246">
        <v>1.05460474954353</v>
      </c>
      <c r="V246">
        <v>4.6100000000000003</v>
      </c>
      <c r="W246">
        <v>0.63</v>
      </c>
      <c r="X246">
        <v>-175804</v>
      </c>
      <c r="Y246">
        <v>-9767</v>
      </c>
      <c r="Z246">
        <v>-0.44</v>
      </c>
      <c r="AA246">
        <v>18</v>
      </c>
      <c r="AB246">
        <v>8</v>
      </c>
      <c r="AC246">
        <v>10</v>
      </c>
      <c r="AD246">
        <v>44.44</v>
      </c>
      <c r="AE246">
        <v>15</v>
      </c>
      <c r="AF246">
        <v>2</v>
      </c>
      <c r="AG246">
        <v>4</v>
      </c>
      <c r="AH246">
        <v>12</v>
      </c>
    </row>
    <row r="247" spans="1:34">
      <c r="A247" s="111">
        <v>254</v>
      </c>
      <c r="B247">
        <v>5214</v>
      </c>
      <c r="C247" s="115" t="s">
        <v>173</v>
      </c>
      <c r="D247" s="115" t="s">
        <v>140</v>
      </c>
      <c r="E247">
        <v>2395</v>
      </c>
      <c r="F247">
        <v>2374</v>
      </c>
      <c r="G247">
        <v>400</v>
      </c>
      <c r="H247" s="115" t="s">
        <v>87</v>
      </c>
      <c r="I247">
        <v>7182</v>
      </c>
      <c r="J247" s="115" t="s">
        <v>180</v>
      </c>
      <c r="K247" s="115" t="s">
        <v>113</v>
      </c>
      <c r="L247">
        <v>1061</v>
      </c>
      <c r="M247">
        <v>1066</v>
      </c>
      <c r="N247">
        <v>900</v>
      </c>
      <c r="O247" s="115" t="s">
        <v>89</v>
      </c>
      <c r="P247">
        <v>0.92926746295635299</v>
      </c>
      <c r="Q247">
        <v>0.90170005407479403</v>
      </c>
      <c r="R247">
        <v>4.6945128431012204E-3</v>
      </c>
      <c r="S247">
        <v>0.15642201629219299</v>
      </c>
      <c r="T247">
        <v>-1.0432402110402501</v>
      </c>
      <c r="U247">
        <v>1.0432402110402501</v>
      </c>
      <c r="V247">
        <v>-1.78</v>
      </c>
      <c r="W247">
        <v>1.03</v>
      </c>
      <c r="X247">
        <v>-181553</v>
      </c>
      <c r="Y247">
        <v>-9555</v>
      </c>
      <c r="Z247">
        <v>-0.55000000000000004</v>
      </c>
      <c r="AA247">
        <v>19</v>
      </c>
      <c r="AB247">
        <v>7</v>
      </c>
      <c r="AC247">
        <v>12</v>
      </c>
      <c r="AD247">
        <v>36.840000000000003</v>
      </c>
      <c r="AE247">
        <v>15</v>
      </c>
      <c r="AF247">
        <v>3</v>
      </c>
      <c r="AG247">
        <v>3</v>
      </c>
      <c r="AH247">
        <v>13</v>
      </c>
    </row>
    <row r="248" spans="1:34">
      <c r="A248" s="111">
        <v>42</v>
      </c>
      <c r="B248">
        <v>1928</v>
      </c>
      <c r="C248" s="115" t="s">
        <v>390</v>
      </c>
      <c r="D248" s="115" t="s">
        <v>108</v>
      </c>
      <c r="E248">
        <v>2400</v>
      </c>
      <c r="F248">
        <v>2414</v>
      </c>
      <c r="G248">
        <v>400</v>
      </c>
      <c r="H248" s="115" t="s">
        <v>87</v>
      </c>
      <c r="I248">
        <v>6920</v>
      </c>
      <c r="J248" s="115" t="s">
        <v>117</v>
      </c>
      <c r="K248" s="115" t="s">
        <v>118</v>
      </c>
      <c r="L248">
        <v>9000</v>
      </c>
      <c r="M248">
        <v>9160</v>
      </c>
      <c r="N248">
        <v>100</v>
      </c>
      <c r="O248" s="115" t="s">
        <v>89</v>
      </c>
      <c r="P248">
        <v>0.92361777723808403</v>
      </c>
      <c r="Q248">
        <v>0.94043585245035299</v>
      </c>
      <c r="R248">
        <v>0.178695840964567</v>
      </c>
      <c r="S248">
        <v>0.21849466698856901</v>
      </c>
      <c r="T248">
        <v>-2.0414572908902802</v>
      </c>
      <c r="U248">
        <v>2.0414572908902802</v>
      </c>
      <c r="V248">
        <v>-14.48</v>
      </c>
      <c r="W248">
        <v>5.41</v>
      </c>
      <c r="X248">
        <v>-181631</v>
      </c>
      <c r="Y248">
        <v>-7897</v>
      </c>
      <c r="Z248">
        <v>-0.38</v>
      </c>
      <c r="AA248">
        <v>23</v>
      </c>
      <c r="AB248">
        <v>12</v>
      </c>
      <c r="AC248">
        <v>11</v>
      </c>
      <c r="AD248">
        <v>52.17</v>
      </c>
      <c r="AE248">
        <v>8</v>
      </c>
      <c r="AF248">
        <v>10</v>
      </c>
      <c r="AG248">
        <v>10</v>
      </c>
      <c r="AH248">
        <v>3</v>
      </c>
    </row>
    <row r="249" spans="1:34">
      <c r="A249" s="111">
        <v>43</v>
      </c>
      <c r="B249">
        <v>7267</v>
      </c>
      <c r="C249" s="115" t="s">
        <v>153</v>
      </c>
      <c r="D249" s="115" t="s">
        <v>115</v>
      </c>
      <c r="E249">
        <v>3147</v>
      </c>
      <c r="F249">
        <v>3109</v>
      </c>
      <c r="G249">
        <v>300</v>
      </c>
      <c r="H249" s="115" t="s">
        <v>89</v>
      </c>
      <c r="I249">
        <v>8002</v>
      </c>
      <c r="J249" s="115" t="s">
        <v>57</v>
      </c>
      <c r="K249" s="115" t="s">
        <v>135</v>
      </c>
      <c r="L249">
        <v>809.9</v>
      </c>
      <c r="M249">
        <v>804.8</v>
      </c>
      <c r="N249">
        <v>1200</v>
      </c>
      <c r="O249" s="115" t="s">
        <v>87</v>
      </c>
      <c r="P249">
        <v>0.97391398840850396</v>
      </c>
      <c r="Q249">
        <v>0.94038553158485905</v>
      </c>
      <c r="R249">
        <v>1.48696674116749E-2</v>
      </c>
      <c r="S249">
        <v>3.5394012240288699E-3</v>
      </c>
      <c r="T249">
        <v>0.115796453970002</v>
      </c>
      <c r="U249">
        <v>0.115796453970002</v>
      </c>
      <c r="V249">
        <v>0.25</v>
      </c>
      <c r="W249">
        <v>3.54</v>
      </c>
      <c r="X249">
        <v>-183458</v>
      </c>
      <c r="Y249">
        <v>-12231</v>
      </c>
      <c r="Z249">
        <v>-0.72</v>
      </c>
      <c r="AA249">
        <v>15</v>
      </c>
      <c r="AB249">
        <v>6</v>
      </c>
      <c r="AC249">
        <v>9</v>
      </c>
      <c r="AD249">
        <v>40</v>
      </c>
      <c r="AE249">
        <v>16</v>
      </c>
      <c r="AF249">
        <v>0</v>
      </c>
      <c r="AG249">
        <v>3</v>
      </c>
      <c r="AH249">
        <v>12</v>
      </c>
    </row>
    <row r="250" spans="1:34">
      <c r="A250" s="111">
        <v>4</v>
      </c>
      <c r="B250">
        <v>5214</v>
      </c>
      <c r="C250" s="115" t="s">
        <v>173</v>
      </c>
      <c r="D250" s="115" t="s">
        <v>140</v>
      </c>
      <c r="E250">
        <v>2395</v>
      </c>
      <c r="F250">
        <v>2374</v>
      </c>
      <c r="G250">
        <v>400</v>
      </c>
      <c r="H250" s="115" t="s">
        <v>87</v>
      </c>
      <c r="I250">
        <v>7261</v>
      </c>
      <c r="J250" s="115" t="s">
        <v>195</v>
      </c>
      <c r="K250" s="115" t="s">
        <v>115</v>
      </c>
      <c r="L250">
        <v>966</v>
      </c>
      <c r="M250">
        <v>967</v>
      </c>
      <c r="N250">
        <v>1000</v>
      </c>
      <c r="O250" s="115" t="s">
        <v>89</v>
      </c>
      <c r="P250">
        <v>0.94238403749974997</v>
      </c>
      <c r="Q250">
        <v>0.95804709475523797</v>
      </c>
      <c r="R250">
        <v>6.1543253555829298E-4</v>
      </c>
      <c r="S250">
        <v>1.46556940025408E-3</v>
      </c>
      <c r="T250">
        <v>-0.29238699635319798</v>
      </c>
      <c r="U250">
        <v>0.29238699635319798</v>
      </c>
      <c r="V250">
        <v>-0.51</v>
      </c>
      <c r="W250">
        <v>1.83</v>
      </c>
      <c r="X250">
        <v>-186915</v>
      </c>
      <c r="Y250">
        <v>-9838</v>
      </c>
      <c r="Z250">
        <v>-0.53</v>
      </c>
      <c r="AA250">
        <v>19</v>
      </c>
      <c r="AB250">
        <v>9</v>
      </c>
      <c r="AC250">
        <v>10</v>
      </c>
      <c r="AD250">
        <v>47.37</v>
      </c>
      <c r="AE250">
        <v>13</v>
      </c>
      <c r="AF250">
        <v>6</v>
      </c>
      <c r="AG250">
        <v>4</v>
      </c>
      <c r="AH250">
        <v>9</v>
      </c>
    </row>
    <row r="251" spans="1:34">
      <c r="A251" s="111">
        <v>159</v>
      </c>
      <c r="B251">
        <v>3038</v>
      </c>
      <c r="C251" s="115" t="s">
        <v>468</v>
      </c>
      <c r="D251" s="115" t="s">
        <v>135</v>
      </c>
      <c r="E251">
        <v>3360</v>
      </c>
      <c r="F251">
        <v>3385</v>
      </c>
      <c r="G251">
        <v>200</v>
      </c>
      <c r="H251" s="115" t="s">
        <v>89</v>
      </c>
      <c r="I251">
        <v>6098</v>
      </c>
      <c r="J251" s="115" t="s">
        <v>469</v>
      </c>
      <c r="K251" s="115" t="s">
        <v>155</v>
      </c>
      <c r="L251">
        <v>3975</v>
      </c>
      <c r="M251">
        <v>4020</v>
      </c>
      <c r="N251">
        <v>200</v>
      </c>
      <c r="O251" s="115" t="s">
        <v>87</v>
      </c>
      <c r="P251">
        <v>0.91543816619684204</v>
      </c>
      <c r="Q251">
        <v>0.91397928549382002</v>
      </c>
      <c r="R251">
        <v>0.196542995922622</v>
      </c>
      <c r="S251">
        <v>3.2332888518322001E-2</v>
      </c>
      <c r="T251">
        <v>0.42029658016344401</v>
      </c>
      <c r="U251">
        <v>0.42029658016344401</v>
      </c>
      <c r="V251">
        <v>1.91</v>
      </c>
      <c r="W251">
        <v>15.8</v>
      </c>
      <c r="X251">
        <v>-187710</v>
      </c>
      <c r="Y251">
        <v>-8161</v>
      </c>
      <c r="Z251">
        <v>-0.37</v>
      </c>
      <c r="AA251">
        <v>23</v>
      </c>
      <c r="AB251">
        <v>11</v>
      </c>
      <c r="AC251">
        <v>12</v>
      </c>
      <c r="AD251">
        <v>47.83</v>
      </c>
      <c r="AE251">
        <v>10</v>
      </c>
      <c r="AF251">
        <v>10</v>
      </c>
      <c r="AG251">
        <v>12</v>
      </c>
      <c r="AH251">
        <v>1</v>
      </c>
    </row>
    <row r="252" spans="1:34">
      <c r="A252" s="111">
        <v>244</v>
      </c>
      <c r="B252">
        <v>4634</v>
      </c>
      <c r="C252" s="115" t="s">
        <v>192</v>
      </c>
      <c r="D252" s="115" t="s">
        <v>88</v>
      </c>
      <c r="E252">
        <v>2715</v>
      </c>
      <c r="F252">
        <v>2684</v>
      </c>
      <c r="G252">
        <v>400</v>
      </c>
      <c r="H252" s="115" t="s">
        <v>87</v>
      </c>
      <c r="I252">
        <v>5803</v>
      </c>
      <c r="J252" s="115" t="s">
        <v>54</v>
      </c>
      <c r="K252" s="115" t="s">
        <v>176</v>
      </c>
      <c r="L252">
        <v>467</v>
      </c>
      <c r="M252">
        <v>464</v>
      </c>
      <c r="N252">
        <v>2300</v>
      </c>
      <c r="O252" s="115" t="s">
        <v>89</v>
      </c>
      <c r="P252">
        <v>0.96907670080354802</v>
      </c>
      <c r="Q252">
        <v>0.90292674560697805</v>
      </c>
      <c r="R252">
        <v>0.136257696875832</v>
      </c>
      <c r="S252">
        <v>1.45469385889239E-2</v>
      </c>
      <c r="T252">
        <v>-0.63982997649186502</v>
      </c>
      <c r="U252">
        <v>0.63982997649186502</v>
      </c>
      <c r="V252">
        <v>-3.88</v>
      </c>
      <c r="W252">
        <v>0.6</v>
      </c>
      <c r="X252">
        <v>-201900</v>
      </c>
      <c r="Y252">
        <v>-11876</v>
      </c>
      <c r="Z252">
        <v>-0.71</v>
      </c>
      <c r="AA252">
        <v>17</v>
      </c>
      <c r="AB252">
        <v>8</v>
      </c>
      <c r="AC252">
        <v>9</v>
      </c>
      <c r="AD252">
        <v>47.06</v>
      </c>
      <c r="AE252">
        <v>12</v>
      </c>
      <c r="AF252">
        <v>4</v>
      </c>
      <c r="AG252">
        <v>6</v>
      </c>
      <c r="AH252">
        <v>7</v>
      </c>
    </row>
    <row r="253" spans="1:34">
      <c r="A253" s="111">
        <v>189</v>
      </c>
      <c r="B253">
        <v>4183</v>
      </c>
      <c r="C253" s="115" t="s">
        <v>388</v>
      </c>
      <c r="D253" s="115" t="s">
        <v>88</v>
      </c>
      <c r="E253">
        <v>2714</v>
      </c>
      <c r="F253">
        <v>2664</v>
      </c>
      <c r="G253">
        <v>400</v>
      </c>
      <c r="H253" s="115" t="s">
        <v>87</v>
      </c>
      <c r="I253">
        <v>6473</v>
      </c>
      <c r="J253" s="115" t="s">
        <v>178</v>
      </c>
      <c r="K253" s="115" t="s">
        <v>133</v>
      </c>
      <c r="L253">
        <v>1397</v>
      </c>
      <c r="M253">
        <v>1375</v>
      </c>
      <c r="N253">
        <v>800</v>
      </c>
      <c r="O253" s="115" t="s">
        <v>89</v>
      </c>
      <c r="P253">
        <v>0.97478333232015801</v>
      </c>
      <c r="Q253">
        <v>0.91065013637630099</v>
      </c>
      <c r="R253">
        <v>3.3999482775668902E-2</v>
      </c>
      <c r="S253">
        <v>7.2272760975756897E-2</v>
      </c>
      <c r="T253">
        <v>-0.34310705123287999</v>
      </c>
      <c r="U253">
        <v>0.34310705123287999</v>
      </c>
      <c r="V253">
        <v>-0.76</v>
      </c>
      <c r="W253">
        <v>3.23</v>
      </c>
      <c r="X253">
        <v>-213206</v>
      </c>
      <c r="Y253">
        <v>-12542</v>
      </c>
      <c r="Z253">
        <v>-0.7</v>
      </c>
      <c r="AA253">
        <v>17</v>
      </c>
      <c r="AB253">
        <v>5</v>
      </c>
      <c r="AC253">
        <v>12</v>
      </c>
      <c r="AD253">
        <v>29.41</v>
      </c>
      <c r="AE253">
        <v>15</v>
      </c>
      <c r="AF253">
        <v>4</v>
      </c>
      <c r="AG253">
        <v>5</v>
      </c>
      <c r="AH253">
        <v>8</v>
      </c>
    </row>
    <row r="254" spans="1:34">
      <c r="A254" s="111">
        <v>48</v>
      </c>
      <c r="B254">
        <v>1801</v>
      </c>
      <c r="C254" s="115" t="s">
        <v>398</v>
      </c>
      <c r="D254" s="115" t="s">
        <v>108</v>
      </c>
      <c r="E254">
        <v>4365</v>
      </c>
      <c r="F254">
        <v>4240</v>
      </c>
      <c r="G254">
        <v>200</v>
      </c>
      <c r="H254" s="115" t="s">
        <v>87</v>
      </c>
      <c r="I254">
        <v>1824</v>
      </c>
      <c r="J254" s="115" t="s">
        <v>404</v>
      </c>
      <c r="K254" s="115" t="s">
        <v>108</v>
      </c>
      <c r="L254">
        <v>1005</v>
      </c>
      <c r="M254">
        <v>984</v>
      </c>
      <c r="N254">
        <v>900</v>
      </c>
      <c r="O254" s="115" t="s">
        <v>89</v>
      </c>
      <c r="P254">
        <v>0.92496622824294294</v>
      </c>
      <c r="Q254">
        <v>0.93859328665007102</v>
      </c>
      <c r="R254">
        <v>2.6140688542867999E-2</v>
      </c>
      <c r="S254">
        <v>0.16482920242718699</v>
      </c>
      <c r="T254">
        <v>-0.24446333550160301</v>
      </c>
      <c r="U254">
        <v>0.24446333550160301</v>
      </c>
      <c r="V254">
        <v>-0.89</v>
      </c>
      <c r="W254">
        <v>4.43</v>
      </c>
      <c r="X254">
        <v>-216711</v>
      </c>
      <c r="Y254">
        <v>-13544</v>
      </c>
      <c r="Z254">
        <v>-0.59</v>
      </c>
      <c r="AA254">
        <v>16</v>
      </c>
      <c r="AB254">
        <v>7</v>
      </c>
      <c r="AC254">
        <v>9</v>
      </c>
      <c r="AD254">
        <v>43.75</v>
      </c>
      <c r="AE254">
        <v>13</v>
      </c>
      <c r="AF254">
        <v>5</v>
      </c>
      <c r="AG254">
        <v>6</v>
      </c>
      <c r="AH254">
        <v>5</v>
      </c>
    </row>
    <row r="255" spans="1:34">
      <c r="A255" s="111">
        <v>246</v>
      </c>
      <c r="B255">
        <v>6471</v>
      </c>
      <c r="C255" s="115" t="s">
        <v>190</v>
      </c>
      <c r="D255" s="115" t="s">
        <v>133</v>
      </c>
      <c r="E255">
        <v>1081</v>
      </c>
      <c r="F255">
        <v>1076</v>
      </c>
      <c r="G255">
        <v>600</v>
      </c>
      <c r="H255" s="115" t="s">
        <v>87</v>
      </c>
      <c r="I255">
        <v>6988</v>
      </c>
      <c r="J255" s="115" t="s">
        <v>191</v>
      </c>
      <c r="K255" s="115" t="s">
        <v>88</v>
      </c>
      <c r="L255">
        <v>6320</v>
      </c>
      <c r="M255">
        <v>6240</v>
      </c>
      <c r="N255">
        <v>100</v>
      </c>
      <c r="O255" s="115" t="s">
        <v>89</v>
      </c>
      <c r="P255">
        <v>0.96907339637311596</v>
      </c>
      <c r="Q255">
        <v>0.902434579559941</v>
      </c>
      <c r="R255">
        <v>6.4079493609743896E-2</v>
      </c>
      <c r="S255">
        <v>8.7722983375973507E-2</v>
      </c>
      <c r="T255">
        <v>-0.33426521183866997</v>
      </c>
      <c r="U255">
        <v>0.33426521183866997</v>
      </c>
      <c r="V255">
        <v>-0.78</v>
      </c>
      <c r="W255">
        <v>3.46</v>
      </c>
      <c r="X255">
        <v>-217561</v>
      </c>
      <c r="Y255">
        <v>-11451</v>
      </c>
      <c r="Z255">
        <v>-0.8</v>
      </c>
      <c r="AA255">
        <v>19</v>
      </c>
      <c r="AB255">
        <v>6</v>
      </c>
      <c r="AC255">
        <v>13</v>
      </c>
      <c r="AD255">
        <v>31.58</v>
      </c>
      <c r="AE255">
        <v>14</v>
      </c>
      <c r="AF255">
        <v>4</v>
      </c>
      <c r="AG255">
        <v>4</v>
      </c>
      <c r="AH255">
        <v>11</v>
      </c>
    </row>
    <row r="256" spans="1:34">
      <c r="A256" s="111">
        <v>7</v>
      </c>
      <c r="B256">
        <v>6951</v>
      </c>
      <c r="C256" s="115" t="s">
        <v>422</v>
      </c>
      <c r="D256" s="115" t="s">
        <v>118</v>
      </c>
      <c r="E256">
        <v>2950</v>
      </c>
      <c r="F256">
        <v>3005</v>
      </c>
      <c r="G256">
        <v>200</v>
      </c>
      <c r="H256" s="115" t="s">
        <v>89</v>
      </c>
      <c r="I256">
        <v>8036</v>
      </c>
      <c r="J256" s="115" t="s">
        <v>417</v>
      </c>
      <c r="K256" s="115" t="s">
        <v>135</v>
      </c>
      <c r="L256">
        <v>6920</v>
      </c>
      <c r="M256">
        <v>6990</v>
      </c>
      <c r="N256">
        <v>100</v>
      </c>
      <c r="O256" s="115" t="s">
        <v>87</v>
      </c>
      <c r="P256">
        <v>0.95267789924394597</v>
      </c>
      <c r="Q256">
        <v>0.95604231570389497</v>
      </c>
      <c r="R256">
        <v>0.14310875996790301</v>
      </c>
      <c r="S256">
        <v>0.105757317162327</v>
      </c>
      <c r="T256">
        <v>0.66436159390517302</v>
      </c>
      <c r="U256">
        <v>0.66436159390517302</v>
      </c>
      <c r="V256">
        <v>2.39</v>
      </c>
      <c r="W256">
        <v>14.02</v>
      </c>
      <c r="X256">
        <v>-225555</v>
      </c>
      <c r="Y256">
        <v>-11278</v>
      </c>
      <c r="Z256">
        <v>-0.48</v>
      </c>
      <c r="AA256">
        <v>20</v>
      </c>
      <c r="AB256">
        <v>9</v>
      </c>
      <c r="AC256">
        <v>11</v>
      </c>
      <c r="AD256">
        <v>45</v>
      </c>
      <c r="AE256">
        <v>10</v>
      </c>
      <c r="AF256">
        <v>8</v>
      </c>
      <c r="AG256">
        <v>8</v>
      </c>
      <c r="AH256">
        <v>4</v>
      </c>
    </row>
    <row r="257" spans="1:34">
      <c r="A257" s="111">
        <v>111</v>
      </c>
      <c r="B257">
        <v>4005</v>
      </c>
      <c r="C257" s="115" t="s">
        <v>152</v>
      </c>
      <c r="D257" s="115" t="s">
        <v>88</v>
      </c>
      <c r="E257">
        <v>505</v>
      </c>
      <c r="F257">
        <v>499</v>
      </c>
      <c r="G257">
        <v>2200</v>
      </c>
      <c r="H257" s="115" t="s">
        <v>87</v>
      </c>
      <c r="I257">
        <v>8242</v>
      </c>
      <c r="J257" s="115" t="s">
        <v>156</v>
      </c>
      <c r="K257" s="115" t="s">
        <v>128</v>
      </c>
      <c r="L257">
        <v>1246</v>
      </c>
      <c r="M257">
        <v>1216</v>
      </c>
      <c r="N257">
        <v>900</v>
      </c>
      <c r="O257" s="115" t="s">
        <v>89</v>
      </c>
      <c r="P257">
        <v>0.91670300281237704</v>
      </c>
      <c r="Q257">
        <v>0.92234941126197201</v>
      </c>
      <c r="R257" s="20">
        <v>5.1205015200849802E-2</v>
      </c>
      <c r="S257">
        <v>1.41183134900078E-2</v>
      </c>
      <c r="T257">
        <v>-0.31168695218852099</v>
      </c>
      <c r="U257">
        <v>0.31168695218852099</v>
      </c>
      <c r="V257">
        <v>-0.54</v>
      </c>
      <c r="W257">
        <v>0.31</v>
      </c>
      <c r="X257">
        <v>-247907</v>
      </c>
      <c r="Y257">
        <v>-13773</v>
      </c>
      <c r="Z257">
        <v>-0.67</v>
      </c>
      <c r="AA257">
        <v>18</v>
      </c>
      <c r="AB257">
        <v>7</v>
      </c>
      <c r="AC257">
        <v>11</v>
      </c>
      <c r="AD257">
        <v>38.89</v>
      </c>
      <c r="AE257">
        <v>12</v>
      </c>
      <c r="AF257">
        <v>5</v>
      </c>
      <c r="AG257">
        <v>7</v>
      </c>
      <c r="AH257">
        <v>6</v>
      </c>
    </row>
    <row r="258" spans="1:34">
      <c r="A258" s="111">
        <v>229</v>
      </c>
      <c r="B258">
        <v>5802</v>
      </c>
      <c r="C258" s="115" t="s">
        <v>175</v>
      </c>
      <c r="D258" s="115" t="s">
        <v>176</v>
      </c>
      <c r="E258">
        <v>1576</v>
      </c>
      <c r="F258">
        <v>1580</v>
      </c>
      <c r="G258">
        <v>600</v>
      </c>
      <c r="H258" s="115" t="s">
        <v>89</v>
      </c>
      <c r="I258">
        <v>6752</v>
      </c>
      <c r="J258" s="115" t="s">
        <v>139</v>
      </c>
      <c r="K258" s="115" t="s">
        <v>118</v>
      </c>
      <c r="L258">
        <v>978.8</v>
      </c>
      <c r="M258">
        <v>981</v>
      </c>
      <c r="N258">
        <v>1000</v>
      </c>
      <c r="O258" s="115" t="s">
        <v>87</v>
      </c>
      <c r="P258">
        <v>0.96072834617185898</v>
      </c>
      <c r="Q258">
        <v>0.90448439701350802</v>
      </c>
      <c r="R258">
        <v>6.2819366718491407E-2</v>
      </c>
      <c r="S258">
        <v>0.12868657386320101</v>
      </c>
      <c r="T258">
        <v>1.7061023181230299</v>
      </c>
      <c r="U258">
        <v>1.7061023181230299</v>
      </c>
      <c r="V258">
        <v>4.21</v>
      </c>
      <c r="W258">
        <v>3.48</v>
      </c>
      <c r="X258">
        <v>-261227</v>
      </c>
      <c r="Y258">
        <v>-14513</v>
      </c>
      <c r="Z258">
        <v>-0.73</v>
      </c>
      <c r="AA258">
        <v>18</v>
      </c>
      <c r="AB258">
        <v>6</v>
      </c>
      <c r="AC258">
        <v>12</v>
      </c>
      <c r="AD258">
        <v>33.33</v>
      </c>
      <c r="AE258">
        <v>14</v>
      </c>
      <c r="AF258">
        <v>3</v>
      </c>
      <c r="AG258">
        <v>5</v>
      </c>
      <c r="AH258">
        <v>10</v>
      </c>
    </row>
    <row r="259" spans="1:34">
      <c r="A259" s="111">
        <v>212</v>
      </c>
      <c r="B259">
        <v>1928</v>
      </c>
      <c r="C259" s="115" t="s">
        <v>390</v>
      </c>
      <c r="D259" s="115" t="s">
        <v>108</v>
      </c>
      <c r="E259">
        <v>2400</v>
      </c>
      <c r="F259">
        <v>2414</v>
      </c>
      <c r="G259">
        <v>400</v>
      </c>
      <c r="H259" s="115" t="s">
        <v>87</v>
      </c>
      <c r="I259">
        <v>6951</v>
      </c>
      <c r="J259" s="115" t="s">
        <v>422</v>
      </c>
      <c r="K259" s="115" t="s">
        <v>118</v>
      </c>
      <c r="L259">
        <v>2950</v>
      </c>
      <c r="M259">
        <v>3005</v>
      </c>
      <c r="N259">
        <v>300</v>
      </c>
      <c r="O259" s="115" t="s">
        <v>89</v>
      </c>
      <c r="P259">
        <v>0.95053405853883499</v>
      </c>
      <c r="Q259">
        <v>0.90650342220983804</v>
      </c>
      <c r="R259" s="20">
        <v>0.23330967133663499</v>
      </c>
      <c r="S259">
        <v>0.24328677963475601</v>
      </c>
      <c r="T259">
        <v>-0.24927275955865599</v>
      </c>
      <c r="U259">
        <v>0.24927275955865599</v>
      </c>
      <c r="V259">
        <v>-0.7</v>
      </c>
      <c r="W259">
        <v>7.11</v>
      </c>
      <c r="X259">
        <v>-286170</v>
      </c>
      <c r="Y259">
        <v>-14308</v>
      </c>
      <c r="Z259">
        <v>-0.82</v>
      </c>
      <c r="AA259">
        <v>20</v>
      </c>
      <c r="AB259">
        <v>8</v>
      </c>
      <c r="AC259">
        <v>12</v>
      </c>
      <c r="AD259">
        <v>40</v>
      </c>
      <c r="AE259">
        <v>12</v>
      </c>
      <c r="AF259">
        <v>6</v>
      </c>
      <c r="AG259">
        <v>7</v>
      </c>
      <c r="AH259">
        <v>7</v>
      </c>
    </row>
    <row r="260" spans="1:34">
      <c r="A260" s="111">
        <v>177</v>
      </c>
      <c r="B260">
        <v>5110</v>
      </c>
      <c r="C260" s="115" t="s">
        <v>171</v>
      </c>
      <c r="D260" s="115" t="s">
        <v>172</v>
      </c>
      <c r="E260">
        <v>1405</v>
      </c>
      <c r="F260">
        <v>1393</v>
      </c>
      <c r="G260">
        <v>700</v>
      </c>
      <c r="H260" s="115" t="s">
        <v>87</v>
      </c>
      <c r="I260">
        <v>5803</v>
      </c>
      <c r="J260" s="115" t="s">
        <v>54</v>
      </c>
      <c r="K260" s="115" t="s">
        <v>176</v>
      </c>
      <c r="L260">
        <v>467</v>
      </c>
      <c r="M260">
        <v>464</v>
      </c>
      <c r="N260">
        <v>2100</v>
      </c>
      <c r="O260" s="115" t="s">
        <v>89</v>
      </c>
      <c r="P260">
        <v>0.96686056746475801</v>
      </c>
      <c r="Q260">
        <v>0.91168856913245599</v>
      </c>
      <c r="R260">
        <v>6.8445620776514796E-2</v>
      </c>
      <c r="S260">
        <v>0.13542438627967199</v>
      </c>
      <c r="T260">
        <v>-0.77324363554032105</v>
      </c>
      <c r="U260">
        <v>0.77324363554032105</v>
      </c>
      <c r="V260">
        <v>-5.96</v>
      </c>
      <c r="W260">
        <v>7.0000000000000007E-2</v>
      </c>
      <c r="X260">
        <v>-308037</v>
      </c>
      <c r="Y260">
        <v>-17113</v>
      </c>
      <c r="Z260">
        <v>-0.84</v>
      </c>
      <c r="AA260">
        <v>18</v>
      </c>
      <c r="AB260">
        <v>6</v>
      </c>
      <c r="AC260">
        <v>12</v>
      </c>
      <c r="AD260">
        <v>33.33</v>
      </c>
      <c r="AE260">
        <v>12</v>
      </c>
      <c r="AF260">
        <v>5</v>
      </c>
      <c r="AG260">
        <v>6</v>
      </c>
      <c r="AH260">
        <v>7</v>
      </c>
    </row>
    <row r="261" spans="1:34">
      <c r="A261" s="111">
        <v>29</v>
      </c>
      <c r="B261">
        <v>4062</v>
      </c>
      <c r="C261" s="115" t="s">
        <v>428</v>
      </c>
      <c r="D261" s="115" t="s">
        <v>118</v>
      </c>
      <c r="E261">
        <v>2523</v>
      </c>
      <c r="F261">
        <v>2528</v>
      </c>
      <c r="G261">
        <v>400</v>
      </c>
      <c r="H261" s="115" t="s">
        <v>89</v>
      </c>
      <c r="I261">
        <v>4996</v>
      </c>
      <c r="J261" s="115" t="s">
        <v>433</v>
      </c>
      <c r="K261" s="115" t="s">
        <v>88</v>
      </c>
      <c r="L261">
        <v>1078</v>
      </c>
      <c r="M261">
        <v>1049</v>
      </c>
      <c r="N261">
        <v>1000</v>
      </c>
      <c r="O261" s="115" t="s">
        <v>87</v>
      </c>
      <c r="P261">
        <v>0.90876868663600596</v>
      </c>
      <c r="Q261">
        <v>0.94367124216085796</v>
      </c>
      <c r="R261">
        <v>0.105354596263717</v>
      </c>
      <c r="S261">
        <v>2.4397711350814901E-3</v>
      </c>
      <c r="T261">
        <v>0.65804041741072306</v>
      </c>
      <c r="U261">
        <v>0.65804041741072306</v>
      </c>
      <c r="V261">
        <v>2.29</v>
      </c>
      <c r="W261">
        <v>3.74</v>
      </c>
      <c r="X261">
        <v>-325553</v>
      </c>
      <c r="Y261">
        <v>-16278</v>
      </c>
      <c r="Z261">
        <v>-0.75</v>
      </c>
      <c r="AA261">
        <v>20</v>
      </c>
      <c r="AB261">
        <v>9</v>
      </c>
      <c r="AC261">
        <v>11</v>
      </c>
      <c r="AD261">
        <v>45</v>
      </c>
      <c r="AE261">
        <v>11</v>
      </c>
      <c r="AF261">
        <v>6</v>
      </c>
      <c r="AG261">
        <v>9</v>
      </c>
      <c r="AH261">
        <v>5</v>
      </c>
    </row>
    <row r="262" spans="1:34">
      <c r="A262" s="111">
        <v>86</v>
      </c>
      <c r="B262">
        <v>1928</v>
      </c>
      <c r="C262" s="115" t="s">
        <v>390</v>
      </c>
      <c r="D262" s="115" t="s">
        <v>108</v>
      </c>
      <c r="E262">
        <v>2400</v>
      </c>
      <c r="F262">
        <v>2414</v>
      </c>
      <c r="G262">
        <v>400</v>
      </c>
      <c r="H262" s="115" t="s">
        <v>89</v>
      </c>
      <c r="I262">
        <v>3387</v>
      </c>
      <c r="J262" s="115" t="s">
        <v>392</v>
      </c>
      <c r="K262" s="115" t="s">
        <v>128</v>
      </c>
      <c r="L262">
        <v>1879</v>
      </c>
      <c r="M262">
        <v>1848</v>
      </c>
      <c r="N262">
        <v>500</v>
      </c>
      <c r="O262" s="115" t="s">
        <v>87</v>
      </c>
      <c r="P262">
        <v>0.90589564110687204</v>
      </c>
      <c r="Q262">
        <v>0.92820252920192003</v>
      </c>
      <c r="R262" s="20">
        <v>0.17732581370280501</v>
      </c>
      <c r="S262">
        <v>0.12875285731030001</v>
      </c>
      <c r="T262">
        <v>1.89205631881494</v>
      </c>
      <c r="U262">
        <v>1.89205631881494</v>
      </c>
      <c r="V262">
        <v>7.96</v>
      </c>
      <c r="W262">
        <v>4.3099999999999996</v>
      </c>
      <c r="X262">
        <v>-343670</v>
      </c>
      <c r="Y262">
        <v>-26436</v>
      </c>
      <c r="Z262">
        <v>-1.32</v>
      </c>
      <c r="AA262">
        <v>13</v>
      </c>
      <c r="AB262">
        <v>4</v>
      </c>
      <c r="AC262">
        <v>9</v>
      </c>
      <c r="AD262">
        <v>30.77</v>
      </c>
      <c r="AE262">
        <v>13</v>
      </c>
      <c r="AF262">
        <v>1</v>
      </c>
      <c r="AG262">
        <v>5</v>
      </c>
      <c r="AH262">
        <v>7</v>
      </c>
    </row>
    <row r="263" spans="1:34">
      <c r="A263" s="111">
        <v>6</v>
      </c>
      <c r="B263">
        <v>4996</v>
      </c>
      <c r="C263" s="115" t="s">
        <v>433</v>
      </c>
      <c r="D263" s="115" t="s">
        <v>88</v>
      </c>
      <c r="E263">
        <v>1078</v>
      </c>
      <c r="F263">
        <v>1049</v>
      </c>
      <c r="G263">
        <v>900</v>
      </c>
      <c r="H263" s="115" t="s">
        <v>87</v>
      </c>
      <c r="I263">
        <v>6920</v>
      </c>
      <c r="J263" s="115" t="s">
        <v>117</v>
      </c>
      <c r="K263" s="115" t="s">
        <v>118</v>
      </c>
      <c r="L263">
        <v>9000</v>
      </c>
      <c r="M263">
        <v>9160</v>
      </c>
      <c r="N263">
        <v>100</v>
      </c>
      <c r="O263" s="115" t="s">
        <v>89</v>
      </c>
      <c r="P263">
        <v>0.91378482406412498</v>
      </c>
      <c r="Q263">
        <v>0.95618985317548</v>
      </c>
      <c r="R263">
        <v>5.5413361550976703E-2</v>
      </c>
      <c r="S263">
        <v>4.5147212776440698E-4</v>
      </c>
      <c r="T263">
        <v>-1.67012821685479</v>
      </c>
      <c r="U263">
        <v>1.67012821685479</v>
      </c>
      <c r="V263">
        <v>-19.690000000000001</v>
      </c>
      <c r="W263">
        <v>3.07</v>
      </c>
      <c r="X263">
        <v>-351881</v>
      </c>
      <c r="Y263">
        <v>-19549</v>
      </c>
      <c r="Z263">
        <v>-0.9</v>
      </c>
      <c r="AA263">
        <v>18</v>
      </c>
      <c r="AB263">
        <v>9</v>
      </c>
      <c r="AC263">
        <v>9</v>
      </c>
      <c r="AD263">
        <v>50</v>
      </c>
      <c r="AE263">
        <v>10</v>
      </c>
      <c r="AF263">
        <v>5</v>
      </c>
      <c r="AG263">
        <v>8</v>
      </c>
      <c r="AH263">
        <v>5</v>
      </c>
    </row>
    <row r="264" spans="1:34">
      <c r="A264" s="111">
        <v>179</v>
      </c>
      <c r="B264">
        <v>9003</v>
      </c>
      <c r="C264" s="115" t="s">
        <v>425</v>
      </c>
      <c r="D264" s="115" t="s">
        <v>154</v>
      </c>
      <c r="E264">
        <v>3080</v>
      </c>
      <c r="F264">
        <v>3060</v>
      </c>
      <c r="G264">
        <v>300</v>
      </c>
      <c r="H264" s="115" t="s">
        <v>87</v>
      </c>
      <c r="I264">
        <v>9956</v>
      </c>
      <c r="J264" s="115" t="s">
        <v>413</v>
      </c>
      <c r="K264" s="115" t="s">
        <v>128</v>
      </c>
      <c r="L264">
        <v>2053</v>
      </c>
      <c r="M264">
        <v>2040</v>
      </c>
      <c r="N264">
        <v>400</v>
      </c>
      <c r="O264" s="115" t="s">
        <v>89</v>
      </c>
      <c r="P264">
        <v>0.94434761128780897</v>
      </c>
      <c r="Q264">
        <v>0.91138007608335203</v>
      </c>
      <c r="R264">
        <v>0.15685335869293501</v>
      </c>
      <c r="S264">
        <v>5.1965674196419002E-2</v>
      </c>
      <c r="T264">
        <v>-0.97373065397987901</v>
      </c>
      <c r="U264">
        <v>0.97373065397987901</v>
      </c>
      <c r="V264">
        <v>-3.14</v>
      </c>
      <c r="W264">
        <v>11.11</v>
      </c>
      <c r="X264">
        <v>-374023</v>
      </c>
      <c r="Y264">
        <v>-20779</v>
      </c>
      <c r="Z264">
        <v>-1.01</v>
      </c>
      <c r="AA264">
        <v>18</v>
      </c>
      <c r="AB264">
        <v>5</v>
      </c>
      <c r="AC264">
        <v>13</v>
      </c>
      <c r="AD264">
        <v>27.78</v>
      </c>
      <c r="AE264">
        <v>12</v>
      </c>
      <c r="AF264">
        <v>3</v>
      </c>
      <c r="AG264">
        <v>6</v>
      </c>
      <c r="AH264">
        <v>9</v>
      </c>
    </row>
    <row r="265" spans="1:34">
      <c r="C265" s="115"/>
      <c r="D265" s="115"/>
      <c r="H265" s="115"/>
      <c r="J265" s="115"/>
      <c r="K265" s="115"/>
      <c r="O265" s="115"/>
    </row>
    <row r="266" spans="1:34">
      <c r="C266" s="115"/>
      <c r="D266" s="115"/>
      <c r="H266" s="115"/>
      <c r="J266" s="115"/>
      <c r="K266" s="115"/>
      <c r="O266" s="115"/>
    </row>
    <row r="267" spans="1:34">
      <c r="C267" s="115"/>
      <c r="D267" s="115"/>
      <c r="H267" s="115"/>
      <c r="J267" s="115"/>
      <c r="K267" s="115"/>
      <c r="O267" s="115"/>
    </row>
    <row r="268" spans="1:34">
      <c r="C268" s="115"/>
      <c r="D268" s="115"/>
      <c r="H268" s="115"/>
      <c r="J268" s="115"/>
      <c r="K268" s="115"/>
      <c r="O268" s="115"/>
    </row>
    <row r="269" spans="1:34">
      <c r="C269" s="115"/>
      <c r="D269" s="115"/>
      <c r="H269" s="115"/>
      <c r="J269" s="115"/>
      <c r="K269" s="115"/>
      <c r="O269" s="115"/>
    </row>
    <row r="270" spans="1:34">
      <c r="C270" s="115"/>
      <c r="D270" s="115"/>
      <c r="H270" s="115"/>
      <c r="J270" s="115"/>
      <c r="K270" s="115"/>
      <c r="O270" s="115"/>
    </row>
    <row r="271" spans="1:34">
      <c r="C271" s="115"/>
      <c r="D271" s="115"/>
      <c r="H271" s="115"/>
      <c r="J271" s="115"/>
      <c r="K271" s="115"/>
      <c r="O271" s="115"/>
    </row>
    <row r="272" spans="1:34">
      <c r="C272" s="115"/>
      <c r="D272" s="115"/>
      <c r="H272" s="115"/>
      <c r="J272" s="115"/>
      <c r="K272" s="115"/>
      <c r="O272" s="115"/>
    </row>
    <row r="273" spans="3:18">
      <c r="C273" s="115"/>
      <c r="D273" s="115"/>
      <c r="H273" s="115"/>
      <c r="J273" s="115"/>
      <c r="K273" s="115"/>
      <c r="O273" s="115"/>
    </row>
    <row r="274" spans="3:18">
      <c r="C274" s="115"/>
      <c r="D274" s="115"/>
      <c r="H274" s="115"/>
      <c r="J274" s="115"/>
      <c r="K274" s="115"/>
      <c r="O274" s="115"/>
    </row>
    <row r="275" spans="3:18">
      <c r="C275" s="115"/>
      <c r="D275" s="115"/>
      <c r="H275" s="115"/>
      <c r="J275" s="115"/>
      <c r="K275" s="115"/>
      <c r="O275" s="115"/>
    </row>
    <row r="276" spans="3:18">
      <c r="C276" s="115"/>
      <c r="D276" s="115"/>
      <c r="H276" s="115"/>
      <c r="J276" s="115"/>
      <c r="K276" s="115"/>
      <c r="O276" s="115"/>
    </row>
    <row r="277" spans="3:18">
      <c r="C277" s="115"/>
      <c r="D277" s="115"/>
      <c r="H277" s="115"/>
      <c r="J277" s="115"/>
      <c r="K277" s="115"/>
      <c r="O277" s="115"/>
    </row>
    <row r="278" spans="3:18">
      <c r="C278" s="115"/>
      <c r="D278" s="115"/>
      <c r="H278" s="115"/>
      <c r="J278" s="115"/>
      <c r="K278" s="115"/>
      <c r="O278" s="115"/>
    </row>
    <row r="279" spans="3:18">
      <c r="C279" s="115"/>
      <c r="D279" s="115"/>
      <c r="H279" s="115"/>
      <c r="J279" s="115"/>
      <c r="K279" s="115"/>
      <c r="O279" s="115"/>
    </row>
    <row r="280" spans="3:18">
      <c r="C280" s="115"/>
      <c r="D280" s="115"/>
      <c r="H280" s="115"/>
      <c r="J280" s="115"/>
      <c r="K280" s="115"/>
      <c r="O280" s="115"/>
    </row>
    <row r="281" spans="3:18">
      <c r="C281" s="115"/>
      <c r="D281" s="115"/>
      <c r="H281" s="115"/>
      <c r="J281" s="115"/>
      <c r="K281" s="115"/>
      <c r="O281" s="115"/>
      <c r="R281" s="20"/>
    </row>
    <row r="282" spans="3:18">
      <c r="C282" s="115"/>
      <c r="D282" s="115"/>
      <c r="H282" s="115"/>
      <c r="J282" s="115"/>
      <c r="K282" s="115"/>
      <c r="O282" s="115"/>
    </row>
    <row r="283" spans="3:18">
      <c r="C283" s="115"/>
      <c r="D283" s="115"/>
      <c r="H283" s="115"/>
      <c r="J283" s="115"/>
      <c r="K283" s="115"/>
      <c r="O283" s="115"/>
    </row>
    <row r="284" spans="3:18">
      <c r="C284" s="115"/>
      <c r="D284" s="115"/>
      <c r="H284" s="115"/>
      <c r="J284" s="115"/>
      <c r="K284" s="115"/>
      <c r="O284" s="115"/>
    </row>
    <row r="285" spans="3:18">
      <c r="C285" s="115"/>
      <c r="D285" s="115"/>
      <c r="H285" s="115"/>
      <c r="J285" s="115"/>
      <c r="K285" s="115"/>
      <c r="O285" s="115"/>
    </row>
    <row r="286" spans="3:18">
      <c r="C286" s="115"/>
      <c r="D286" s="115"/>
      <c r="H286" s="115"/>
      <c r="J286" s="115"/>
      <c r="K286" s="115"/>
      <c r="O286" s="115"/>
    </row>
    <row r="287" spans="3:18">
      <c r="C287" s="115"/>
      <c r="D287" s="115"/>
      <c r="H287" s="115"/>
      <c r="J287" s="115"/>
      <c r="K287" s="115"/>
      <c r="O287" s="115"/>
    </row>
    <row r="288" spans="3:18">
      <c r="C288" s="115"/>
      <c r="D288" s="115"/>
      <c r="H288" s="115"/>
      <c r="J288" s="115"/>
      <c r="K288" s="115"/>
      <c r="O288" s="115"/>
    </row>
    <row r="289" spans="3:19">
      <c r="C289" s="115"/>
      <c r="D289" s="115"/>
      <c r="H289" s="115"/>
      <c r="J289" s="115"/>
      <c r="K289" s="115"/>
      <c r="O289" s="115"/>
    </row>
    <row r="290" spans="3:19">
      <c r="C290" s="115"/>
      <c r="D290" s="115"/>
      <c r="H290" s="115"/>
      <c r="J290" s="115"/>
      <c r="K290" s="115"/>
      <c r="O290" s="115"/>
    </row>
    <row r="291" spans="3:19">
      <c r="C291" s="115"/>
      <c r="D291" s="115"/>
      <c r="H291" s="115"/>
      <c r="J291" s="115"/>
      <c r="K291" s="115"/>
      <c r="O291" s="115"/>
    </row>
    <row r="292" spans="3:19">
      <c r="C292" s="115"/>
      <c r="D292" s="115"/>
      <c r="H292" s="115"/>
      <c r="J292" s="115"/>
      <c r="K292" s="115"/>
      <c r="O292" s="115"/>
    </row>
    <row r="293" spans="3:19">
      <c r="C293" s="115"/>
      <c r="D293" s="115"/>
      <c r="H293" s="115"/>
      <c r="J293" s="115"/>
      <c r="K293" s="115"/>
      <c r="O293" s="115"/>
    </row>
    <row r="294" spans="3:19">
      <c r="C294" s="115"/>
      <c r="D294" s="115"/>
      <c r="H294" s="115"/>
      <c r="J294" s="115"/>
      <c r="K294" s="115"/>
      <c r="O294" s="115"/>
    </row>
    <row r="295" spans="3:19">
      <c r="C295" s="115"/>
      <c r="D295" s="115"/>
      <c r="H295" s="115"/>
      <c r="J295" s="115"/>
      <c r="K295" s="115"/>
      <c r="O295" s="115"/>
    </row>
    <row r="296" spans="3:19">
      <c r="C296" s="115"/>
      <c r="D296" s="115"/>
      <c r="H296" s="115"/>
      <c r="J296" s="115"/>
      <c r="K296" s="115"/>
      <c r="O296" s="115"/>
      <c r="R296" s="20"/>
    </row>
    <row r="297" spans="3:19">
      <c r="C297" s="115"/>
      <c r="D297" s="115"/>
      <c r="H297" s="115"/>
      <c r="J297" s="115"/>
      <c r="K297" s="115"/>
      <c r="O297" s="115"/>
      <c r="R297" s="20"/>
    </row>
    <row r="298" spans="3:19">
      <c r="C298" s="115"/>
      <c r="D298" s="115"/>
      <c r="H298" s="115"/>
      <c r="J298" s="115"/>
      <c r="K298" s="115"/>
      <c r="O298" s="115"/>
    </row>
    <row r="299" spans="3:19">
      <c r="C299" s="115"/>
      <c r="D299" s="115"/>
      <c r="H299" s="115"/>
      <c r="J299" s="115"/>
      <c r="K299" s="115"/>
      <c r="O299" s="115"/>
    </row>
    <row r="300" spans="3:19">
      <c r="C300" s="115"/>
      <c r="D300" s="115"/>
      <c r="H300" s="115"/>
      <c r="J300" s="115"/>
      <c r="K300" s="115"/>
      <c r="O300" s="115"/>
    </row>
    <row r="301" spans="3:19">
      <c r="C301" s="115"/>
      <c r="D301" s="115"/>
      <c r="H301" s="115"/>
      <c r="J301" s="115"/>
      <c r="K301" s="115"/>
      <c r="O301" s="115"/>
      <c r="S301" s="20"/>
    </row>
    <row r="302" spans="3:19">
      <c r="C302" s="115"/>
      <c r="D302" s="115"/>
      <c r="H302" s="115"/>
      <c r="J302" s="115"/>
      <c r="K302" s="115"/>
      <c r="O302" s="115"/>
    </row>
    <row r="303" spans="3:19">
      <c r="C303" s="115"/>
      <c r="D303" s="115"/>
      <c r="H303" s="115"/>
      <c r="J303" s="115"/>
      <c r="K303" s="115"/>
      <c r="O303" s="115"/>
    </row>
    <row r="304" spans="3:19">
      <c r="C304" s="115"/>
      <c r="D304" s="115"/>
      <c r="H304" s="115"/>
      <c r="J304" s="115"/>
      <c r="K304" s="115"/>
      <c r="O304" s="115"/>
    </row>
    <row r="305" spans="3:19">
      <c r="C305" s="115"/>
      <c r="D305" s="115"/>
      <c r="H305" s="115"/>
      <c r="J305" s="115"/>
      <c r="K305" s="115"/>
      <c r="O305" s="115"/>
    </row>
    <row r="306" spans="3:19">
      <c r="C306" s="115"/>
      <c r="D306" s="115"/>
      <c r="H306" s="115"/>
      <c r="J306" s="115"/>
      <c r="K306" s="115"/>
      <c r="O306" s="115"/>
      <c r="S306" s="20"/>
    </row>
    <row r="307" spans="3:19">
      <c r="C307" s="115"/>
      <c r="D307" s="115"/>
      <c r="H307" s="115"/>
      <c r="J307" s="115"/>
      <c r="K307" s="115"/>
      <c r="O307" s="115"/>
    </row>
    <row r="308" spans="3:19">
      <c r="C308" s="115"/>
      <c r="D308" s="115"/>
      <c r="H308" s="115"/>
      <c r="J308" s="115"/>
      <c r="K308" s="115"/>
      <c r="O308" s="115"/>
    </row>
    <row r="309" spans="3:19">
      <c r="C309" s="115"/>
      <c r="D309" s="115"/>
      <c r="H309" s="115"/>
      <c r="J309" s="115"/>
      <c r="K309" s="115"/>
      <c r="O309" s="115"/>
    </row>
    <row r="310" spans="3:19">
      <c r="C310" s="115"/>
      <c r="D310" s="115"/>
      <c r="H310" s="115"/>
      <c r="J310" s="115"/>
      <c r="K310" s="115"/>
      <c r="O310" s="115"/>
    </row>
    <row r="311" spans="3:19">
      <c r="C311" s="115"/>
      <c r="D311" s="115"/>
      <c r="H311" s="115"/>
      <c r="J311" s="115"/>
      <c r="K311" s="115"/>
      <c r="O311" s="115"/>
    </row>
    <row r="312" spans="3:19">
      <c r="C312" s="115"/>
      <c r="D312" s="115"/>
      <c r="H312" s="115"/>
      <c r="J312" s="115"/>
      <c r="K312" s="115"/>
      <c r="O312" s="115"/>
    </row>
    <row r="313" spans="3:19">
      <c r="C313" s="115"/>
      <c r="D313" s="115"/>
      <c r="H313" s="115"/>
      <c r="J313" s="115"/>
      <c r="K313" s="115"/>
      <c r="O313" s="115"/>
    </row>
    <row r="314" spans="3:19">
      <c r="C314" s="115"/>
      <c r="D314" s="115"/>
      <c r="H314" s="115"/>
      <c r="J314" s="115"/>
      <c r="K314" s="115"/>
      <c r="O314" s="115"/>
    </row>
    <row r="315" spans="3:19">
      <c r="C315" s="115"/>
      <c r="D315" s="115"/>
      <c r="H315" s="115"/>
      <c r="J315" s="115"/>
      <c r="K315" s="115"/>
      <c r="O315" s="115"/>
    </row>
    <row r="316" spans="3:19">
      <c r="C316" s="115"/>
      <c r="D316" s="115"/>
      <c r="H316" s="115"/>
      <c r="J316" s="115"/>
      <c r="K316" s="115"/>
      <c r="O316" s="115"/>
    </row>
    <row r="317" spans="3:19">
      <c r="C317" s="115"/>
      <c r="D317" s="115"/>
      <c r="H317" s="115"/>
      <c r="J317" s="115"/>
      <c r="K317" s="115"/>
      <c r="O317" s="115"/>
    </row>
    <row r="318" spans="3:19">
      <c r="C318" s="115"/>
      <c r="D318" s="115"/>
      <c r="H318" s="115"/>
      <c r="J318" s="115"/>
      <c r="K318" s="115"/>
      <c r="O318" s="115"/>
    </row>
    <row r="319" spans="3:19">
      <c r="C319" s="115"/>
      <c r="D319" s="115"/>
      <c r="H319" s="115"/>
      <c r="J319" s="115"/>
      <c r="K319" s="115"/>
      <c r="O319" s="115"/>
    </row>
    <row r="320" spans="3:19">
      <c r="C320" s="115"/>
      <c r="D320" s="115"/>
      <c r="H320" s="115"/>
      <c r="J320" s="115"/>
      <c r="K320" s="115"/>
      <c r="O320" s="115"/>
    </row>
    <row r="321" spans="3:18">
      <c r="C321" s="115"/>
      <c r="D321" s="115"/>
      <c r="H321" s="115"/>
      <c r="J321" s="115"/>
      <c r="K321" s="115"/>
      <c r="O321" s="115"/>
      <c r="R321" s="20"/>
    </row>
    <row r="322" spans="3:18">
      <c r="C322" s="115"/>
      <c r="D322" s="115"/>
      <c r="H322" s="115"/>
      <c r="J322" s="115"/>
      <c r="K322" s="115"/>
      <c r="O322" s="115"/>
    </row>
    <row r="323" spans="3:18">
      <c r="C323" s="115"/>
      <c r="D323" s="115"/>
      <c r="H323" s="115"/>
      <c r="J323" s="115"/>
      <c r="K323" s="115"/>
      <c r="O323" s="115"/>
    </row>
    <row r="324" spans="3:18">
      <c r="C324" s="115"/>
      <c r="D324" s="115"/>
      <c r="H324" s="115"/>
      <c r="J324" s="115"/>
      <c r="K324" s="115"/>
      <c r="O324" s="115"/>
    </row>
    <row r="325" spans="3:18">
      <c r="C325" s="115"/>
      <c r="D325" s="115"/>
      <c r="H325" s="115"/>
      <c r="J325" s="115"/>
      <c r="K325" s="115"/>
      <c r="O325" s="115"/>
    </row>
    <row r="326" spans="3:18">
      <c r="C326" s="115"/>
      <c r="D326" s="115"/>
      <c r="H326" s="115"/>
      <c r="J326" s="115"/>
      <c r="K326" s="115"/>
      <c r="O326" s="115"/>
    </row>
    <row r="327" spans="3:18">
      <c r="C327" s="115"/>
      <c r="D327" s="115"/>
      <c r="H327" s="115"/>
      <c r="J327" s="115"/>
      <c r="K327" s="115"/>
      <c r="O327" s="115"/>
    </row>
    <row r="328" spans="3:18">
      <c r="C328" s="115"/>
      <c r="D328" s="115"/>
      <c r="H328" s="115"/>
      <c r="J328" s="115"/>
      <c r="K328" s="115"/>
      <c r="O328" s="115"/>
    </row>
    <row r="329" spans="3:18">
      <c r="C329" s="115"/>
      <c r="D329" s="115"/>
      <c r="H329" s="115"/>
      <c r="J329" s="115"/>
      <c r="K329" s="115"/>
      <c r="O329" s="115"/>
    </row>
    <row r="330" spans="3:18">
      <c r="C330" s="115"/>
      <c r="D330" s="115"/>
      <c r="H330" s="115"/>
      <c r="J330" s="115"/>
      <c r="K330" s="115"/>
      <c r="O330" s="115"/>
    </row>
    <row r="331" spans="3:18">
      <c r="C331" s="115"/>
      <c r="D331" s="115"/>
      <c r="H331" s="115"/>
      <c r="J331" s="115"/>
      <c r="K331" s="115"/>
      <c r="O331" s="115"/>
    </row>
    <row r="332" spans="3:18">
      <c r="C332" s="115"/>
      <c r="D332" s="115"/>
      <c r="H332" s="115"/>
      <c r="J332" s="115"/>
      <c r="K332" s="115"/>
      <c r="O332" s="115"/>
    </row>
    <row r="333" spans="3:18">
      <c r="C333" s="115"/>
      <c r="D333" s="115"/>
      <c r="H333" s="115"/>
      <c r="J333" s="115"/>
      <c r="K333" s="115"/>
      <c r="O333" s="115"/>
    </row>
    <row r="334" spans="3:18">
      <c r="C334" s="115"/>
      <c r="D334" s="115"/>
      <c r="H334" s="115"/>
      <c r="J334" s="115"/>
      <c r="K334" s="115"/>
      <c r="O334" s="115"/>
    </row>
    <row r="335" spans="3:18">
      <c r="C335" s="115"/>
      <c r="D335" s="115"/>
      <c r="H335" s="115"/>
      <c r="J335" s="115"/>
      <c r="K335" s="115"/>
      <c r="O335" s="115"/>
    </row>
    <row r="336" spans="3:18">
      <c r="C336" s="115"/>
      <c r="D336" s="115"/>
      <c r="H336" s="115"/>
      <c r="J336" s="115"/>
      <c r="K336" s="115"/>
      <c r="O336" s="115"/>
      <c r="R336" s="20"/>
    </row>
    <row r="337" spans="3:18">
      <c r="C337" s="115"/>
      <c r="D337" s="115"/>
      <c r="H337" s="115"/>
      <c r="J337" s="115"/>
      <c r="K337" s="115"/>
      <c r="O337" s="115"/>
    </row>
    <row r="338" spans="3:18">
      <c r="C338" s="115"/>
      <c r="D338" s="115"/>
      <c r="H338" s="115"/>
      <c r="J338" s="115"/>
      <c r="K338" s="115"/>
      <c r="O338" s="115"/>
    </row>
    <row r="339" spans="3:18">
      <c r="C339" s="115"/>
      <c r="D339" s="115"/>
      <c r="H339" s="115"/>
      <c r="J339" s="115"/>
      <c r="K339" s="115"/>
      <c r="O339" s="115"/>
    </row>
    <row r="340" spans="3:18">
      <c r="C340" s="115"/>
      <c r="D340" s="115"/>
      <c r="H340" s="115"/>
      <c r="J340" s="115"/>
      <c r="K340" s="115"/>
      <c r="O340" s="115"/>
    </row>
    <row r="341" spans="3:18">
      <c r="C341" s="115"/>
      <c r="D341" s="115"/>
      <c r="H341" s="115"/>
      <c r="J341" s="115"/>
      <c r="K341" s="115"/>
      <c r="O341" s="115"/>
      <c r="R341" s="20"/>
    </row>
    <row r="342" spans="3:18">
      <c r="C342" s="115"/>
      <c r="D342" s="115"/>
      <c r="H342" s="115"/>
      <c r="J342" s="115"/>
      <c r="K342" s="115"/>
      <c r="O342" s="115"/>
    </row>
    <row r="343" spans="3:18">
      <c r="C343" s="115"/>
      <c r="D343" s="115"/>
      <c r="H343" s="115"/>
      <c r="J343" s="115"/>
      <c r="K343" s="115"/>
      <c r="O343" s="115"/>
    </row>
    <row r="344" spans="3:18">
      <c r="C344" s="115"/>
      <c r="D344" s="115"/>
      <c r="H344" s="115"/>
      <c r="J344" s="115"/>
      <c r="K344" s="115"/>
      <c r="O344" s="115"/>
    </row>
    <row r="345" spans="3:18">
      <c r="C345" s="115"/>
      <c r="D345" s="115"/>
      <c r="H345" s="115"/>
      <c r="J345" s="115"/>
      <c r="K345" s="115"/>
      <c r="O345" s="115"/>
    </row>
    <row r="346" spans="3:18">
      <c r="C346" s="115"/>
      <c r="D346" s="115"/>
      <c r="H346" s="115"/>
      <c r="J346" s="115"/>
      <c r="K346" s="115"/>
      <c r="O346" s="115"/>
    </row>
    <row r="347" spans="3:18">
      <c r="C347" s="115"/>
      <c r="D347" s="115"/>
      <c r="H347" s="115"/>
      <c r="J347" s="115"/>
      <c r="K347" s="115"/>
      <c r="O347" s="115"/>
    </row>
    <row r="348" spans="3:18">
      <c r="C348" s="115"/>
      <c r="D348" s="115"/>
      <c r="H348" s="115"/>
      <c r="J348" s="115"/>
      <c r="K348" s="115"/>
      <c r="O348" s="115"/>
    </row>
    <row r="349" spans="3:18">
      <c r="C349" s="115"/>
      <c r="D349" s="115"/>
      <c r="H349" s="115"/>
      <c r="J349" s="115"/>
      <c r="K349" s="115"/>
      <c r="O349" s="115"/>
    </row>
    <row r="350" spans="3:18">
      <c r="C350" s="115"/>
      <c r="D350" s="115"/>
      <c r="H350" s="115"/>
      <c r="J350" s="115"/>
      <c r="K350" s="115"/>
      <c r="O350" s="115"/>
    </row>
    <row r="351" spans="3:18">
      <c r="C351" s="115"/>
      <c r="D351" s="115"/>
      <c r="H351" s="115"/>
      <c r="J351" s="115"/>
      <c r="K351" s="115"/>
      <c r="O351" s="115"/>
    </row>
    <row r="352" spans="3:18">
      <c r="C352" s="115"/>
      <c r="D352" s="115"/>
      <c r="H352" s="115"/>
      <c r="J352" s="115"/>
      <c r="K352" s="115"/>
      <c r="O352" s="115"/>
    </row>
    <row r="353" spans="3:15">
      <c r="C353" s="115"/>
      <c r="D353" s="115"/>
      <c r="H353" s="115"/>
      <c r="J353" s="115"/>
      <c r="K353" s="115"/>
      <c r="O353" s="115"/>
    </row>
    <row r="354" spans="3:15">
      <c r="C354" s="115"/>
      <c r="D354" s="115"/>
      <c r="H354" s="115"/>
      <c r="J354" s="115"/>
      <c r="K354" s="115"/>
      <c r="O354" s="115"/>
    </row>
    <row r="355" spans="3:15">
      <c r="C355" s="115"/>
      <c r="D355" s="115"/>
      <c r="H355" s="115"/>
      <c r="J355" s="115"/>
      <c r="K355" s="115"/>
      <c r="O355" s="115"/>
    </row>
    <row r="356" spans="3:15">
      <c r="C356" s="115"/>
      <c r="D356" s="115"/>
      <c r="H356" s="115"/>
      <c r="J356" s="115"/>
      <c r="K356" s="115"/>
      <c r="O356" s="115"/>
    </row>
    <row r="357" spans="3:15">
      <c r="C357" s="115"/>
      <c r="D357" s="115"/>
      <c r="H357" s="115"/>
      <c r="J357" s="115"/>
      <c r="K357" s="115"/>
      <c r="O357" s="115"/>
    </row>
    <row r="358" spans="3:15">
      <c r="C358" s="115"/>
      <c r="D358" s="115"/>
      <c r="H358" s="115"/>
      <c r="J358" s="115"/>
      <c r="K358" s="115"/>
      <c r="O358" s="115"/>
    </row>
    <row r="359" spans="3:15">
      <c r="C359" s="115"/>
      <c r="D359" s="115"/>
      <c r="H359" s="115"/>
      <c r="J359" s="115"/>
      <c r="K359" s="115"/>
      <c r="O359" s="115"/>
    </row>
    <row r="360" spans="3:15">
      <c r="C360" s="115"/>
      <c r="D360" s="115"/>
      <c r="H360" s="115"/>
      <c r="J360" s="115"/>
      <c r="K360" s="115"/>
      <c r="O360" s="115"/>
    </row>
    <row r="361" spans="3:15">
      <c r="C361" s="115"/>
      <c r="D361" s="115"/>
      <c r="H361" s="115"/>
      <c r="J361" s="115"/>
      <c r="K361" s="115"/>
      <c r="O361" s="115"/>
    </row>
    <row r="362" spans="3:15">
      <c r="C362" s="115"/>
      <c r="D362" s="115"/>
      <c r="H362" s="115"/>
      <c r="J362" s="115"/>
      <c r="K362" s="115"/>
      <c r="O362" s="115"/>
    </row>
    <row r="363" spans="3:15">
      <c r="C363" s="115"/>
      <c r="D363" s="115"/>
      <c r="H363" s="115"/>
      <c r="J363" s="115"/>
      <c r="K363" s="115"/>
      <c r="O363" s="115"/>
    </row>
    <row r="364" spans="3:15">
      <c r="C364" s="115"/>
      <c r="D364" s="115"/>
      <c r="H364" s="115"/>
      <c r="J364" s="115"/>
      <c r="K364" s="115"/>
      <c r="O364" s="115"/>
    </row>
    <row r="365" spans="3:15">
      <c r="C365" s="115"/>
      <c r="D365" s="115"/>
      <c r="H365" s="115"/>
      <c r="J365" s="115"/>
      <c r="K365" s="115"/>
      <c r="O365" s="115"/>
    </row>
    <row r="366" spans="3:15">
      <c r="C366" s="115"/>
      <c r="D366" s="115"/>
      <c r="H366" s="115"/>
      <c r="J366" s="115"/>
      <c r="K366" s="115"/>
      <c r="O366" s="115"/>
    </row>
    <row r="367" spans="3:15">
      <c r="C367" s="115"/>
      <c r="D367" s="115"/>
      <c r="H367" s="115"/>
      <c r="J367" s="115"/>
      <c r="K367" s="115"/>
      <c r="O367" s="115"/>
    </row>
    <row r="368" spans="3:15">
      <c r="C368" s="115"/>
      <c r="D368" s="115"/>
      <c r="H368" s="115"/>
      <c r="J368" s="115"/>
      <c r="K368" s="115"/>
      <c r="O368" s="115"/>
    </row>
    <row r="369" spans="3:19">
      <c r="C369" s="115"/>
      <c r="D369" s="115"/>
      <c r="H369" s="115"/>
      <c r="J369" s="115"/>
      <c r="K369" s="115"/>
      <c r="O369" s="115"/>
    </row>
    <row r="370" spans="3:19">
      <c r="C370" s="115"/>
      <c r="D370" s="115"/>
      <c r="H370" s="115"/>
      <c r="J370" s="115"/>
      <c r="K370" s="115"/>
      <c r="O370" s="115"/>
    </row>
    <row r="371" spans="3:19">
      <c r="C371" s="115"/>
      <c r="D371" s="115"/>
      <c r="H371" s="115"/>
      <c r="J371" s="115"/>
      <c r="K371" s="115"/>
      <c r="O371" s="115"/>
    </row>
    <row r="372" spans="3:19">
      <c r="C372" s="115"/>
      <c r="D372" s="115"/>
      <c r="H372" s="115"/>
      <c r="J372" s="115"/>
      <c r="K372" s="115"/>
      <c r="O372" s="115"/>
    </row>
    <row r="373" spans="3:19">
      <c r="C373" s="115"/>
      <c r="D373" s="115"/>
      <c r="H373" s="115"/>
      <c r="J373" s="115"/>
      <c r="K373" s="115"/>
      <c r="O373" s="115"/>
    </row>
    <row r="374" spans="3:19">
      <c r="C374" s="115"/>
      <c r="D374" s="115"/>
      <c r="H374" s="115"/>
      <c r="J374" s="115"/>
      <c r="K374" s="115"/>
      <c r="O374" s="115"/>
    </row>
    <row r="375" spans="3:19">
      <c r="C375" s="115"/>
      <c r="D375" s="115"/>
      <c r="H375" s="115"/>
      <c r="J375" s="115"/>
      <c r="K375" s="115"/>
      <c r="O375" s="115"/>
    </row>
    <row r="376" spans="3:19">
      <c r="C376" s="115"/>
      <c r="D376" s="115"/>
      <c r="H376" s="115"/>
      <c r="J376" s="115"/>
      <c r="K376" s="115"/>
      <c r="O376" s="115"/>
    </row>
    <row r="377" spans="3:19">
      <c r="C377" s="115"/>
      <c r="D377" s="115"/>
      <c r="H377" s="115"/>
      <c r="J377" s="115"/>
      <c r="K377" s="115"/>
      <c r="O377" s="115"/>
      <c r="S377" s="20"/>
    </row>
    <row r="378" spans="3:19">
      <c r="C378" s="115"/>
      <c r="D378" s="115"/>
      <c r="H378" s="115"/>
      <c r="J378" s="115"/>
      <c r="K378" s="115"/>
      <c r="O378" s="115"/>
    </row>
    <row r="379" spans="3:19">
      <c r="C379" s="115"/>
      <c r="D379" s="115"/>
      <c r="H379" s="115"/>
      <c r="J379" s="115"/>
      <c r="K379" s="115"/>
      <c r="O379" s="115"/>
      <c r="R379" s="20"/>
    </row>
    <row r="380" spans="3:19">
      <c r="C380" s="115"/>
      <c r="D380" s="115"/>
      <c r="H380" s="115"/>
      <c r="J380" s="115"/>
      <c r="K380" s="115"/>
      <c r="O380" s="115"/>
    </row>
    <row r="381" spans="3:19">
      <c r="C381" s="115"/>
      <c r="D381" s="115"/>
      <c r="H381" s="115"/>
      <c r="J381" s="115"/>
      <c r="K381" s="115"/>
      <c r="O381" s="115"/>
    </row>
    <row r="382" spans="3:19">
      <c r="C382" s="115"/>
      <c r="D382" s="115"/>
      <c r="H382" s="115"/>
      <c r="J382" s="115"/>
      <c r="K382" s="115"/>
      <c r="O382" s="115"/>
    </row>
    <row r="383" spans="3:19">
      <c r="C383" s="115"/>
      <c r="D383" s="115"/>
      <c r="H383" s="115"/>
      <c r="J383" s="115"/>
      <c r="K383" s="115"/>
      <c r="O383" s="115"/>
    </row>
    <row r="384" spans="3:19">
      <c r="C384" s="115"/>
      <c r="D384" s="115"/>
      <c r="H384" s="115"/>
      <c r="J384" s="115"/>
      <c r="K384" s="115"/>
      <c r="O384" s="115"/>
    </row>
    <row r="385" spans="3:19">
      <c r="C385" s="115"/>
      <c r="D385" s="115"/>
      <c r="H385" s="115"/>
      <c r="J385" s="115"/>
      <c r="K385" s="115"/>
      <c r="O385" s="115"/>
    </row>
    <row r="386" spans="3:19">
      <c r="C386" s="115"/>
      <c r="D386" s="115"/>
      <c r="H386" s="115"/>
      <c r="J386" s="115"/>
      <c r="K386" s="115"/>
      <c r="O386" s="115"/>
    </row>
    <row r="387" spans="3:19">
      <c r="C387" s="115"/>
      <c r="D387" s="115"/>
      <c r="H387" s="115"/>
      <c r="J387" s="115"/>
      <c r="K387" s="115"/>
      <c r="O387" s="115"/>
    </row>
    <row r="388" spans="3:19">
      <c r="C388" s="115"/>
      <c r="D388" s="115"/>
      <c r="H388" s="115"/>
      <c r="J388" s="115"/>
      <c r="K388" s="115"/>
      <c r="O388" s="115"/>
    </row>
    <row r="389" spans="3:19">
      <c r="C389" s="115"/>
      <c r="D389" s="115"/>
      <c r="H389" s="115"/>
      <c r="J389" s="115"/>
      <c r="K389" s="115"/>
      <c r="O389" s="115"/>
    </row>
    <row r="390" spans="3:19">
      <c r="C390" s="115"/>
      <c r="D390" s="115"/>
      <c r="H390" s="115"/>
      <c r="J390" s="115"/>
      <c r="K390" s="115"/>
      <c r="O390" s="115"/>
      <c r="R390" s="20"/>
    </row>
    <row r="391" spans="3:19">
      <c r="C391" s="115"/>
      <c r="D391" s="115"/>
      <c r="H391" s="115"/>
      <c r="J391" s="115"/>
      <c r="K391" s="115"/>
      <c r="O391" s="115"/>
    </row>
    <row r="392" spans="3:19">
      <c r="C392" s="115"/>
      <c r="D392" s="115"/>
      <c r="H392" s="115"/>
      <c r="J392" s="115"/>
      <c r="K392" s="115"/>
      <c r="O392" s="115"/>
    </row>
    <row r="393" spans="3:19">
      <c r="C393" s="115"/>
      <c r="D393" s="115"/>
      <c r="H393" s="115"/>
      <c r="J393" s="115"/>
      <c r="K393" s="115"/>
      <c r="O393" s="115"/>
    </row>
    <row r="394" spans="3:19">
      <c r="C394" s="115"/>
      <c r="D394" s="115"/>
      <c r="H394" s="115"/>
      <c r="J394" s="115"/>
      <c r="K394" s="115"/>
      <c r="O394" s="115"/>
    </row>
    <row r="395" spans="3:19">
      <c r="C395" s="115"/>
      <c r="D395" s="115"/>
      <c r="H395" s="115"/>
      <c r="J395" s="115"/>
      <c r="K395" s="115"/>
      <c r="O395" s="115"/>
    </row>
    <row r="396" spans="3:19">
      <c r="C396" s="115"/>
      <c r="D396" s="115"/>
      <c r="H396" s="115"/>
      <c r="J396" s="115"/>
      <c r="K396" s="115"/>
      <c r="O396" s="115"/>
    </row>
    <row r="397" spans="3:19">
      <c r="C397" s="115"/>
      <c r="D397" s="115"/>
      <c r="H397" s="115"/>
      <c r="J397" s="115"/>
      <c r="K397" s="115"/>
      <c r="O397" s="115"/>
    </row>
    <row r="398" spans="3:19">
      <c r="C398" s="115"/>
      <c r="D398" s="115"/>
      <c r="H398" s="115"/>
      <c r="J398" s="115"/>
      <c r="K398" s="115"/>
      <c r="O398" s="115"/>
      <c r="S398" s="20"/>
    </row>
    <row r="399" spans="3:19">
      <c r="C399" s="115"/>
      <c r="D399" s="115"/>
      <c r="H399" s="115"/>
      <c r="J399" s="115"/>
      <c r="K399" s="115"/>
      <c r="O399" s="115"/>
    </row>
    <row r="400" spans="3:19">
      <c r="C400" s="115"/>
      <c r="D400" s="115"/>
      <c r="H400" s="115"/>
      <c r="J400" s="115"/>
      <c r="K400" s="115"/>
      <c r="O400" s="115"/>
    </row>
    <row r="401" spans="3:15">
      <c r="C401" s="115"/>
      <c r="D401" s="115"/>
      <c r="H401" s="115"/>
      <c r="J401" s="115"/>
      <c r="K401" s="115"/>
      <c r="O401" s="115"/>
    </row>
    <row r="402" spans="3:15">
      <c r="C402" s="115"/>
      <c r="D402" s="115"/>
      <c r="H402" s="115"/>
      <c r="J402" s="115"/>
      <c r="K402" s="115"/>
      <c r="O402" s="115"/>
    </row>
    <row r="403" spans="3:15">
      <c r="C403" s="115"/>
      <c r="D403" s="115"/>
      <c r="H403" s="115"/>
      <c r="J403" s="115"/>
      <c r="K403" s="115"/>
      <c r="O403" s="115"/>
    </row>
    <row r="404" spans="3:15">
      <c r="C404" s="115"/>
      <c r="D404" s="115"/>
      <c r="H404" s="115"/>
      <c r="J404" s="115"/>
      <c r="K404" s="115"/>
      <c r="O404" s="115"/>
    </row>
    <row r="405" spans="3:15">
      <c r="C405" s="115"/>
      <c r="D405" s="115"/>
      <c r="H405" s="115"/>
      <c r="J405" s="115"/>
      <c r="K405" s="115"/>
      <c r="O405" s="115"/>
    </row>
    <row r="406" spans="3:15">
      <c r="C406" s="115"/>
      <c r="D406" s="115"/>
      <c r="H406" s="115"/>
      <c r="J406" s="115"/>
      <c r="K406" s="115"/>
      <c r="O406" s="115"/>
    </row>
    <row r="407" spans="3:15">
      <c r="C407" s="115"/>
      <c r="D407" s="115"/>
      <c r="H407" s="115"/>
      <c r="J407" s="115"/>
      <c r="K407" s="115"/>
      <c r="O407" s="115"/>
    </row>
    <row r="408" spans="3:15">
      <c r="C408" s="115"/>
      <c r="D408" s="115"/>
      <c r="H408" s="115"/>
      <c r="J408" s="115"/>
      <c r="K408" s="115"/>
      <c r="O408" s="115"/>
    </row>
    <row r="409" spans="3:15">
      <c r="C409" s="115"/>
      <c r="D409" s="115"/>
      <c r="H409" s="115"/>
      <c r="J409" s="115"/>
      <c r="K409" s="115"/>
      <c r="O409" s="115"/>
    </row>
    <row r="410" spans="3:15">
      <c r="C410" s="115"/>
      <c r="D410" s="115"/>
      <c r="H410" s="115"/>
      <c r="J410" s="115"/>
      <c r="K410" s="115"/>
      <c r="O410" s="115"/>
    </row>
    <row r="411" spans="3:15">
      <c r="C411" s="115"/>
      <c r="D411" s="115"/>
      <c r="H411" s="115"/>
      <c r="J411" s="115"/>
      <c r="K411" s="115"/>
      <c r="O411" s="115"/>
    </row>
    <row r="412" spans="3:15">
      <c r="C412" s="115"/>
      <c r="D412" s="115"/>
      <c r="H412" s="115"/>
      <c r="J412" s="115"/>
      <c r="K412" s="115"/>
      <c r="O412" s="115"/>
    </row>
    <row r="413" spans="3:15">
      <c r="C413" s="115"/>
      <c r="D413" s="115"/>
      <c r="H413" s="115"/>
      <c r="J413" s="115"/>
      <c r="K413" s="115"/>
      <c r="O413" s="115"/>
    </row>
    <row r="414" spans="3:15">
      <c r="C414" s="115"/>
      <c r="D414" s="115"/>
      <c r="H414" s="115"/>
      <c r="J414" s="115"/>
      <c r="K414" s="115"/>
      <c r="O414" s="115"/>
    </row>
    <row r="415" spans="3:15">
      <c r="C415" s="115"/>
      <c r="D415" s="115"/>
      <c r="H415" s="115"/>
      <c r="J415" s="115"/>
      <c r="K415" s="115"/>
      <c r="O415" s="115"/>
    </row>
    <row r="416" spans="3:15">
      <c r="C416" s="115"/>
      <c r="D416" s="115"/>
      <c r="H416" s="115"/>
      <c r="J416" s="115"/>
      <c r="K416" s="115"/>
      <c r="O416" s="115"/>
    </row>
    <row r="417" spans="3:15">
      <c r="C417" s="115"/>
      <c r="D417" s="115"/>
      <c r="H417" s="115"/>
      <c r="J417" s="115"/>
      <c r="K417" s="115"/>
      <c r="O417" s="115"/>
    </row>
    <row r="418" spans="3:15">
      <c r="C418" s="115"/>
      <c r="D418" s="115"/>
      <c r="H418" s="115"/>
      <c r="J418" s="115"/>
      <c r="K418" s="115"/>
      <c r="O418" s="115"/>
    </row>
    <row r="419" spans="3:15">
      <c r="C419" s="115"/>
      <c r="D419" s="115"/>
      <c r="H419" s="115"/>
      <c r="J419" s="115"/>
      <c r="K419" s="115"/>
      <c r="O419" s="115"/>
    </row>
    <row r="420" spans="3:15">
      <c r="C420" s="115"/>
      <c r="D420" s="115"/>
      <c r="H420" s="115"/>
      <c r="J420" s="115"/>
      <c r="K420" s="115"/>
      <c r="O420" s="115"/>
    </row>
    <row r="421" spans="3:15">
      <c r="C421" s="115"/>
      <c r="D421" s="115"/>
      <c r="H421" s="115"/>
      <c r="J421" s="115"/>
      <c r="K421" s="115"/>
      <c r="O421" s="115"/>
    </row>
    <row r="422" spans="3:15">
      <c r="C422" s="115"/>
      <c r="D422" s="115"/>
      <c r="H422" s="115"/>
      <c r="J422" s="115"/>
      <c r="K422" s="115"/>
      <c r="O422" s="115"/>
    </row>
    <row r="423" spans="3:15">
      <c r="C423" s="115"/>
      <c r="D423" s="115"/>
      <c r="H423" s="115"/>
      <c r="J423" s="115"/>
      <c r="K423" s="115"/>
      <c r="O423" s="115"/>
    </row>
    <row r="424" spans="3:15">
      <c r="C424" s="115"/>
      <c r="D424" s="115"/>
      <c r="H424" s="115"/>
      <c r="J424" s="115"/>
      <c r="K424" s="115"/>
      <c r="O424" s="115"/>
    </row>
    <row r="425" spans="3:15">
      <c r="C425" s="115"/>
      <c r="D425" s="115"/>
      <c r="H425" s="115"/>
      <c r="J425" s="115"/>
      <c r="K425" s="115"/>
      <c r="O425" s="115"/>
    </row>
    <row r="426" spans="3:15">
      <c r="C426" s="115"/>
      <c r="D426" s="115"/>
      <c r="H426" s="115"/>
      <c r="J426" s="115"/>
      <c r="K426" s="115"/>
      <c r="O426" s="115"/>
    </row>
    <row r="427" spans="3:15">
      <c r="C427" s="115"/>
      <c r="D427" s="115"/>
      <c r="H427" s="115"/>
      <c r="J427" s="115"/>
      <c r="K427" s="115"/>
      <c r="O427" s="115"/>
    </row>
    <row r="428" spans="3:15">
      <c r="C428" s="115"/>
      <c r="D428" s="115"/>
      <c r="H428" s="115"/>
      <c r="J428" s="115"/>
      <c r="K428" s="115"/>
      <c r="O428" s="115"/>
    </row>
    <row r="429" spans="3:15">
      <c r="C429" s="115"/>
      <c r="D429" s="115"/>
      <c r="H429" s="115"/>
      <c r="J429" s="115"/>
      <c r="K429" s="115"/>
      <c r="O429" s="115"/>
    </row>
    <row r="430" spans="3:15">
      <c r="C430" s="115"/>
      <c r="D430" s="115"/>
      <c r="H430" s="115"/>
      <c r="J430" s="115"/>
      <c r="K430" s="115"/>
      <c r="O430" s="115"/>
    </row>
    <row r="431" spans="3:15">
      <c r="C431" s="115"/>
      <c r="D431" s="115"/>
      <c r="H431" s="115"/>
      <c r="J431" s="115"/>
      <c r="K431" s="115"/>
      <c r="O431" s="115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42" sqref="K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/>
  <dimension ref="A3:H59"/>
  <sheetViews>
    <sheetView workbookViewId="0">
      <selection activeCell="G11" sqref="G11"/>
    </sheetView>
  </sheetViews>
  <sheetFormatPr defaultRowHeight="14.25"/>
  <cols>
    <col min="1" max="1" width="27.125" customWidth="1"/>
    <col min="2" max="2" width="34.625" customWidth="1"/>
  </cols>
  <sheetData>
    <row r="3" spans="1:2" ht="15">
      <c r="A3" s="85" t="s">
        <v>235</v>
      </c>
    </row>
    <row r="4" spans="1:2">
      <c r="B4" s="1"/>
    </row>
    <row r="5" spans="1:2" ht="15.75" thickBot="1">
      <c r="A5" s="76" t="s">
        <v>236</v>
      </c>
    </row>
    <row r="6" spans="1:2" ht="15.75" thickBot="1">
      <c r="A6" s="78" t="s">
        <v>237</v>
      </c>
      <c r="B6" s="79" t="s">
        <v>238</v>
      </c>
    </row>
    <row r="7" spans="1:2" ht="15.75" thickBot="1">
      <c r="A7" s="80" t="s">
        <v>239</v>
      </c>
      <c r="B7" s="77" t="s">
        <v>240</v>
      </c>
    </row>
    <row r="8" spans="1:2" ht="15.75" thickBot="1">
      <c r="A8" s="80" t="s">
        <v>241</v>
      </c>
      <c r="B8" s="77" t="s">
        <v>242</v>
      </c>
    </row>
    <row r="9" spans="1:2" ht="15.75" thickBot="1">
      <c r="A9" s="80" t="s">
        <v>243</v>
      </c>
      <c r="B9" s="77" t="s">
        <v>244</v>
      </c>
    </row>
    <row r="10" spans="1:2" ht="15.75" thickBot="1">
      <c r="A10" s="80" t="s">
        <v>245</v>
      </c>
      <c r="B10" s="77" t="s">
        <v>246</v>
      </c>
    </row>
    <row r="11" spans="1:2" ht="15.75" thickBot="1">
      <c r="A11" s="81" t="s">
        <v>247</v>
      </c>
      <c r="B11" s="82" t="s">
        <v>248</v>
      </c>
    </row>
    <row r="12" spans="1:2" ht="15.75" thickBot="1">
      <c r="A12" s="83" t="s">
        <v>249</v>
      </c>
      <c r="B12" s="84" t="s">
        <v>250</v>
      </c>
    </row>
    <row r="13" spans="1:2" ht="15.75" thickBot="1">
      <c r="A13" s="80" t="s">
        <v>251</v>
      </c>
      <c r="B13" s="77" t="s">
        <v>252</v>
      </c>
    </row>
    <row r="14" spans="1:2" ht="15.75" thickBot="1">
      <c r="A14" s="80" t="s">
        <v>253</v>
      </c>
      <c r="B14" s="77" t="s">
        <v>254</v>
      </c>
    </row>
    <row r="15" spans="1:2" ht="15.75" thickBot="1">
      <c r="A15" s="76" t="s">
        <v>255</v>
      </c>
    </row>
    <row r="16" spans="1:2" ht="15.75" thickBot="1">
      <c r="A16" s="78" t="s">
        <v>237</v>
      </c>
      <c r="B16" s="79" t="s">
        <v>238</v>
      </c>
    </row>
    <row r="17" spans="1:2" ht="15.75" thickBot="1">
      <c r="A17" s="80" t="s">
        <v>241</v>
      </c>
      <c r="B17" s="77" t="s">
        <v>242</v>
      </c>
    </row>
    <row r="18" spans="1:2" ht="15.75" thickBot="1">
      <c r="A18" s="80" t="s">
        <v>243</v>
      </c>
      <c r="B18" s="77" t="s">
        <v>256</v>
      </c>
    </row>
    <row r="19" spans="1:2" ht="15.75" thickBot="1">
      <c r="A19" s="80" t="s">
        <v>245</v>
      </c>
      <c r="B19" s="77" t="s">
        <v>257</v>
      </c>
    </row>
    <row r="20" spans="1:2" ht="15.75" thickBot="1">
      <c r="A20" s="81" t="s">
        <v>258</v>
      </c>
      <c r="B20" s="82" t="s">
        <v>259</v>
      </c>
    </row>
    <row r="23" spans="1:2" ht="15">
      <c r="A23" s="85" t="s">
        <v>260</v>
      </c>
    </row>
    <row r="24" spans="1:2" ht="15" thickBot="1"/>
    <row r="25" spans="1:2" ht="15.75" thickBot="1">
      <c r="A25" s="78" t="s">
        <v>261</v>
      </c>
      <c r="B25" s="79" t="s">
        <v>227</v>
      </c>
    </row>
    <row r="26" spans="1:2" ht="15.75" thickBot="1">
      <c r="A26" s="80" t="s">
        <v>241</v>
      </c>
      <c r="B26" s="77" t="s">
        <v>262</v>
      </c>
    </row>
    <row r="27" spans="1:2" ht="15.75" thickBot="1">
      <c r="A27" s="80" t="s">
        <v>243</v>
      </c>
      <c r="B27" s="77" t="s">
        <v>263</v>
      </c>
    </row>
    <row r="28" spans="1:2" ht="15.75" thickBot="1">
      <c r="A28" s="80" t="s">
        <v>264</v>
      </c>
      <c r="B28" s="77" t="s">
        <v>265</v>
      </c>
    </row>
    <row r="29" spans="1:2" ht="15.75" thickBot="1">
      <c r="A29" s="80" t="s">
        <v>245</v>
      </c>
      <c r="B29" s="77" t="s">
        <v>266</v>
      </c>
    </row>
    <row r="30" spans="1:2" ht="15.75" thickBot="1">
      <c r="A30" s="80" t="s">
        <v>247</v>
      </c>
      <c r="B30" s="77" t="s">
        <v>267</v>
      </c>
    </row>
    <row r="31" spans="1:2" ht="15.75" thickBot="1">
      <c r="A31" s="80" t="s">
        <v>268</v>
      </c>
      <c r="B31" s="77" t="s">
        <v>269</v>
      </c>
    </row>
    <row r="32" spans="1:2" ht="15">
      <c r="A32" s="87" t="s">
        <v>270</v>
      </c>
      <c r="B32" s="211" t="s">
        <v>272</v>
      </c>
    </row>
    <row r="33" spans="1:8" ht="30.75" thickBot="1">
      <c r="A33" s="80" t="s">
        <v>271</v>
      </c>
      <c r="B33" s="212"/>
    </row>
    <row r="35" spans="1:8" ht="15" thickBot="1"/>
    <row r="36" spans="1:8" ht="15" thickBot="1">
      <c r="A36" s="225" t="s">
        <v>221</v>
      </c>
      <c r="B36" s="226"/>
      <c r="C36" s="229" t="s">
        <v>273</v>
      </c>
      <c r="D36" s="230"/>
      <c r="E36" s="230"/>
      <c r="F36" s="230"/>
      <c r="G36" s="231"/>
      <c r="H36" s="93"/>
    </row>
    <row r="37" spans="1:8" ht="15" thickBot="1">
      <c r="A37" s="227"/>
      <c r="B37" s="228"/>
      <c r="C37" s="232" t="s">
        <v>274</v>
      </c>
      <c r="D37" s="233"/>
      <c r="E37" s="88" t="s">
        <v>275</v>
      </c>
      <c r="F37" s="234" t="s">
        <v>276</v>
      </c>
      <c r="G37" s="235"/>
    </row>
    <row r="38" spans="1:8" ht="15" thickBot="1">
      <c r="A38" s="94" t="s">
        <v>277</v>
      </c>
      <c r="B38" s="89" t="s">
        <v>278</v>
      </c>
      <c r="C38" s="89" t="s">
        <v>279</v>
      </c>
      <c r="D38" s="90" t="s">
        <v>278</v>
      </c>
      <c r="E38" s="90" t="s">
        <v>279</v>
      </c>
      <c r="F38" s="88" t="s">
        <v>279</v>
      </c>
      <c r="G38" s="91" t="s">
        <v>278</v>
      </c>
      <c r="H38" s="91" t="s">
        <v>279</v>
      </c>
    </row>
    <row r="39" spans="1:8" ht="28.5" customHeight="1" thickBot="1">
      <c r="A39" s="95" t="s">
        <v>280</v>
      </c>
      <c r="B39" s="215" t="s">
        <v>281</v>
      </c>
      <c r="C39" s="217"/>
      <c r="D39" s="215" t="s">
        <v>282</v>
      </c>
      <c r="E39" s="216"/>
      <c r="F39" s="216"/>
      <c r="G39" s="216"/>
      <c r="H39" s="217"/>
    </row>
    <row r="40" spans="1:8" ht="43.5" thickBot="1">
      <c r="A40" s="95" t="s">
        <v>283</v>
      </c>
      <c r="B40" s="215" t="s">
        <v>284</v>
      </c>
      <c r="C40" s="217"/>
      <c r="D40" s="92" t="s">
        <v>285</v>
      </c>
      <c r="E40" s="92" t="s">
        <v>286</v>
      </c>
      <c r="F40" s="92" t="s">
        <v>286</v>
      </c>
      <c r="G40" s="92" t="s">
        <v>285</v>
      </c>
      <c r="H40" s="92" t="s">
        <v>286</v>
      </c>
    </row>
    <row r="41" spans="1:8" ht="15" thickBot="1">
      <c r="A41" s="95" t="s">
        <v>287</v>
      </c>
      <c r="B41" s="215" t="s">
        <v>288</v>
      </c>
      <c r="C41" s="217"/>
      <c r="D41" s="215" t="s">
        <v>274</v>
      </c>
      <c r="E41" s="217"/>
      <c r="F41" s="92" t="s">
        <v>289</v>
      </c>
      <c r="G41" s="215" t="s">
        <v>290</v>
      </c>
      <c r="H41" s="217"/>
    </row>
    <row r="42" spans="1:8" ht="15" thickBot="1">
      <c r="A42" s="95" t="s">
        <v>227</v>
      </c>
      <c r="B42" s="215" t="s">
        <v>291</v>
      </c>
      <c r="C42" s="216"/>
      <c r="D42" s="216"/>
      <c r="E42" s="216"/>
      <c r="F42" s="217"/>
      <c r="G42" s="215" t="s">
        <v>292</v>
      </c>
      <c r="H42" s="217"/>
    </row>
    <row r="43" spans="1:8" ht="42.75">
      <c r="A43" s="96" t="s">
        <v>293</v>
      </c>
      <c r="B43" s="86" t="s">
        <v>295</v>
      </c>
      <c r="C43" s="211" t="s">
        <v>299</v>
      </c>
      <c r="D43" s="86" t="s">
        <v>295</v>
      </c>
      <c r="E43" s="211" t="s">
        <v>299</v>
      </c>
      <c r="F43" s="211" t="s">
        <v>299</v>
      </c>
      <c r="G43" s="86" t="s">
        <v>302</v>
      </c>
      <c r="H43" s="211" t="s">
        <v>299</v>
      </c>
    </row>
    <row r="44" spans="1:8" ht="42.75">
      <c r="A44" s="96" t="s">
        <v>294</v>
      </c>
      <c r="B44" s="97" t="s">
        <v>296</v>
      </c>
      <c r="C44" s="218"/>
      <c r="D44" s="86" t="s">
        <v>300</v>
      </c>
      <c r="E44" s="218"/>
      <c r="F44" s="218"/>
      <c r="G44" s="86" t="s">
        <v>303</v>
      </c>
      <c r="H44" s="218"/>
    </row>
    <row r="45" spans="1:8" ht="42.75">
      <c r="A45" s="96"/>
      <c r="B45" s="86" t="s">
        <v>297</v>
      </c>
      <c r="C45" s="218"/>
      <c r="D45" s="86" t="s">
        <v>297</v>
      </c>
      <c r="E45" s="218"/>
      <c r="F45" s="218"/>
      <c r="G45" s="86" t="s">
        <v>304</v>
      </c>
      <c r="H45" s="218"/>
    </row>
    <row r="46" spans="1:8" ht="15" thickBot="1">
      <c r="A46" s="95"/>
      <c r="B46" s="92" t="s">
        <v>298</v>
      </c>
      <c r="C46" s="212"/>
      <c r="D46" s="92" t="s">
        <v>301</v>
      </c>
      <c r="E46" s="212"/>
      <c r="F46" s="212"/>
      <c r="G46" s="92"/>
      <c r="H46" s="212"/>
    </row>
    <row r="47" spans="1:8" ht="42.75">
      <c r="A47" s="96" t="s">
        <v>305</v>
      </c>
      <c r="B47" s="211" t="s">
        <v>299</v>
      </c>
      <c r="C47" s="219">
        <v>1.0999999999999999E-2</v>
      </c>
      <c r="D47" s="211" t="s">
        <v>299</v>
      </c>
      <c r="E47" s="222">
        <v>1.0999999999999999E-2</v>
      </c>
      <c r="F47" s="222">
        <v>3.9E-2</v>
      </c>
      <c r="G47" s="211" t="s">
        <v>299</v>
      </c>
      <c r="H47" s="86" t="s">
        <v>302</v>
      </c>
    </row>
    <row r="48" spans="1:8" ht="42.75">
      <c r="A48" s="96" t="s">
        <v>294</v>
      </c>
      <c r="B48" s="218"/>
      <c r="C48" s="220"/>
      <c r="D48" s="218"/>
      <c r="E48" s="223"/>
      <c r="F48" s="223"/>
      <c r="G48" s="218"/>
      <c r="H48" s="86" t="s">
        <v>303</v>
      </c>
    </row>
    <row r="49" spans="1:8" ht="43.5" thickBot="1">
      <c r="A49" s="95"/>
      <c r="B49" s="212"/>
      <c r="C49" s="221"/>
      <c r="D49" s="212"/>
      <c r="E49" s="224"/>
      <c r="F49" s="224"/>
      <c r="G49" s="212"/>
      <c r="H49" s="92" t="s">
        <v>304</v>
      </c>
    </row>
    <row r="50" spans="1:8" ht="127.5" customHeight="1">
      <c r="A50" s="96" t="s">
        <v>306</v>
      </c>
      <c r="B50" s="211" t="s">
        <v>299</v>
      </c>
      <c r="C50" s="213" t="s">
        <v>308</v>
      </c>
      <c r="D50" s="211" t="s">
        <v>299</v>
      </c>
      <c r="E50" s="211" t="s">
        <v>299</v>
      </c>
      <c r="F50" s="211" t="s">
        <v>299</v>
      </c>
      <c r="G50" s="211" t="s">
        <v>299</v>
      </c>
      <c r="H50" s="211" t="s">
        <v>309</v>
      </c>
    </row>
    <row r="51" spans="1:8" ht="15" thickBot="1">
      <c r="A51" s="95" t="s">
        <v>307</v>
      </c>
      <c r="B51" s="212"/>
      <c r="C51" s="214"/>
      <c r="D51" s="212"/>
      <c r="E51" s="212"/>
      <c r="F51" s="212"/>
      <c r="G51" s="212"/>
      <c r="H51" s="212"/>
    </row>
    <row r="52" spans="1:8" ht="15" thickBot="1">
      <c r="A52" s="95" t="s">
        <v>310</v>
      </c>
      <c r="B52" s="215" t="s">
        <v>311</v>
      </c>
      <c r="C52" s="216"/>
      <c r="D52" s="216"/>
      <c r="E52" s="216"/>
      <c r="F52" s="216"/>
      <c r="G52" s="216"/>
      <c r="H52" s="217"/>
    </row>
    <row r="53" spans="1:8" ht="14.25" customHeight="1">
      <c r="A53" s="199" t="s">
        <v>312</v>
      </c>
      <c r="B53" s="202" t="s">
        <v>313</v>
      </c>
      <c r="C53" s="203"/>
      <c r="D53" s="203"/>
      <c r="E53" s="203"/>
      <c r="F53" s="203"/>
      <c r="G53" s="203"/>
      <c r="H53" s="204"/>
    </row>
    <row r="54" spans="1:8" ht="15" thickBot="1">
      <c r="A54" s="201"/>
      <c r="B54" s="208" t="s">
        <v>314</v>
      </c>
      <c r="C54" s="209"/>
      <c r="D54" s="209"/>
      <c r="E54" s="209"/>
      <c r="F54" s="209"/>
      <c r="G54" s="209"/>
      <c r="H54" s="210"/>
    </row>
    <row r="55" spans="1:8" ht="14.25" customHeight="1">
      <c r="A55" s="199" t="s">
        <v>315</v>
      </c>
      <c r="B55" s="202" t="s">
        <v>316</v>
      </c>
      <c r="C55" s="203"/>
      <c r="D55" s="203"/>
      <c r="E55" s="203"/>
      <c r="F55" s="203"/>
      <c r="G55" s="203"/>
      <c r="H55" s="204"/>
    </row>
    <row r="56" spans="1:8" ht="15" thickBot="1">
      <c r="A56" s="201"/>
      <c r="B56" s="208" t="s">
        <v>317</v>
      </c>
      <c r="C56" s="209"/>
      <c r="D56" s="209"/>
      <c r="E56" s="209"/>
      <c r="F56" s="209"/>
      <c r="G56" s="209"/>
      <c r="H56" s="210"/>
    </row>
    <row r="57" spans="1:8" ht="28.5" customHeight="1">
      <c r="A57" s="199" t="s">
        <v>318</v>
      </c>
      <c r="B57" s="202" t="s">
        <v>319</v>
      </c>
      <c r="C57" s="203"/>
      <c r="D57" s="204"/>
      <c r="E57" s="202" t="s">
        <v>320</v>
      </c>
      <c r="F57" s="203"/>
      <c r="G57" s="203"/>
      <c r="H57" s="204"/>
    </row>
    <row r="58" spans="1:8" ht="28.5" customHeight="1">
      <c r="A58" s="200"/>
      <c r="B58" s="205"/>
      <c r="C58" s="206"/>
      <c r="D58" s="207"/>
      <c r="E58" s="205" t="s">
        <v>321</v>
      </c>
      <c r="F58" s="206"/>
      <c r="G58" s="206"/>
      <c r="H58" s="207"/>
    </row>
    <row r="59" spans="1:8" ht="28.5" customHeight="1" thickBot="1">
      <c r="A59" s="201"/>
      <c r="B59" s="208"/>
      <c r="C59" s="209"/>
      <c r="D59" s="210"/>
      <c r="E59" s="208" t="s">
        <v>322</v>
      </c>
      <c r="F59" s="209"/>
      <c r="G59" s="209"/>
      <c r="H59" s="210"/>
    </row>
  </sheetData>
  <mergeCells count="42">
    <mergeCell ref="B39:C39"/>
    <mergeCell ref="D39:H39"/>
    <mergeCell ref="B32:B33"/>
    <mergeCell ref="A36:B37"/>
    <mergeCell ref="C36:G36"/>
    <mergeCell ref="C37:D37"/>
    <mergeCell ref="F37:G37"/>
    <mergeCell ref="B40:C40"/>
    <mergeCell ref="B41:C41"/>
    <mergeCell ref="D41:E41"/>
    <mergeCell ref="G41:H41"/>
    <mergeCell ref="B42:F42"/>
    <mergeCell ref="G42:H42"/>
    <mergeCell ref="C43:C46"/>
    <mergeCell ref="E43:E46"/>
    <mergeCell ref="F43:F46"/>
    <mergeCell ref="H43:H46"/>
    <mergeCell ref="B47:B49"/>
    <mergeCell ref="C47:C49"/>
    <mergeCell ref="D47:D49"/>
    <mergeCell ref="E47:E49"/>
    <mergeCell ref="F47:F49"/>
    <mergeCell ref="G47:G49"/>
    <mergeCell ref="A55:A56"/>
    <mergeCell ref="B55:H55"/>
    <mergeCell ref="B56:H56"/>
    <mergeCell ref="B50:B51"/>
    <mergeCell ref="C50:C51"/>
    <mergeCell ref="D50:D51"/>
    <mergeCell ref="E50:E51"/>
    <mergeCell ref="F50:F51"/>
    <mergeCell ref="G50:G51"/>
    <mergeCell ref="H50:H51"/>
    <mergeCell ref="B52:H52"/>
    <mergeCell ref="A53:A54"/>
    <mergeCell ref="B53:H53"/>
    <mergeCell ref="B54:H54"/>
    <mergeCell ref="A57:A59"/>
    <mergeCell ref="B57:D59"/>
    <mergeCell ref="E57:H57"/>
    <mergeCell ref="E58:H58"/>
    <mergeCell ref="E59:H59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T42" sqref="T42"/>
    </sheetView>
  </sheetViews>
  <sheetFormatPr defaultRowHeight="14.25"/>
  <sheetData/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5"/>
  <dimension ref="A1:J501"/>
  <sheetViews>
    <sheetView showGridLines="0" zoomScaleNormal="100" workbookViewId="0">
      <selection activeCell="A16" sqref="A16"/>
    </sheetView>
  </sheetViews>
  <sheetFormatPr defaultRowHeight="14.25"/>
  <cols>
    <col min="5" max="5" width="7" customWidth="1"/>
    <col min="8" max="8" width="26.5" customWidth="1"/>
  </cols>
  <sheetData>
    <row r="1" spans="1:9">
      <c r="A1" s="115" t="s">
        <v>494</v>
      </c>
      <c r="B1" s="115" t="s">
        <v>495</v>
      </c>
      <c r="C1" s="115" t="s">
        <v>496</v>
      </c>
      <c r="D1" s="115" t="s">
        <v>497</v>
      </c>
      <c r="E1" s="115" t="s">
        <v>498</v>
      </c>
      <c r="F1" s="115" t="s">
        <v>499</v>
      </c>
      <c r="G1" s="115" t="s">
        <v>500</v>
      </c>
      <c r="H1" s="115" t="s">
        <v>501</v>
      </c>
      <c r="I1" s="115" t="s">
        <v>502</v>
      </c>
    </row>
    <row r="2" spans="1:9">
      <c r="A2" s="115" t="s">
        <v>503</v>
      </c>
      <c r="B2" s="115" t="s">
        <v>504</v>
      </c>
      <c r="C2" s="115" t="s">
        <v>505</v>
      </c>
      <c r="D2" s="115" t="s">
        <v>506</v>
      </c>
      <c r="E2">
        <v>2590</v>
      </c>
      <c r="F2" s="115" t="s">
        <v>507</v>
      </c>
      <c r="G2" s="115" t="s">
        <v>508</v>
      </c>
      <c r="H2" s="115" t="s">
        <v>509</v>
      </c>
      <c r="I2">
        <v>769</v>
      </c>
    </row>
    <row r="3" spans="1:9">
      <c r="A3" s="115" t="s">
        <v>510</v>
      </c>
      <c r="B3" s="115" t="s">
        <v>504</v>
      </c>
      <c r="C3" s="115" t="s">
        <v>511</v>
      </c>
      <c r="D3" s="115" t="s">
        <v>512</v>
      </c>
      <c r="E3">
        <v>2391</v>
      </c>
      <c r="F3" s="115" t="s">
        <v>513</v>
      </c>
      <c r="G3" s="115" t="s">
        <v>514</v>
      </c>
      <c r="H3" s="115" t="s">
        <v>515</v>
      </c>
      <c r="I3">
        <v>103</v>
      </c>
    </row>
    <row r="4" spans="1:9">
      <c r="A4" s="115" t="s">
        <v>510</v>
      </c>
      <c r="B4" s="115" t="s">
        <v>504</v>
      </c>
      <c r="C4" s="115" t="s">
        <v>505</v>
      </c>
      <c r="D4" s="115" t="s">
        <v>506</v>
      </c>
      <c r="E4">
        <v>7590</v>
      </c>
      <c r="F4" s="115" t="s">
        <v>516</v>
      </c>
      <c r="G4" s="115" t="s">
        <v>508</v>
      </c>
      <c r="H4" s="115" t="s">
        <v>517</v>
      </c>
      <c r="I4">
        <v>72</v>
      </c>
    </row>
    <row r="5" spans="1:9">
      <c r="A5" s="115" t="s">
        <v>518</v>
      </c>
      <c r="B5" s="115" t="s">
        <v>504</v>
      </c>
      <c r="C5" s="115" t="s">
        <v>519</v>
      </c>
      <c r="D5" s="115" t="s">
        <v>506</v>
      </c>
      <c r="E5">
        <v>2375</v>
      </c>
      <c r="F5" s="115" t="s">
        <v>520</v>
      </c>
      <c r="G5" s="115" t="s">
        <v>521</v>
      </c>
      <c r="H5" s="115" t="s">
        <v>515</v>
      </c>
      <c r="I5">
        <v>107</v>
      </c>
    </row>
    <row r="6" spans="1:9">
      <c r="A6" s="115" t="s">
        <v>518</v>
      </c>
      <c r="B6" s="115" t="s">
        <v>504</v>
      </c>
      <c r="C6" s="115" t="s">
        <v>505</v>
      </c>
      <c r="D6" s="115" t="s">
        <v>506</v>
      </c>
      <c r="E6">
        <v>8068</v>
      </c>
      <c r="F6" s="115" t="s">
        <v>522</v>
      </c>
      <c r="G6" s="115" t="s">
        <v>508</v>
      </c>
      <c r="H6" s="115" t="s">
        <v>517</v>
      </c>
      <c r="I6">
        <v>517</v>
      </c>
    </row>
    <row r="7" spans="1:9">
      <c r="A7" s="115" t="s">
        <v>523</v>
      </c>
      <c r="B7" s="115" t="s">
        <v>504</v>
      </c>
      <c r="C7" s="115" t="s">
        <v>524</v>
      </c>
      <c r="D7" s="115" t="s">
        <v>512</v>
      </c>
      <c r="E7">
        <v>3329</v>
      </c>
      <c r="F7" s="115" t="s">
        <v>525</v>
      </c>
      <c r="G7" s="115" t="s">
        <v>514</v>
      </c>
      <c r="H7" s="115" t="s">
        <v>526</v>
      </c>
      <c r="I7">
        <v>131</v>
      </c>
    </row>
    <row r="8" spans="1:9">
      <c r="A8" s="115" t="s">
        <v>523</v>
      </c>
      <c r="B8" s="115" t="s">
        <v>504</v>
      </c>
      <c r="C8" s="115" t="s">
        <v>511</v>
      </c>
      <c r="D8" s="115" t="s">
        <v>506</v>
      </c>
      <c r="E8">
        <v>3816</v>
      </c>
      <c r="F8" s="115" t="s">
        <v>527</v>
      </c>
      <c r="G8" s="115" t="s">
        <v>514</v>
      </c>
      <c r="H8" s="115" t="s">
        <v>528</v>
      </c>
      <c r="I8">
        <v>39</v>
      </c>
    </row>
    <row r="9" spans="1:9">
      <c r="A9" s="115" t="s">
        <v>523</v>
      </c>
      <c r="B9" s="115" t="s">
        <v>504</v>
      </c>
      <c r="C9" s="115" t="s">
        <v>511</v>
      </c>
      <c r="D9" s="115" t="s">
        <v>512</v>
      </c>
      <c r="E9">
        <v>3930</v>
      </c>
      <c r="F9" s="115" t="s">
        <v>529</v>
      </c>
      <c r="G9" s="115" t="s">
        <v>530</v>
      </c>
      <c r="H9" s="115" t="s">
        <v>528</v>
      </c>
      <c r="I9">
        <v>69</v>
      </c>
    </row>
    <row r="10" spans="1:9">
      <c r="A10" s="115" t="s">
        <v>523</v>
      </c>
      <c r="B10" s="115" t="s">
        <v>504</v>
      </c>
      <c r="C10" s="115" t="s">
        <v>505</v>
      </c>
      <c r="D10" s="115" t="s">
        <v>506</v>
      </c>
      <c r="E10">
        <v>4369</v>
      </c>
      <c r="F10" s="115" t="s">
        <v>531</v>
      </c>
      <c r="G10" s="115" t="s">
        <v>508</v>
      </c>
      <c r="H10" s="115" t="s">
        <v>532</v>
      </c>
      <c r="I10">
        <v>633</v>
      </c>
    </row>
    <row r="11" spans="1:9">
      <c r="A11" s="115" t="s">
        <v>523</v>
      </c>
      <c r="B11" s="115" t="s">
        <v>504</v>
      </c>
      <c r="C11" s="115" t="s">
        <v>511</v>
      </c>
      <c r="D11" s="115" t="s">
        <v>506</v>
      </c>
      <c r="E11">
        <v>4699</v>
      </c>
      <c r="F11" s="115" t="s">
        <v>533</v>
      </c>
      <c r="G11" s="115" t="s">
        <v>514</v>
      </c>
      <c r="H11" s="115" t="s">
        <v>515</v>
      </c>
      <c r="I11">
        <v>125</v>
      </c>
    </row>
    <row r="12" spans="1:9">
      <c r="A12" s="115" t="s">
        <v>523</v>
      </c>
      <c r="B12" s="115" t="s">
        <v>504</v>
      </c>
      <c r="C12" s="115" t="s">
        <v>519</v>
      </c>
      <c r="D12" s="115" t="s">
        <v>512</v>
      </c>
      <c r="E12">
        <v>4707</v>
      </c>
      <c r="F12" s="115" t="s">
        <v>534</v>
      </c>
      <c r="G12" s="115" t="s">
        <v>514</v>
      </c>
      <c r="H12" s="115" t="s">
        <v>515</v>
      </c>
      <c r="I12">
        <v>25</v>
      </c>
    </row>
    <row r="13" spans="1:9">
      <c r="A13" s="115" t="s">
        <v>523</v>
      </c>
      <c r="B13" s="115" t="s">
        <v>504</v>
      </c>
      <c r="C13" s="115" t="s">
        <v>524</v>
      </c>
      <c r="D13" s="115" t="s">
        <v>506</v>
      </c>
      <c r="E13">
        <v>4750</v>
      </c>
      <c r="F13" s="115" t="s">
        <v>535</v>
      </c>
      <c r="G13" s="115" t="s">
        <v>521</v>
      </c>
      <c r="H13" s="115" t="s">
        <v>515</v>
      </c>
      <c r="I13">
        <v>50</v>
      </c>
    </row>
    <row r="14" spans="1:9">
      <c r="A14" s="115" t="s">
        <v>523</v>
      </c>
      <c r="B14" s="115" t="s">
        <v>504</v>
      </c>
      <c r="C14" s="115" t="s">
        <v>505</v>
      </c>
      <c r="D14" s="115" t="s">
        <v>506</v>
      </c>
      <c r="E14">
        <v>4813</v>
      </c>
      <c r="F14" s="115" t="s">
        <v>536</v>
      </c>
      <c r="G14" s="115" t="s">
        <v>530</v>
      </c>
      <c r="H14" s="115" t="s">
        <v>528</v>
      </c>
      <c r="I14">
        <v>418</v>
      </c>
    </row>
    <row r="15" spans="1:9">
      <c r="A15" s="115" t="s">
        <v>523</v>
      </c>
      <c r="B15" s="115" t="s">
        <v>504</v>
      </c>
      <c r="C15" s="115" t="s">
        <v>524</v>
      </c>
      <c r="D15" s="115" t="s">
        <v>506</v>
      </c>
      <c r="E15">
        <v>5971</v>
      </c>
      <c r="F15" s="115" t="s">
        <v>537</v>
      </c>
      <c r="G15" s="115" t="s">
        <v>514</v>
      </c>
      <c r="H15" s="115" t="s">
        <v>538</v>
      </c>
      <c r="I15">
        <v>56</v>
      </c>
    </row>
    <row r="16" spans="1:9">
      <c r="A16" s="115" t="s">
        <v>523</v>
      </c>
      <c r="B16" s="115" t="s">
        <v>504</v>
      </c>
      <c r="C16" s="115" t="s">
        <v>511</v>
      </c>
      <c r="D16" s="115" t="s">
        <v>506</v>
      </c>
      <c r="E16">
        <v>8057</v>
      </c>
      <c r="F16" s="115" t="s">
        <v>539</v>
      </c>
      <c r="G16" s="115" t="s">
        <v>508</v>
      </c>
      <c r="H16" s="115" t="s">
        <v>517</v>
      </c>
      <c r="I16">
        <v>474</v>
      </c>
    </row>
    <row r="17" spans="1:10">
      <c r="A17" s="115" t="s">
        <v>540</v>
      </c>
      <c r="B17" s="115" t="s">
        <v>504</v>
      </c>
      <c r="C17" s="115" t="s">
        <v>524</v>
      </c>
      <c r="D17" s="115" t="s">
        <v>506</v>
      </c>
      <c r="E17">
        <v>2593</v>
      </c>
      <c r="F17" s="115" t="s">
        <v>541</v>
      </c>
      <c r="G17" s="115" t="s">
        <v>508</v>
      </c>
      <c r="H17" s="115" t="s">
        <v>509</v>
      </c>
      <c r="I17" s="115" t="s">
        <v>542</v>
      </c>
      <c r="J17" s="115" t="s">
        <v>543</v>
      </c>
    </row>
    <row r="18" spans="1:10">
      <c r="A18" s="115" t="s">
        <v>540</v>
      </c>
      <c r="B18" s="115" t="s">
        <v>504</v>
      </c>
      <c r="C18" s="115" t="s">
        <v>524</v>
      </c>
      <c r="D18" s="115" t="s">
        <v>506</v>
      </c>
      <c r="E18">
        <v>2910</v>
      </c>
      <c r="F18" s="115" t="s">
        <v>544</v>
      </c>
      <c r="G18" s="115" t="s">
        <v>508</v>
      </c>
      <c r="H18" s="115" t="s">
        <v>509</v>
      </c>
      <c r="I18">
        <v>406</v>
      </c>
    </row>
    <row r="19" spans="1:10">
      <c r="A19" s="115" t="s">
        <v>540</v>
      </c>
      <c r="B19" s="115" t="s">
        <v>504</v>
      </c>
      <c r="C19" s="115" t="s">
        <v>524</v>
      </c>
      <c r="D19" s="115" t="s">
        <v>506</v>
      </c>
      <c r="E19">
        <v>3770</v>
      </c>
      <c r="F19" s="115" t="s">
        <v>545</v>
      </c>
      <c r="G19" s="115" t="s">
        <v>508</v>
      </c>
      <c r="H19" s="115" t="s">
        <v>528</v>
      </c>
      <c r="I19">
        <v>54</v>
      </c>
    </row>
    <row r="20" spans="1:10">
      <c r="A20" s="115" t="s">
        <v>540</v>
      </c>
      <c r="B20" s="115" t="s">
        <v>504</v>
      </c>
      <c r="C20" s="115" t="s">
        <v>511</v>
      </c>
      <c r="D20" s="115" t="s">
        <v>506</v>
      </c>
      <c r="E20">
        <v>6267</v>
      </c>
      <c r="F20" s="115" t="s">
        <v>546</v>
      </c>
      <c r="G20" s="115" t="s">
        <v>514</v>
      </c>
      <c r="H20" s="115" t="s">
        <v>547</v>
      </c>
      <c r="I20">
        <v>37</v>
      </c>
    </row>
    <row r="21" spans="1:10">
      <c r="A21" s="115" t="s">
        <v>540</v>
      </c>
      <c r="B21" s="115" t="s">
        <v>504</v>
      </c>
      <c r="C21" s="115" t="s">
        <v>505</v>
      </c>
      <c r="D21" s="115" t="s">
        <v>506</v>
      </c>
      <c r="E21">
        <v>7865</v>
      </c>
      <c r="F21" s="115" t="s">
        <v>548</v>
      </c>
      <c r="G21" s="115" t="s">
        <v>514</v>
      </c>
      <c r="H21" s="115" t="s">
        <v>549</v>
      </c>
      <c r="I21">
        <v>60</v>
      </c>
    </row>
    <row r="22" spans="1:10">
      <c r="A22" s="115" t="s">
        <v>550</v>
      </c>
      <c r="B22" s="115" t="s">
        <v>504</v>
      </c>
      <c r="C22" s="115" t="s">
        <v>524</v>
      </c>
      <c r="D22" s="115" t="s">
        <v>506</v>
      </c>
      <c r="E22">
        <v>9627</v>
      </c>
      <c r="F22" s="115" t="s">
        <v>551</v>
      </c>
      <c r="G22" s="115" t="s">
        <v>508</v>
      </c>
      <c r="H22" s="115" t="s">
        <v>526</v>
      </c>
      <c r="I22" s="115" t="s">
        <v>552</v>
      </c>
      <c r="J22" s="115" t="s">
        <v>553</v>
      </c>
    </row>
    <row r="23" spans="1:10">
      <c r="A23" s="115" t="s">
        <v>554</v>
      </c>
      <c r="B23" s="115" t="s">
        <v>555</v>
      </c>
      <c r="C23" s="115" t="s">
        <v>519</v>
      </c>
      <c r="D23" s="115" t="s">
        <v>506</v>
      </c>
      <c r="E23">
        <v>7959</v>
      </c>
      <c r="F23" s="115" t="s">
        <v>556</v>
      </c>
      <c r="G23" s="115" t="s">
        <v>508</v>
      </c>
      <c r="H23" s="115" t="s">
        <v>549</v>
      </c>
      <c r="I23">
        <v>511</v>
      </c>
    </row>
    <row r="24" spans="1:10">
      <c r="A24" s="115" t="s">
        <v>554</v>
      </c>
      <c r="B24" s="115" t="s">
        <v>504</v>
      </c>
      <c r="C24" s="115" t="s">
        <v>505</v>
      </c>
      <c r="D24" s="115" t="s">
        <v>512</v>
      </c>
      <c r="E24">
        <v>2217</v>
      </c>
      <c r="F24" s="115" t="s">
        <v>557</v>
      </c>
      <c r="G24" s="115" t="s">
        <v>508</v>
      </c>
      <c r="H24" s="115" t="s">
        <v>509</v>
      </c>
      <c r="I24">
        <v>182</v>
      </c>
    </row>
    <row r="25" spans="1:10">
      <c r="A25" s="115" t="s">
        <v>554</v>
      </c>
      <c r="B25" s="115" t="s">
        <v>504</v>
      </c>
      <c r="C25" s="115" t="s">
        <v>511</v>
      </c>
      <c r="D25" s="115" t="s">
        <v>506</v>
      </c>
      <c r="E25">
        <v>3172</v>
      </c>
      <c r="F25" s="115" t="s">
        <v>558</v>
      </c>
      <c r="G25" s="115" t="s">
        <v>508</v>
      </c>
      <c r="H25" s="115" t="s">
        <v>526</v>
      </c>
      <c r="I25">
        <v>36</v>
      </c>
    </row>
    <row r="26" spans="1:10">
      <c r="A26" s="115" t="s">
        <v>554</v>
      </c>
      <c r="B26" s="115" t="s">
        <v>504</v>
      </c>
      <c r="C26" s="115" t="s">
        <v>511</v>
      </c>
      <c r="D26" s="115" t="s">
        <v>512</v>
      </c>
      <c r="E26">
        <v>4446</v>
      </c>
      <c r="F26" s="115" t="s">
        <v>559</v>
      </c>
      <c r="G26" s="115" t="s">
        <v>530</v>
      </c>
      <c r="H26" s="115" t="s">
        <v>528</v>
      </c>
      <c r="I26">
        <v>202</v>
      </c>
    </row>
    <row r="27" spans="1:10">
      <c r="A27" s="115" t="s">
        <v>554</v>
      </c>
      <c r="B27" s="115" t="s">
        <v>504</v>
      </c>
      <c r="C27" s="115" t="s">
        <v>505</v>
      </c>
      <c r="D27" s="115" t="s">
        <v>512</v>
      </c>
      <c r="E27">
        <v>6654</v>
      </c>
      <c r="F27" s="115" t="s">
        <v>560</v>
      </c>
      <c r="G27" s="115" t="s">
        <v>508</v>
      </c>
      <c r="H27" s="115" t="s">
        <v>561</v>
      </c>
      <c r="I27">
        <v>84</v>
      </c>
    </row>
    <row r="28" spans="1:10">
      <c r="A28" s="115" t="s">
        <v>554</v>
      </c>
      <c r="B28" s="115" t="s">
        <v>504</v>
      </c>
      <c r="C28" s="115" t="s">
        <v>505</v>
      </c>
      <c r="D28" s="115" t="s">
        <v>506</v>
      </c>
      <c r="E28">
        <v>8842</v>
      </c>
      <c r="F28" s="115" t="s">
        <v>562</v>
      </c>
      <c r="G28" s="115" t="s">
        <v>508</v>
      </c>
      <c r="H28" s="115" t="s">
        <v>563</v>
      </c>
      <c r="I28">
        <v>398</v>
      </c>
    </row>
    <row r="29" spans="1:10">
      <c r="A29" s="115" t="s">
        <v>564</v>
      </c>
      <c r="B29" s="115" t="s">
        <v>504</v>
      </c>
      <c r="C29" s="115" t="s">
        <v>511</v>
      </c>
      <c r="D29" s="115" t="s">
        <v>506</v>
      </c>
      <c r="E29">
        <v>2929</v>
      </c>
      <c r="F29" s="115" t="s">
        <v>565</v>
      </c>
      <c r="G29" s="115" t="s">
        <v>521</v>
      </c>
      <c r="H29" s="115" t="s">
        <v>509</v>
      </c>
      <c r="I29">
        <v>143</v>
      </c>
    </row>
    <row r="30" spans="1:10">
      <c r="A30" s="115" t="s">
        <v>564</v>
      </c>
      <c r="B30" s="115" t="s">
        <v>504</v>
      </c>
      <c r="C30" s="115" t="s">
        <v>524</v>
      </c>
      <c r="D30" s="115" t="s">
        <v>506</v>
      </c>
      <c r="E30">
        <v>3031</v>
      </c>
      <c r="F30" s="115" t="s">
        <v>566</v>
      </c>
      <c r="G30" s="115" t="s">
        <v>508</v>
      </c>
      <c r="H30" s="115" t="s">
        <v>517</v>
      </c>
      <c r="I30">
        <v>132</v>
      </c>
    </row>
    <row r="31" spans="1:10">
      <c r="A31" s="115" t="s">
        <v>564</v>
      </c>
      <c r="B31" s="115" t="s">
        <v>504</v>
      </c>
      <c r="C31" s="115" t="s">
        <v>511</v>
      </c>
      <c r="D31" s="115" t="s">
        <v>506</v>
      </c>
      <c r="E31">
        <v>6778</v>
      </c>
      <c r="F31" s="115" t="s">
        <v>567</v>
      </c>
      <c r="G31" s="115" t="s">
        <v>521</v>
      </c>
      <c r="H31" s="115" t="s">
        <v>561</v>
      </c>
      <c r="I31">
        <v>152</v>
      </c>
    </row>
    <row r="32" spans="1:10">
      <c r="A32" s="115" t="s">
        <v>564</v>
      </c>
      <c r="B32" s="115" t="s">
        <v>504</v>
      </c>
      <c r="C32" s="115" t="s">
        <v>505</v>
      </c>
      <c r="D32" s="115" t="s">
        <v>506</v>
      </c>
      <c r="E32">
        <v>9632</v>
      </c>
      <c r="F32" s="115" t="s">
        <v>568</v>
      </c>
      <c r="G32" s="115" t="s">
        <v>508</v>
      </c>
      <c r="H32" s="115" t="s">
        <v>515</v>
      </c>
      <c r="I32">
        <v>203</v>
      </c>
    </row>
    <row r="33" spans="1:10">
      <c r="A33" s="115" t="s">
        <v>569</v>
      </c>
      <c r="B33" s="115" t="s">
        <v>504</v>
      </c>
      <c r="C33" s="115" t="s">
        <v>505</v>
      </c>
      <c r="D33" s="115" t="s">
        <v>506</v>
      </c>
      <c r="E33">
        <v>1928</v>
      </c>
      <c r="F33" s="115" t="s">
        <v>570</v>
      </c>
      <c r="G33" s="115" t="s">
        <v>508</v>
      </c>
      <c r="H33" s="115" t="s">
        <v>571</v>
      </c>
      <c r="I33" s="115" t="s">
        <v>572</v>
      </c>
      <c r="J33" s="115" t="s">
        <v>573</v>
      </c>
    </row>
    <row r="34" spans="1:10">
      <c r="A34" s="115" t="s">
        <v>569</v>
      </c>
      <c r="B34" s="115" t="s">
        <v>504</v>
      </c>
      <c r="C34" s="115" t="s">
        <v>511</v>
      </c>
      <c r="D34" s="115" t="s">
        <v>506</v>
      </c>
      <c r="E34">
        <v>2353</v>
      </c>
      <c r="F34" s="115" t="s">
        <v>574</v>
      </c>
      <c r="G34" s="115" t="s">
        <v>508</v>
      </c>
      <c r="H34" s="115" t="s">
        <v>563</v>
      </c>
      <c r="I34">
        <v>589</v>
      </c>
    </row>
    <row r="35" spans="1:10">
      <c r="A35" s="115" t="s">
        <v>569</v>
      </c>
      <c r="B35" s="115" t="s">
        <v>504</v>
      </c>
      <c r="C35" s="115" t="s">
        <v>519</v>
      </c>
      <c r="D35" s="115" t="s">
        <v>506</v>
      </c>
      <c r="E35">
        <v>2373</v>
      </c>
      <c r="F35" s="115" t="s">
        <v>575</v>
      </c>
      <c r="G35" s="115" t="s">
        <v>514</v>
      </c>
      <c r="H35" s="115" t="s">
        <v>515</v>
      </c>
      <c r="I35">
        <v>84</v>
      </c>
    </row>
    <row r="36" spans="1:10">
      <c r="A36" s="115" t="s">
        <v>569</v>
      </c>
      <c r="B36" s="115" t="s">
        <v>504</v>
      </c>
      <c r="C36" s="115" t="s">
        <v>511</v>
      </c>
      <c r="D36" s="115" t="s">
        <v>512</v>
      </c>
      <c r="E36">
        <v>3193</v>
      </c>
      <c r="F36" s="115" t="s">
        <v>576</v>
      </c>
      <c r="G36" s="115" t="s">
        <v>508</v>
      </c>
      <c r="H36" s="115" t="s">
        <v>526</v>
      </c>
      <c r="I36">
        <v>228</v>
      </c>
    </row>
    <row r="37" spans="1:10">
      <c r="A37" s="115" t="s">
        <v>569</v>
      </c>
      <c r="B37" s="115" t="s">
        <v>504</v>
      </c>
      <c r="C37" s="115" t="s">
        <v>505</v>
      </c>
      <c r="D37" s="115" t="s">
        <v>506</v>
      </c>
      <c r="E37">
        <v>3657</v>
      </c>
      <c r="F37" s="115" t="s">
        <v>577</v>
      </c>
      <c r="G37" s="115" t="s">
        <v>508</v>
      </c>
      <c r="H37" s="115" t="s">
        <v>528</v>
      </c>
      <c r="I37">
        <v>407</v>
      </c>
    </row>
    <row r="38" spans="1:10">
      <c r="A38" s="115" t="s">
        <v>569</v>
      </c>
      <c r="B38" s="115" t="s">
        <v>504</v>
      </c>
      <c r="C38" s="115" t="s">
        <v>511</v>
      </c>
      <c r="D38" s="115" t="s">
        <v>506</v>
      </c>
      <c r="E38">
        <v>3662</v>
      </c>
      <c r="F38" s="115" t="s">
        <v>578</v>
      </c>
      <c r="G38" s="115" t="s">
        <v>508</v>
      </c>
      <c r="H38" s="115" t="s">
        <v>528</v>
      </c>
      <c r="I38">
        <v>223</v>
      </c>
    </row>
    <row r="39" spans="1:10">
      <c r="A39" s="115" t="s">
        <v>569</v>
      </c>
      <c r="B39" s="115" t="s">
        <v>504</v>
      </c>
      <c r="C39" s="115" t="s">
        <v>519</v>
      </c>
      <c r="D39" s="115" t="s">
        <v>512</v>
      </c>
      <c r="E39">
        <v>3733</v>
      </c>
      <c r="F39" s="115" t="s">
        <v>579</v>
      </c>
      <c r="G39" s="115" t="s">
        <v>514</v>
      </c>
      <c r="H39" s="115" t="s">
        <v>528</v>
      </c>
      <c r="I39">
        <v>644</v>
      </c>
    </row>
    <row r="40" spans="1:10">
      <c r="A40" s="115" t="s">
        <v>569</v>
      </c>
      <c r="B40" s="115" t="s">
        <v>504</v>
      </c>
      <c r="C40" s="115" t="s">
        <v>511</v>
      </c>
      <c r="D40" s="115" t="s">
        <v>506</v>
      </c>
      <c r="E40">
        <v>3854</v>
      </c>
      <c r="F40" s="115" t="s">
        <v>580</v>
      </c>
      <c r="G40" s="115" t="s">
        <v>508</v>
      </c>
      <c r="H40" s="115" t="s">
        <v>528</v>
      </c>
      <c r="I40">
        <v>375</v>
      </c>
    </row>
    <row r="41" spans="1:10">
      <c r="A41" s="115" t="s">
        <v>569</v>
      </c>
      <c r="B41" s="115" t="s">
        <v>504</v>
      </c>
      <c r="C41" s="115" t="s">
        <v>524</v>
      </c>
      <c r="D41" s="115" t="s">
        <v>506</v>
      </c>
      <c r="E41">
        <v>3903</v>
      </c>
      <c r="F41" s="115" t="s">
        <v>581</v>
      </c>
      <c r="G41" s="115" t="s">
        <v>508</v>
      </c>
      <c r="H41" s="115" t="s">
        <v>528</v>
      </c>
      <c r="I41">
        <v>224</v>
      </c>
    </row>
    <row r="42" spans="1:10">
      <c r="A42" s="115" t="s">
        <v>569</v>
      </c>
      <c r="B42" s="115" t="s">
        <v>504</v>
      </c>
      <c r="C42" s="115" t="s">
        <v>505</v>
      </c>
      <c r="D42" s="115" t="s">
        <v>506</v>
      </c>
      <c r="E42">
        <v>4334</v>
      </c>
      <c r="F42" s="115" t="s">
        <v>582</v>
      </c>
      <c r="G42" s="115" t="s">
        <v>514</v>
      </c>
      <c r="H42" s="115" t="s">
        <v>528</v>
      </c>
      <c r="I42">
        <v>59</v>
      </c>
    </row>
    <row r="43" spans="1:10">
      <c r="A43" s="115" t="s">
        <v>569</v>
      </c>
      <c r="B43" s="115" t="s">
        <v>504</v>
      </c>
      <c r="C43" s="115" t="s">
        <v>524</v>
      </c>
      <c r="D43" s="115" t="s">
        <v>512</v>
      </c>
      <c r="E43">
        <v>4382</v>
      </c>
      <c r="F43" s="115" t="s">
        <v>583</v>
      </c>
      <c r="G43" s="115" t="s">
        <v>530</v>
      </c>
      <c r="H43" s="115" t="s">
        <v>528</v>
      </c>
      <c r="I43">
        <v>840</v>
      </c>
    </row>
    <row r="44" spans="1:10">
      <c r="A44" s="115" t="s">
        <v>569</v>
      </c>
      <c r="B44" s="115" t="s">
        <v>504</v>
      </c>
      <c r="C44" s="115" t="s">
        <v>511</v>
      </c>
      <c r="D44" s="115" t="s">
        <v>506</v>
      </c>
      <c r="E44">
        <v>6040</v>
      </c>
      <c r="F44" s="115" t="s">
        <v>584</v>
      </c>
      <c r="G44" s="115" t="s">
        <v>530</v>
      </c>
      <c r="H44" s="115" t="s">
        <v>515</v>
      </c>
      <c r="I44">
        <v>139</v>
      </c>
    </row>
    <row r="45" spans="1:10">
      <c r="A45" s="115" t="s">
        <v>569</v>
      </c>
      <c r="B45" s="115" t="s">
        <v>504</v>
      </c>
      <c r="C45" s="115" t="s">
        <v>519</v>
      </c>
      <c r="D45" s="115" t="s">
        <v>506</v>
      </c>
      <c r="E45">
        <v>6309</v>
      </c>
      <c r="F45" s="115" t="s">
        <v>585</v>
      </c>
      <c r="G45" s="115" t="s">
        <v>508</v>
      </c>
      <c r="H45" s="115" t="s">
        <v>547</v>
      </c>
      <c r="I45">
        <v>243</v>
      </c>
    </row>
    <row r="46" spans="1:10">
      <c r="A46" s="115" t="s">
        <v>569</v>
      </c>
      <c r="B46" s="115" t="s">
        <v>504</v>
      </c>
      <c r="C46" s="115" t="s">
        <v>524</v>
      </c>
      <c r="D46" s="115" t="s">
        <v>506</v>
      </c>
      <c r="E46">
        <v>6656</v>
      </c>
      <c r="F46" s="115" t="s">
        <v>586</v>
      </c>
      <c r="G46" s="115" t="s">
        <v>521</v>
      </c>
      <c r="H46" s="115" t="s">
        <v>561</v>
      </c>
      <c r="I46">
        <v>43</v>
      </c>
    </row>
    <row r="47" spans="1:10">
      <c r="A47" s="115" t="s">
        <v>569</v>
      </c>
      <c r="B47" s="115" t="s">
        <v>504</v>
      </c>
      <c r="C47" s="115" t="s">
        <v>505</v>
      </c>
      <c r="D47" s="115" t="s">
        <v>506</v>
      </c>
      <c r="E47">
        <v>6898</v>
      </c>
      <c r="F47" s="115" t="s">
        <v>587</v>
      </c>
      <c r="G47" s="115" t="s">
        <v>514</v>
      </c>
      <c r="H47" s="115" t="s">
        <v>561</v>
      </c>
      <c r="I47">
        <v>9</v>
      </c>
    </row>
    <row r="48" spans="1:10">
      <c r="A48" s="115" t="s">
        <v>569</v>
      </c>
      <c r="B48" s="115" t="s">
        <v>504</v>
      </c>
      <c r="C48" s="115" t="s">
        <v>519</v>
      </c>
      <c r="D48" s="115" t="s">
        <v>512</v>
      </c>
      <c r="E48">
        <v>7265</v>
      </c>
      <c r="F48" s="115" t="s">
        <v>588</v>
      </c>
      <c r="G48" s="115" t="s">
        <v>514</v>
      </c>
      <c r="H48" s="115" t="s">
        <v>589</v>
      </c>
      <c r="I48">
        <v>30</v>
      </c>
    </row>
    <row r="49" spans="1:10">
      <c r="A49" s="115" t="s">
        <v>569</v>
      </c>
      <c r="B49" s="115" t="s">
        <v>504</v>
      </c>
      <c r="C49" s="115" t="s">
        <v>519</v>
      </c>
      <c r="D49" s="115" t="s">
        <v>506</v>
      </c>
      <c r="E49">
        <v>7640</v>
      </c>
      <c r="F49" s="115" t="s">
        <v>590</v>
      </c>
      <c r="G49" s="115" t="s">
        <v>508</v>
      </c>
      <c r="H49" s="115" t="s">
        <v>526</v>
      </c>
      <c r="I49">
        <v>44</v>
      </c>
    </row>
    <row r="50" spans="1:10">
      <c r="A50" s="115" t="s">
        <v>569</v>
      </c>
      <c r="B50" s="115" t="s">
        <v>504</v>
      </c>
      <c r="C50" s="115" t="s">
        <v>505</v>
      </c>
      <c r="D50" s="115" t="s">
        <v>512</v>
      </c>
      <c r="E50">
        <v>7878</v>
      </c>
      <c r="F50" s="115" t="s">
        <v>591</v>
      </c>
      <c r="G50" s="115" t="s">
        <v>514</v>
      </c>
      <c r="H50" s="115" t="s">
        <v>549</v>
      </c>
      <c r="I50">
        <v>10</v>
      </c>
    </row>
    <row r="51" spans="1:10">
      <c r="A51" s="115" t="s">
        <v>569</v>
      </c>
      <c r="B51" s="115" t="s">
        <v>504</v>
      </c>
      <c r="C51" s="115" t="s">
        <v>519</v>
      </c>
      <c r="D51" s="115" t="s">
        <v>506</v>
      </c>
      <c r="E51">
        <v>9678</v>
      </c>
      <c r="F51" s="115" t="s">
        <v>592</v>
      </c>
      <c r="G51" s="115" t="s">
        <v>508</v>
      </c>
      <c r="H51" s="115" t="s">
        <v>515</v>
      </c>
      <c r="I51" s="115" t="s">
        <v>593</v>
      </c>
      <c r="J51" s="115" t="s">
        <v>594</v>
      </c>
    </row>
    <row r="52" spans="1:10">
      <c r="A52" s="115" t="s">
        <v>569</v>
      </c>
      <c r="B52" s="115" t="s">
        <v>504</v>
      </c>
      <c r="C52" s="115" t="s">
        <v>505</v>
      </c>
      <c r="D52" s="115" t="s">
        <v>512</v>
      </c>
      <c r="E52">
        <v>9734</v>
      </c>
      <c r="F52" s="115" t="s">
        <v>595</v>
      </c>
      <c r="G52" s="115" t="s">
        <v>514</v>
      </c>
      <c r="H52" s="115" t="s">
        <v>515</v>
      </c>
      <c r="I52">
        <v>28</v>
      </c>
    </row>
    <row r="53" spans="1:10">
      <c r="A53" s="115" t="s">
        <v>569</v>
      </c>
      <c r="B53" s="115" t="s">
        <v>504</v>
      </c>
      <c r="C53" s="115" t="s">
        <v>505</v>
      </c>
      <c r="D53" s="115" t="s">
        <v>506</v>
      </c>
      <c r="E53">
        <v>9743</v>
      </c>
      <c r="F53" s="115" t="s">
        <v>596</v>
      </c>
      <c r="G53" s="115" t="s">
        <v>508</v>
      </c>
      <c r="H53" s="115" t="s">
        <v>515</v>
      </c>
      <c r="I53">
        <v>580</v>
      </c>
    </row>
    <row r="54" spans="1:10">
      <c r="A54" s="115" t="s">
        <v>597</v>
      </c>
      <c r="B54" s="115" t="s">
        <v>598</v>
      </c>
      <c r="C54" s="115" t="s">
        <v>505</v>
      </c>
      <c r="D54" s="115" t="s">
        <v>512</v>
      </c>
      <c r="E54">
        <v>2163</v>
      </c>
      <c r="F54" s="115" t="s">
        <v>599</v>
      </c>
      <c r="G54" s="115" t="s">
        <v>508</v>
      </c>
      <c r="H54" s="115" t="s">
        <v>515</v>
      </c>
      <c r="I54">
        <v>79</v>
      </c>
    </row>
    <row r="55" spans="1:10">
      <c r="A55" s="115" t="s">
        <v>597</v>
      </c>
      <c r="B55" s="115" t="s">
        <v>504</v>
      </c>
      <c r="C55" s="115" t="s">
        <v>519</v>
      </c>
      <c r="D55" s="115" t="s">
        <v>512</v>
      </c>
      <c r="E55">
        <v>2301</v>
      </c>
      <c r="F55" s="115" t="s">
        <v>600</v>
      </c>
      <c r="G55" s="115" t="s">
        <v>508</v>
      </c>
      <c r="H55" s="115" t="s">
        <v>515</v>
      </c>
      <c r="I55">
        <v>250</v>
      </c>
    </row>
    <row r="56" spans="1:10">
      <c r="A56" s="115" t="s">
        <v>597</v>
      </c>
      <c r="B56" s="115" t="s">
        <v>504</v>
      </c>
      <c r="C56" s="115" t="s">
        <v>505</v>
      </c>
      <c r="D56" s="115" t="s">
        <v>506</v>
      </c>
      <c r="E56">
        <v>3071</v>
      </c>
      <c r="F56" s="115" t="s">
        <v>601</v>
      </c>
      <c r="G56" s="115" t="s">
        <v>521</v>
      </c>
      <c r="H56" s="115" t="s">
        <v>526</v>
      </c>
      <c r="I56">
        <v>24</v>
      </c>
    </row>
    <row r="57" spans="1:10">
      <c r="A57" s="115" t="s">
        <v>597</v>
      </c>
      <c r="B57" s="115" t="s">
        <v>504</v>
      </c>
      <c r="C57" s="115" t="s">
        <v>524</v>
      </c>
      <c r="D57" s="115" t="s">
        <v>506</v>
      </c>
      <c r="E57">
        <v>3180</v>
      </c>
      <c r="F57" s="115" t="s">
        <v>602</v>
      </c>
      <c r="G57" s="115" t="s">
        <v>508</v>
      </c>
      <c r="H57" s="115" t="s">
        <v>517</v>
      </c>
      <c r="I57">
        <v>130</v>
      </c>
    </row>
    <row r="58" spans="1:10">
      <c r="A58" s="115" t="s">
        <v>597</v>
      </c>
      <c r="B58" s="115" t="s">
        <v>504</v>
      </c>
      <c r="C58" s="115" t="s">
        <v>519</v>
      </c>
      <c r="D58" s="115" t="s">
        <v>506</v>
      </c>
      <c r="E58">
        <v>3491</v>
      </c>
      <c r="F58" s="115" t="s">
        <v>603</v>
      </c>
      <c r="G58" s="115" t="s">
        <v>530</v>
      </c>
      <c r="H58" s="115" t="s">
        <v>563</v>
      </c>
      <c r="I58">
        <v>369</v>
      </c>
    </row>
    <row r="59" spans="1:10">
      <c r="A59" s="115" t="s">
        <v>597</v>
      </c>
      <c r="B59" s="115" t="s">
        <v>504</v>
      </c>
      <c r="C59" s="115" t="s">
        <v>524</v>
      </c>
      <c r="D59" s="115" t="s">
        <v>506</v>
      </c>
      <c r="E59">
        <v>3524</v>
      </c>
      <c r="F59" s="115" t="s">
        <v>604</v>
      </c>
      <c r="G59" s="115" t="s">
        <v>508</v>
      </c>
      <c r="H59" s="115" t="s">
        <v>605</v>
      </c>
      <c r="I59">
        <v>42</v>
      </c>
    </row>
    <row r="60" spans="1:10">
      <c r="A60" s="115" t="s">
        <v>597</v>
      </c>
      <c r="B60" s="115" t="s">
        <v>504</v>
      </c>
      <c r="C60" s="115" t="s">
        <v>505</v>
      </c>
      <c r="D60" s="115" t="s">
        <v>506</v>
      </c>
      <c r="E60">
        <v>3955</v>
      </c>
      <c r="F60" s="115" t="s">
        <v>606</v>
      </c>
      <c r="G60" s="115" t="s">
        <v>521</v>
      </c>
      <c r="H60" s="115" t="s">
        <v>607</v>
      </c>
      <c r="I60">
        <v>61</v>
      </c>
    </row>
    <row r="61" spans="1:10">
      <c r="A61" s="115" t="s">
        <v>597</v>
      </c>
      <c r="B61" s="115" t="s">
        <v>504</v>
      </c>
      <c r="C61" s="115" t="s">
        <v>505</v>
      </c>
      <c r="D61" s="115" t="s">
        <v>506</v>
      </c>
      <c r="E61">
        <v>4238</v>
      </c>
      <c r="F61" s="115" t="s">
        <v>608</v>
      </c>
      <c r="G61" s="115" t="s">
        <v>508</v>
      </c>
      <c r="H61" s="115" t="s">
        <v>532</v>
      </c>
      <c r="I61">
        <v>135</v>
      </c>
    </row>
    <row r="62" spans="1:10">
      <c r="A62" s="115" t="s">
        <v>597</v>
      </c>
      <c r="B62" s="115" t="s">
        <v>504</v>
      </c>
      <c r="C62" s="115" t="s">
        <v>524</v>
      </c>
      <c r="D62" s="115" t="s">
        <v>506</v>
      </c>
      <c r="E62">
        <v>6065</v>
      </c>
      <c r="F62" s="115" t="s">
        <v>609</v>
      </c>
      <c r="G62" s="115" t="s">
        <v>508</v>
      </c>
      <c r="H62" s="115" t="s">
        <v>515</v>
      </c>
      <c r="I62">
        <v>92</v>
      </c>
    </row>
    <row r="63" spans="1:10">
      <c r="A63" s="115" t="s">
        <v>597</v>
      </c>
      <c r="B63" s="115" t="s">
        <v>504</v>
      </c>
      <c r="C63" s="115" t="s">
        <v>505</v>
      </c>
      <c r="D63" s="115" t="s">
        <v>506</v>
      </c>
      <c r="E63">
        <v>7196</v>
      </c>
      <c r="F63" s="115" t="s">
        <v>610</v>
      </c>
      <c r="G63" s="115" t="s">
        <v>508</v>
      </c>
      <c r="H63" s="115" t="s">
        <v>611</v>
      </c>
      <c r="I63">
        <v>136</v>
      </c>
    </row>
    <row r="64" spans="1:10">
      <c r="A64" s="115" t="s">
        <v>597</v>
      </c>
      <c r="B64" s="115" t="s">
        <v>504</v>
      </c>
      <c r="C64" s="115" t="s">
        <v>519</v>
      </c>
      <c r="D64" s="115" t="s">
        <v>512</v>
      </c>
      <c r="E64">
        <v>7804</v>
      </c>
      <c r="F64" s="115" t="s">
        <v>612</v>
      </c>
      <c r="G64" s="115" t="s">
        <v>530</v>
      </c>
      <c r="H64" s="115" t="s">
        <v>549</v>
      </c>
      <c r="I64">
        <v>42</v>
      </c>
    </row>
    <row r="65" spans="1:9">
      <c r="A65" s="115" t="s">
        <v>597</v>
      </c>
      <c r="B65" s="115" t="s">
        <v>504</v>
      </c>
      <c r="C65" s="115" t="s">
        <v>519</v>
      </c>
      <c r="D65" s="115" t="s">
        <v>506</v>
      </c>
      <c r="E65">
        <v>7856</v>
      </c>
      <c r="F65" s="115" t="s">
        <v>613</v>
      </c>
      <c r="G65" s="115" t="s">
        <v>508</v>
      </c>
      <c r="H65" s="115" t="s">
        <v>549</v>
      </c>
      <c r="I65">
        <v>243</v>
      </c>
    </row>
    <row r="66" spans="1:9">
      <c r="A66" s="115" t="s">
        <v>597</v>
      </c>
      <c r="B66" s="115" t="s">
        <v>504</v>
      </c>
      <c r="C66" s="115" t="s">
        <v>519</v>
      </c>
      <c r="D66" s="115" t="s">
        <v>506</v>
      </c>
      <c r="E66">
        <v>9824</v>
      </c>
      <c r="F66" s="115" t="s">
        <v>614</v>
      </c>
      <c r="G66" s="115" t="s">
        <v>508</v>
      </c>
      <c r="H66" s="115" t="s">
        <v>517</v>
      </c>
      <c r="I66">
        <v>315</v>
      </c>
    </row>
    <row r="67" spans="1:9">
      <c r="A67" s="115" t="s">
        <v>615</v>
      </c>
      <c r="B67" s="115" t="s">
        <v>504</v>
      </c>
      <c r="C67" s="115" t="s">
        <v>505</v>
      </c>
      <c r="D67" s="115" t="s">
        <v>506</v>
      </c>
      <c r="E67">
        <v>1433</v>
      </c>
      <c r="F67" s="115" t="s">
        <v>616</v>
      </c>
      <c r="G67" s="115" t="s">
        <v>508</v>
      </c>
      <c r="H67" s="115" t="s">
        <v>571</v>
      </c>
      <c r="I67">
        <v>105</v>
      </c>
    </row>
    <row r="68" spans="1:9">
      <c r="A68" s="115" t="s">
        <v>615</v>
      </c>
      <c r="B68" s="115" t="s">
        <v>504</v>
      </c>
      <c r="C68" s="115" t="s">
        <v>511</v>
      </c>
      <c r="D68" s="115" t="s">
        <v>506</v>
      </c>
      <c r="E68">
        <v>1844</v>
      </c>
      <c r="F68" s="115" t="s">
        <v>617</v>
      </c>
      <c r="G68" s="115" t="s">
        <v>521</v>
      </c>
      <c r="H68" s="115" t="s">
        <v>571</v>
      </c>
      <c r="I68">
        <v>32</v>
      </c>
    </row>
    <row r="69" spans="1:9">
      <c r="A69" s="115" t="s">
        <v>615</v>
      </c>
      <c r="B69" s="115" t="s">
        <v>504</v>
      </c>
      <c r="C69" s="115" t="s">
        <v>524</v>
      </c>
      <c r="D69" s="115" t="s">
        <v>512</v>
      </c>
      <c r="E69">
        <v>2438</v>
      </c>
      <c r="F69" s="115" t="s">
        <v>618</v>
      </c>
      <c r="G69" s="115" t="s">
        <v>530</v>
      </c>
      <c r="H69" s="115" t="s">
        <v>515</v>
      </c>
      <c r="I69">
        <v>248</v>
      </c>
    </row>
    <row r="70" spans="1:9">
      <c r="A70" s="115" t="s">
        <v>615</v>
      </c>
      <c r="B70" s="115" t="s">
        <v>504</v>
      </c>
      <c r="C70" s="115" t="s">
        <v>524</v>
      </c>
      <c r="D70" s="115" t="s">
        <v>506</v>
      </c>
      <c r="E70">
        <v>2751</v>
      </c>
      <c r="F70" s="115" t="s">
        <v>619</v>
      </c>
      <c r="G70" s="115" t="s">
        <v>514</v>
      </c>
      <c r="H70" s="115" t="s">
        <v>517</v>
      </c>
      <c r="I70">
        <v>314</v>
      </c>
    </row>
    <row r="71" spans="1:9">
      <c r="A71" s="115" t="s">
        <v>615</v>
      </c>
      <c r="B71" s="115" t="s">
        <v>504</v>
      </c>
      <c r="C71" s="115" t="s">
        <v>524</v>
      </c>
      <c r="D71" s="115" t="s">
        <v>506</v>
      </c>
      <c r="E71">
        <v>2923</v>
      </c>
      <c r="F71" s="115" t="s">
        <v>620</v>
      </c>
      <c r="G71" s="115" t="s">
        <v>521</v>
      </c>
      <c r="H71" s="115" t="s">
        <v>509</v>
      </c>
      <c r="I71">
        <v>183</v>
      </c>
    </row>
    <row r="72" spans="1:9">
      <c r="A72" s="115" t="s">
        <v>615</v>
      </c>
      <c r="B72" s="115" t="s">
        <v>504</v>
      </c>
      <c r="C72" s="115" t="s">
        <v>505</v>
      </c>
      <c r="D72" s="115" t="s">
        <v>506</v>
      </c>
      <c r="E72">
        <v>3070</v>
      </c>
      <c r="F72" s="115" t="s">
        <v>621</v>
      </c>
      <c r="G72" s="115" t="s">
        <v>514</v>
      </c>
      <c r="H72" s="115" t="s">
        <v>517</v>
      </c>
      <c r="I72">
        <v>7</v>
      </c>
    </row>
    <row r="73" spans="1:9">
      <c r="A73" s="115" t="s">
        <v>615</v>
      </c>
      <c r="B73" s="115" t="s">
        <v>504</v>
      </c>
      <c r="C73" s="115" t="s">
        <v>519</v>
      </c>
      <c r="D73" s="115" t="s">
        <v>506</v>
      </c>
      <c r="E73">
        <v>3248</v>
      </c>
      <c r="F73" s="115" t="s">
        <v>622</v>
      </c>
      <c r="G73" s="115" t="s">
        <v>521</v>
      </c>
      <c r="H73" s="115" t="s">
        <v>563</v>
      </c>
      <c r="I73">
        <v>21</v>
      </c>
    </row>
    <row r="74" spans="1:9">
      <c r="A74" s="115" t="s">
        <v>615</v>
      </c>
      <c r="B74" s="115" t="s">
        <v>504</v>
      </c>
      <c r="C74" s="115" t="s">
        <v>505</v>
      </c>
      <c r="D74" s="115" t="s">
        <v>512</v>
      </c>
      <c r="E74">
        <v>3399</v>
      </c>
      <c r="F74" s="115" t="s">
        <v>623</v>
      </c>
      <c r="G74" s="115" t="s">
        <v>514</v>
      </c>
      <c r="H74" s="115" t="s">
        <v>526</v>
      </c>
      <c r="I74">
        <v>49</v>
      </c>
    </row>
    <row r="75" spans="1:9">
      <c r="A75" s="115" t="s">
        <v>615</v>
      </c>
      <c r="B75" s="115" t="s">
        <v>504</v>
      </c>
      <c r="C75" s="115" t="s">
        <v>519</v>
      </c>
      <c r="D75" s="115" t="s">
        <v>506</v>
      </c>
      <c r="E75">
        <v>3475</v>
      </c>
      <c r="F75" s="115" t="s">
        <v>624</v>
      </c>
      <c r="G75" s="115" t="s">
        <v>508</v>
      </c>
      <c r="H75" s="115" t="s">
        <v>563</v>
      </c>
      <c r="I75">
        <v>135</v>
      </c>
    </row>
    <row r="76" spans="1:9">
      <c r="A76" s="115" t="s">
        <v>615</v>
      </c>
      <c r="B76" s="115" t="s">
        <v>504</v>
      </c>
      <c r="C76" s="115" t="s">
        <v>519</v>
      </c>
      <c r="D76" s="115" t="s">
        <v>512</v>
      </c>
      <c r="E76">
        <v>3476</v>
      </c>
      <c r="F76" s="115" t="s">
        <v>625</v>
      </c>
      <c r="G76" s="115" t="s">
        <v>626</v>
      </c>
      <c r="H76" s="115" t="s">
        <v>627</v>
      </c>
      <c r="I76">
        <v>955</v>
      </c>
    </row>
    <row r="77" spans="1:9">
      <c r="A77" s="115" t="s">
        <v>615</v>
      </c>
      <c r="B77" s="115" t="s">
        <v>504</v>
      </c>
      <c r="C77" s="115" t="s">
        <v>511</v>
      </c>
      <c r="D77" s="115" t="s">
        <v>506</v>
      </c>
      <c r="E77">
        <v>3988</v>
      </c>
      <c r="F77" s="115" t="s">
        <v>628</v>
      </c>
      <c r="G77" s="115" t="s">
        <v>514</v>
      </c>
      <c r="H77" s="115" t="s">
        <v>528</v>
      </c>
      <c r="I77">
        <v>29</v>
      </c>
    </row>
    <row r="78" spans="1:9">
      <c r="A78" s="115" t="s">
        <v>615</v>
      </c>
      <c r="B78" s="115" t="s">
        <v>504</v>
      </c>
      <c r="C78" s="115" t="s">
        <v>519</v>
      </c>
      <c r="D78" s="115" t="s">
        <v>512</v>
      </c>
      <c r="E78">
        <v>4441</v>
      </c>
      <c r="F78" s="115" t="s">
        <v>629</v>
      </c>
      <c r="G78" s="115" t="s">
        <v>530</v>
      </c>
      <c r="H78" s="115" t="s">
        <v>528</v>
      </c>
      <c r="I78">
        <v>202</v>
      </c>
    </row>
    <row r="79" spans="1:9">
      <c r="A79" s="115" t="s">
        <v>615</v>
      </c>
      <c r="B79" s="115" t="s">
        <v>504</v>
      </c>
      <c r="C79" s="115" t="s">
        <v>511</v>
      </c>
      <c r="D79" s="115" t="s">
        <v>512</v>
      </c>
      <c r="E79">
        <v>6387</v>
      </c>
      <c r="F79" s="115" t="s">
        <v>630</v>
      </c>
      <c r="G79" s="115" t="s">
        <v>508</v>
      </c>
      <c r="H79" s="115" t="s">
        <v>547</v>
      </c>
      <c r="I79">
        <v>91</v>
      </c>
    </row>
    <row r="80" spans="1:9">
      <c r="A80" s="115" t="s">
        <v>615</v>
      </c>
      <c r="B80" s="115" t="s">
        <v>504</v>
      </c>
      <c r="C80" s="115" t="s">
        <v>505</v>
      </c>
      <c r="D80" s="115" t="s">
        <v>506</v>
      </c>
      <c r="E80">
        <v>6696</v>
      </c>
      <c r="F80" s="115" t="s">
        <v>631</v>
      </c>
      <c r="G80" s="115" t="s">
        <v>530</v>
      </c>
      <c r="H80" s="115" t="s">
        <v>561</v>
      </c>
      <c r="I80">
        <v>40</v>
      </c>
    </row>
    <row r="81" spans="1:9">
      <c r="A81" s="115" t="s">
        <v>615</v>
      </c>
      <c r="B81" s="115" t="s">
        <v>504</v>
      </c>
      <c r="C81" s="115" t="s">
        <v>524</v>
      </c>
      <c r="D81" s="115" t="s">
        <v>512</v>
      </c>
      <c r="E81">
        <v>7901</v>
      </c>
      <c r="F81" s="115" t="s">
        <v>632</v>
      </c>
      <c r="G81" s="115" t="s">
        <v>514</v>
      </c>
      <c r="H81" s="115" t="s">
        <v>549</v>
      </c>
      <c r="I81">
        <v>9</v>
      </c>
    </row>
    <row r="82" spans="1:9">
      <c r="A82" s="115" t="s">
        <v>615</v>
      </c>
      <c r="B82" s="115" t="s">
        <v>504</v>
      </c>
      <c r="C82" s="115" t="s">
        <v>505</v>
      </c>
      <c r="D82" s="115" t="s">
        <v>506</v>
      </c>
      <c r="E82">
        <v>8142</v>
      </c>
      <c r="F82" s="115" t="s">
        <v>633</v>
      </c>
      <c r="G82" s="115" t="s">
        <v>508</v>
      </c>
      <c r="H82" s="115" t="s">
        <v>517</v>
      </c>
      <c r="I82">
        <v>201</v>
      </c>
    </row>
    <row r="83" spans="1:9">
      <c r="A83" s="115" t="s">
        <v>615</v>
      </c>
      <c r="B83" s="115" t="s">
        <v>504</v>
      </c>
      <c r="C83" s="115" t="s">
        <v>511</v>
      </c>
      <c r="D83" s="115" t="s">
        <v>512</v>
      </c>
      <c r="E83">
        <v>9262</v>
      </c>
      <c r="F83" s="115" t="s">
        <v>634</v>
      </c>
      <c r="G83" s="115" t="s">
        <v>530</v>
      </c>
      <c r="H83" s="115" t="s">
        <v>526</v>
      </c>
      <c r="I83">
        <v>338</v>
      </c>
    </row>
    <row r="84" spans="1:9">
      <c r="A84" s="115" t="s">
        <v>615</v>
      </c>
      <c r="B84" s="115" t="s">
        <v>504</v>
      </c>
      <c r="C84" s="115" t="s">
        <v>505</v>
      </c>
      <c r="D84" s="115" t="s">
        <v>512</v>
      </c>
      <c r="E84">
        <v>9636</v>
      </c>
      <c r="F84" s="115" t="s">
        <v>635</v>
      </c>
      <c r="G84" s="115" t="s">
        <v>521</v>
      </c>
      <c r="H84" s="115" t="s">
        <v>515</v>
      </c>
      <c r="I84">
        <v>97</v>
      </c>
    </row>
    <row r="85" spans="1:9">
      <c r="A85" s="115" t="s">
        <v>615</v>
      </c>
      <c r="B85" s="115" t="s">
        <v>504</v>
      </c>
      <c r="C85" s="115" t="s">
        <v>505</v>
      </c>
      <c r="D85" s="115" t="s">
        <v>506</v>
      </c>
      <c r="E85">
        <v>9692</v>
      </c>
      <c r="F85" s="115" t="s">
        <v>636</v>
      </c>
      <c r="G85" s="115" t="s">
        <v>508</v>
      </c>
      <c r="H85" s="115" t="s">
        <v>528</v>
      </c>
      <c r="I85">
        <v>817</v>
      </c>
    </row>
    <row r="86" spans="1:9">
      <c r="A86" s="115" t="s">
        <v>637</v>
      </c>
      <c r="B86" s="115" t="s">
        <v>504</v>
      </c>
      <c r="C86" s="115" t="s">
        <v>505</v>
      </c>
      <c r="D86" s="115" t="s">
        <v>512</v>
      </c>
      <c r="E86">
        <v>1758</v>
      </c>
      <c r="F86" s="115" t="s">
        <v>638</v>
      </c>
      <c r="G86" s="115" t="s">
        <v>514</v>
      </c>
      <c r="H86" s="115" t="s">
        <v>571</v>
      </c>
      <c r="I86">
        <v>45</v>
      </c>
    </row>
    <row r="87" spans="1:9">
      <c r="A87" s="115" t="s">
        <v>637</v>
      </c>
      <c r="B87" s="115" t="s">
        <v>504</v>
      </c>
      <c r="C87" s="115" t="s">
        <v>524</v>
      </c>
      <c r="D87" s="115" t="s">
        <v>506</v>
      </c>
      <c r="E87">
        <v>3134</v>
      </c>
      <c r="F87" s="115" t="s">
        <v>639</v>
      </c>
      <c r="G87" s="115" t="s">
        <v>508</v>
      </c>
      <c r="H87" s="115" t="s">
        <v>526</v>
      </c>
      <c r="I87">
        <v>217</v>
      </c>
    </row>
    <row r="88" spans="1:9">
      <c r="A88" s="115" t="s">
        <v>637</v>
      </c>
      <c r="B88" s="115" t="s">
        <v>504</v>
      </c>
      <c r="C88" s="115" t="s">
        <v>524</v>
      </c>
      <c r="D88" s="115" t="s">
        <v>506</v>
      </c>
      <c r="E88">
        <v>3161</v>
      </c>
      <c r="F88" s="115" t="s">
        <v>640</v>
      </c>
      <c r="G88" s="115" t="s">
        <v>521</v>
      </c>
      <c r="H88" s="115" t="s">
        <v>517</v>
      </c>
      <c r="I88">
        <v>37</v>
      </c>
    </row>
    <row r="89" spans="1:9">
      <c r="A89" s="115" t="s">
        <v>637</v>
      </c>
      <c r="B89" s="115" t="s">
        <v>504</v>
      </c>
      <c r="C89" s="115" t="s">
        <v>505</v>
      </c>
      <c r="D89" s="115" t="s">
        <v>506</v>
      </c>
      <c r="E89">
        <v>3320</v>
      </c>
      <c r="F89" s="115" t="s">
        <v>641</v>
      </c>
      <c r="G89" s="115" t="s">
        <v>521</v>
      </c>
      <c r="H89" s="115" t="s">
        <v>517</v>
      </c>
      <c r="I89">
        <v>55</v>
      </c>
    </row>
    <row r="90" spans="1:9">
      <c r="A90" s="115" t="s">
        <v>637</v>
      </c>
      <c r="B90" s="115" t="s">
        <v>504</v>
      </c>
      <c r="C90" s="115" t="s">
        <v>524</v>
      </c>
      <c r="D90" s="115" t="s">
        <v>506</v>
      </c>
      <c r="E90">
        <v>3444</v>
      </c>
      <c r="F90" s="115" t="s">
        <v>642</v>
      </c>
      <c r="G90" s="115" t="s">
        <v>514</v>
      </c>
      <c r="H90" s="115" t="s">
        <v>538</v>
      </c>
      <c r="I90">
        <v>92</v>
      </c>
    </row>
    <row r="91" spans="1:9">
      <c r="A91" s="115" t="s">
        <v>637</v>
      </c>
      <c r="B91" s="115" t="s">
        <v>504</v>
      </c>
      <c r="C91" s="115" t="s">
        <v>511</v>
      </c>
      <c r="D91" s="115" t="s">
        <v>506</v>
      </c>
      <c r="E91">
        <v>3458</v>
      </c>
      <c r="F91" s="115" t="s">
        <v>643</v>
      </c>
      <c r="G91" s="115" t="s">
        <v>508</v>
      </c>
      <c r="H91" s="115" t="s">
        <v>563</v>
      </c>
      <c r="I91">
        <v>278</v>
      </c>
    </row>
    <row r="92" spans="1:9">
      <c r="A92" s="115" t="s">
        <v>637</v>
      </c>
      <c r="B92" s="115" t="s">
        <v>504</v>
      </c>
      <c r="C92" s="115" t="s">
        <v>511</v>
      </c>
      <c r="D92" s="115" t="s">
        <v>506</v>
      </c>
      <c r="E92">
        <v>3539</v>
      </c>
      <c r="F92" s="115" t="s">
        <v>644</v>
      </c>
      <c r="G92" s="115" t="s">
        <v>508</v>
      </c>
      <c r="H92" s="115" t="s">
        <v>526</v>
      </c>
      <c r="I92">
        <v>553</v>
      </c>
    </row>
    <row r="93" spans="1:9">
      <c r="A93" s="115" t="s">
        <v>637</v>
      </c>
      <c r="B93" s="115" t="s">
        <v>504</v>
      </c>
      <c r="C93" s="115" t="s">
        <v>505</v>
      </c>
      <c r="D93" s="115" t="s">
        <v>512</v>
      </c>
      <c r="E93">
        <v>3565</v>
      </c>
      <c r="F93" s="115" t="s">
        <v>645</v>
      </c>
      <c r="G93" s="115" t="s">
        <v>508</v>
      </c>
      <c r="H93" s="115" t="s">
        <v>517</v>
      </c>
      <c r="I93">
        <v>130</v>
      </c>
    </row>
    <row r="94" spans="1:9">
      <c r="A94" s="115" t="s">
        <v>637</v>
      </c>
      <c r="B94" s="115" t="s">
        <v>504</v>
      </c>
      <c r="C94" s="115" t="s">
        <v>524</v>
      </c>
      <c r="D94" s="115" t="s">
        <v>512</v>
      </c>
      <c r="E94">
        <v>4026</v>
      </c>
      <c r="F94" s="115" t="s">
        <v>646</v>
      </c>
      <c r="G94" s="115" t="s">
        <v>521</v>
      </c>
      <c r="H94" s="115" t="s">
        <v>647</v>
      </c>
      <c r="I94">
        <v>77</v>
      </c>
    </row>
    <row r="95" spans="1:9">
      <c r="A95" s="115" t="s">
        <v>637</v>
      </c>
      <c r="B95" s="115" t="s">
        <v>504</v>
      </c>
      <c r="C95" s="115" t="s">
        <v>505</v>
      </c>
      <c r="D95" s="115" t="s">
        <v>512</v>
      </c>
      <c r="E95">
        <v>7064</v>
      </c>
      <c r="F95" s="115" t="s">
        <v>648</v>
      </c>
      <c r="G95" s="115" t="s">
        <v>530</v>
      </c>
      <c r="H95" s="115" t="s">
        <v>515</v>
      </c>
      <c r="I95">
        <v>40</v>
      </c>
    </row>
    <row r="96" spans="1:9">
      <c r="A96" s="115" t="s">
        <v>649</v>
      </c>
      <c r="B96" s="115" t="s">
        <v>504</v>
      </c>
      <c r="C96" s="115" t="s">
        <v>519</v>
      </c>
      <c r="D96" s="115" t="s">
        <v>506</v>
      </c>
      <c r="E96">
        <v>2695</v>
      </c>
      <c r="F96" s="115" t="s">
        <v>650</v>
      </c>
      <c r="G96" s="115" t="s">
        <v>508</v>
      </c>
      <c r="H96" s="115" t="s">
        <v>526</v>
      </c>
      <c r="I96">
        <v>996</v>
      </c>
    </row>
    <row r="97" spans="1:10">
      <c r="A97" s="115" t="s">
        <v>649</v>
      </c>
      <c r="B97" s="115" t="s">
        <v>504</v>
      </c>
      <c r="C97" s="115" t="s">
        <v>524</v>
      </c>
      <c r="D97" s="115" t="s">
        <v>512</v>
      </c>
      <c r="E97">
        <v>3075</v>
      </c>
      <c r="F97" s="115" t="s">
        <v>651</v>
      </c>
      <c r="G97" s="115" t="s">
        <v>514</v>
      </c>
      <c r="H97" s="115" t="s">
        <v>526</v>
      </c>
      <c r="I97">
        <v>183</v>
      </c>
    </row>
    <row r="98" spans="1:10">
      <c r="A98" s="115" t="s">
        <v>649</v>
      </c>
      <c r="B98" s="115" t="s">
        <v>504</v>
      </c>
      <c r="C98" s="115" t="s">
        <v>505</v>
      </c>
      <c r="D98" s="115" t="s">
        <v>506</v>
      </c>
      <c r="E98">
        <v>3169</v>
      </c>
      <c r="F98" s="115" t="s">
        <v>652</v>
      </c>
      <c r="G98" s="115" t="s">
        <v>508</v>
      </c>
      <c r="H98" s="115" t="s">
        <v>526</v>
      </c>
      <c r="I98">
        <v>63</v>
      </c>
    </row>
    <row r="99" spans="1:10">
      <c r="A99" s="115" t="s">
        <v>649</v>
      </c>
      <c r="B99" s="115" t="s">
        <v>504</v>
      </c>
      <c r="C99" s="115" t="s">
        <v>524</v>
      </c>
      <c r="D99" s="115" t="s">
        <v>506</v>
      </c>
      <c r="E99">
        <v>3361</v>
      </c>
      <c r="F99" s="115" t="s">
        <v>653</v>
      </c>
      <c r="G99" s="115" t="s">
        <v>508</v>
      </c>
      <c r="H99" s="115" t="s">
        <v>526</v>
      </c>
      <c r="I99">
        <v>163</v>
      </c>
    </row>
    <row r="100" spans="1:10">
      <c r="A100" s="115" t="s">
        <v>649</v>
      </c>
      <c r="B100" s="115" t="s">
        <v>504</v>
      </c>
      <c r="C100" s="115" t="s">
        <v>511</v>
      </c>
      <c r="D100" s="115" t="s">
        <v>506</v>
      </c>
      <c r="E100">
        <v>3418</v>
      </c>
      <c r="F100" s="115" t="s">
        <v>654</v>
      </c>
      <c r="G100" s="115" t="s">
        <v>530</v>
      </c>
      <c r="H100" s="115" t="s">
        <v>526</v>
      </c>
      <c r="I100">
        <v>104</v>
      </c>
    </row>
    <row r="101" spans="1:10">
      <c r="A101" s="115" t="s">
        <v>649</v>
      </c>
      <c r="B101" s="115" t="s">
        <v>504</v>
      </c>
      <c r="C101" s="115" t="s">
        <v>524</v>
      </c>
      <c r="D101" s="115" t="s">
        <v>506</v>
      </c>
      <c r="E101">
        <v>3549</v>
      </c>
      <c r="F101" s="115" t="s">
        <v>655</v>
      </c>
      <c r="G101" s="115" t="s">
        <v>508</v>
      </c>
      <c r="H101" s="115" t="s">
        <v>526</v>
      </c>
      <c r="I101" s="115" t="s">
        <v>552</v>
      </c>
      <c r="J101" s="115" t="s">
        <v>656</v>
      </c>
    </row>
    <row r="102" spans="1:10">
      <c r="A102" s="115" t="s">
        <v>649</v>
      </c>
      <c r="B102" s="115" t="s">
        <v>504</v>
      </c>
      <c r="C102" s="115" t="s">
        <v>519</v>
      </c>
      <c r="D102" s="115" t="s">
        <v>506</v>
      </c>
      <c r="E102">
        <v>3974</v>
      </c>
      <c r="F102" s="115" t="s">
        <v>657</v>
      </c>
      <c r="G102" s="115" t="s">
        <v>514</v>
      </c>
      <c r="H102" s="115" t="s">
        <v>528</v>
      </c>
      <c r="I102">
        <v>23</v>
      </c>
    </row>
    <row r="103" spans="1:10">
      <c r="A103" s="115" t="s">
        <v>649</v>
      </c>
      <c r="B103" s="115" t="s">
        <v>504</v>
      </c>
      <c r="C103" s="115" t="s">
        <v>519</v>
      </c>
      <c r="D103" s="115" t="s">
        <v>506</v>
      </c>
      <c r="E103">
        <v>3976</v>
      </c>
      <c r="F103" s="115" t="s">
        <v>658</v>
      </c>
      <c r="G103" s="115" t="s">
        <v>530</v>
      </c>
      <c r="H103" s="115" t="s">
        <v>528</v>
      </c>
      <c r="I103">
        <v>19</v>
      </c>
    </row>
    <row r="104" spans="1:10">
      <c r="A104" s="115" t="s">
        <v>649</v>
      </c>
      <c r="B104" s="115" t="s">
        <v>504</v>
      </c>
      <c r="C104" s="115" t="s">
        <v>511</v>
      </c>
      <c r="D104" s="115" t="s">
        <v>512</v>
      </c>
      <c r="E104">
        <v>4384</v>
      </c>
      <c r="F104" s="115" t="s">
        <v>659</v>
      </c>
      <c r="G104" s="115" t="s">
        <v>508</v>
      </c>
      <c r="H104" s="115" t="s">
        <v>528</v>
      </c>
      <c r="I104" s="115" t="s">
        <v>593</v>
      </c>
      <c r="J104" s="115" t="s">
        <v>660</v>
      </c>
    </row>
    <row r="105" spans="1:10">
      <c r="A105" s="115" t="s">
        <v>649</v>
      </c>
      <c r="B105" s="115" t="s">
        <v>504</v>
      </c>
      <c r="C105" s="115" t="s">
        <v>511</v>
      </c>
      <c r="D105" s="115" t="s">
        <v>506</v>
      </c>
      <c r="E105">
        <v>4422</v>
      </c>
      <c r="F105" s="115" t="s">
        <v>661</v>
      </c>
      <c r="G105" s="115" t="s">
        <v>530</v>
      </c>
      <c r="H105" s="115" t="s">
        <v>528</v>
      </c>
      <c r="I105">
        <v>66</v>
      </c>
    </row>
    <row r="106" spans="1:10">
      <c r="A106" s="115" t="s">
        <v>649</v>
      </c>
      <c r="B106" s="115" t="s">
        <v>504</v>
      </c>
      <c r="C106" s="115" t="s">
        <v>519</v>
      </c>
      <c r="D106" s="115" t="s">
        <v>512</v>
      </c>
      <c r="E106">
        <v>4880</v>
      </c>
      <c r="F106" s="115" t="s">
        <v>662</v>
      </c>
      <c r="G106" s="115" t="s">
        <v>530</v>
      </c>
      <c r="H106" s="115" t="s">
        <v>663</v>
      </c>
      <c r="I106">
        <v>163</v>
      </c>
    </row>
    <row r="107" spans="1:10">
      <c r="A107" s="115" t="s">
        <v>649</v>
      </c>
      <c r="B107" s="115" t="s">
        <v>504</v>
      </c>
      <c r="C107" s="115" t="s">
        <v>519</v>
      </c>
      <c r="D107" s="115" t="s">
        <v>506</v>
      </c>
      <c r="E107">
        <v>5218</v>
      </c>
      <c r="F107" s="115" t="s">
        <v>664</v>
      </c>
      <c r="G107" s="115" t="s">
        <v>508</v>
      </c>
      <c r="H107" s="115" t="s">
        <v>647</v>
      </c>
      <c r="I107">
        <v>377</v>
      </c>
    </row>
    <row r="108" spans="1:10">
      <c r="A108" s="115" t="s">
        <v>649</v>
      </c>
      <c r="B108" s="115" t="s">
        <v>504</v>
      </c>
      <c r="C108" s="115" t="s">
        <v>511</v>
      </c>
      <c r="D108" s="115" t="s">
        <v>512</v>
      </c>
      <c r="E108">
        <v>6037</v>
      </c>
      <c r="F108" s="115" t="s">
        <v>665</v>
      </c>
      <c r="G108" s="115" t="s">
        <v>508</v>
      </c>
      <c r="H108" s="115" t="s">
        <v>515</v>
      </c>
      <c r="I108">
        <v>77</v>
      </c>
    </row>
    <row r="109" spans="1:10">
      <c r="A109" s="115" t="s">
        <v>649</v>
      </c>
      <c r="B109" s="115" t="s">
        <v>504</v>
      </c>
      <c r="C109" s="115" t="s">
        <v>505</v>
      </c>
      <c r="D109" s="115" t="s">
        <v>506</v>
      </c>
      <c r="E109">
        <v>6184</v>
      </c>
      <c r="F109" s="115" t="s">
        <v>666</v>
      </c>
      <c r="G109" s="115" t="s">
        <v>508</v>
      </c>
      <c r="H109" s="115" t="s">
        <v>515</v>
      </c>
      <c r="I109">
        <v>658</v>
      </c>
    </row>
    <row r="110" spans="1:10">
      <c r="A110" s="115" t="s">
        <v>649</v>
      </c>
      <c r="B110" s="115" t="s">
        <v>504</v>
      </c>
      <c r="C110" s="115" t="s">
        <v>505</v>
      </c>
      <c r="D110" s="115" t="s">
        <v>506</v>
      </c>
      <c r="E110">
        <v>6336</v>
      </c>
      <c r="F110" s="115" t="s">
        <v>667</v>
      </c>
      <c r="G110" s="115" t="s">
        <v>521</v>
      </c>
      <c r="H110" s="115" t="s">
        <v>547</v>
      </c>
      <c r="I110">
        <v>59</v>
      </c>
    </row>
    <row r="111" spans="1:10">
      <c r="A111" s="115" t="s">
        <v>649</v>
      </c>
      <c r="B111" s="115" t="s">
        <v>504</v>
      </c>
      <c r="C111" s="115" t="s">
        <v>511</v>
      </c>
      <c r="D111" s="115" t="s">
        <v>506</v>
      </c>
      <c r="E111">
        <v>6535</v>
      </c>
      <c r="F111" s="115" t="s">
        <v>668</v>
      </c>
      <c r="G111" s="115" t="s">
        <v>508</v>
      </c>
      <c r="H111" s="115" t="s">
        <v>515</v>
      </c>
      <c r="I111">
        <v>171</v>
      </c>
    </row>
    <row r="112" spans="1:10">
      <c r="A112" s="115" t="s">
        <v>649</v>
      </c>
      <c r="B112" s="115" t="s">
        <v>504</v>
      </c>
      <c r="C112" s="115" t="s">
        <v>505</v>
      </c>
      <c r="D112" s="115" t="s">
        <v>506</v>
      </c>
      <c r="E112">
        <v>6966</v>
      </c>
      <c r="F112" s="115" t="s">
        <v>669</v>
      </c>
      <c r="G112" s="115" t="s">
        <v>508</v>
      </c>
      <c r="H112" s="115" t="s">
        <v>561</v>
      </c>
      <c r="I112">
        <v>790</v>
      </c>
    </row>
    <row r="113" spans="1:10">
      <c r="A113" s="115" t="s">
        <v>649</v>
      </c>
      <c r="B113" s="115" t="s">
        <v>504</v>
      </c>
      <c r="C113" s="115" t="s">
        <v>524</v>
      </c>
      <c r="D113" s="115" t="s">
        <v>506</v>
      </c>
      <c r="E113">
        <v>7050</v>
      </c>
      <c r="F113" s="115" t="s">
        <v>670</v>
      </c>
      <c r="G113" s="115" t="s">
        <v>530</v>
      </c>
      <c r="H113" s="115" t="s">
        <v>515</v>
      </c>
      <c r="I113">
        <v>100</v>
      </c>
    </row>
    <row r="114" spans="1:10">
      <c r="A114" s="115" t="s">
        <v>649</v>
      </c>
      <c r="B114" s="115" t="s">
        <v>504</v>
      </c>
      <c r="C114" s="115" t="s">
        <v>505</v>
      </c>
      <c r="D114" s="115" t="s">
        <v>506</v>
      </c>
      <c r="E114">
        <v>7614</v>
      </c>
      <c r="F114" s="115" t="s">
        <v>671</v>
      </c>
      <c r="G114" s="115" t="s">
        <v>514</v>
      </c>
      <c r="H114" s="115" t="s">
        <v>526</v>
      </c>
      <c r="I114">
        <v>85</v>
      </c>
    </row>
    <row r="115" spans="1:10">
      <c r="A115" s="115" t="s">
        <v>649</v>
      </c>
      <c r="B115" s="115" t="s">
        <v>504</v>
      </c>
      <c r="C115" s="115" t="s">
        <v>524</v>
      </c>
      <c r="D115" s="115" t="s">
        <v>506</v>
      </c>
      <c r="E115">
        <v>7623</v>
      </c>
      <c r="F115" s="115" t="s">
        <v>672</v>
      </c>
      <c r="G115" s="115" t="s">
        <v>514</v>
      </c>
      <c r="H115" s="115" t="s">
        <v>526</v>
      </c>
      <c r="I115">
        <v>11</v>
      </c>
    </row>
    <row r="116" spans="1:10">
      <c r="A116" s="115" t="s">
        <v>649</v>
      </c>
      <c r="B116" s="115" t="s">
        <v>504</v>
      </c>
      <c r="C116" s="115" t="s">
        <v>519</v>
      </c>
      <c r="D116" s="115" t="s">
        <v>506</v>
      </c>
      <c r="E116">
        <v>8077</v>
      </c>
      <c r="F116" s="115" t="s">
        <v>673</v>
      </c>
      <c r="G116" s="115" t="s">
        <v>508</v>
      </c>
      <c r="H116" s="115" t="s">
        <v>517</v>
      </c>
      <c r="I116">
        <v>88</v>
      </c>
    </row>
    <row r="117" spans="1:10">
      <c r="A117" s="115" t="s">
        <v>649</v>
      </c>
      <c r="B117" s="115" t="s">
        <v>504</v>
      </c>
      <c r="C117" s="115" t="s">
        <v>519</v>
      </c>
      <c r="D117" s="115" t="s">
        <v>512</v>
      </c>
      <c r="E117">
        <v>8894</v>
      </c>
      <c r="F117" s="115" t="s">
        <v>674</v>
      </c>
      <c r="G117" s="115" t="s">
        <v>521</v>
      </c>
      <c r="H117" s="115" t="s">
        <v>563</v>
      </c>
      <c r="I117">
        <v>87</v>
      </c>
    </row>
    <row r="118" spans="1:10">
      <c r="A118" s="115" t="s">
        <v>649</v>
      </c>
      <c r="B118" s="115" t="s">
        <v>504</v>
      </c>
      <c r="C118" s="115" t="s">
        <v>524</v>
      </c>
      <c r="D118" s="115" t="s">
        <v>512</v>
      </c>
      <c r="E118">
        <v>9425</v>
      </c>
      <c r="F118" s="115" t="s">
        <v>675</v>
      </c>
      <c r="G118" s="115" t="s">
        <v>514</v>
      </c>
      <c r="H118" s="115" t="s">
        <v>528</v>
      </c>
      <c r="I118">
        <v>18</v>
      </c>
    </row>
    <row r="119" spans="1:10">
      <c r="A119" s="115" t="s">
        <v>649</v>
      </c>
      <c r="B119" s="115" t="s">
        <v>504</v>
      </c>
      <c r="C119" s="115" t="s">
        <v>519</v>
      </c>
      <c r="D119" s="115" t="s">
        <v>506</v>
      </c>
      <c r="E119">
        <v>9603</v>
      </c>
      <c r="F119" s="115" t="s">
        <v>676</v>
      </c>
      <c r="G119" s="115" t="s">
        <v>508</v>
      </c>
      <c r="H119" s="115" t="s">
        <v>515</v>
      </c>
      <c r="I119" s="115" t="s">
        <v>552</v>
      </c>
      <c r="J119" s="115" t="s">
        <v>677</v>
      </c>
    </row>
    <row r="120" spans="1:10">
      <c r="A120" s="115" t="s">
        <v>649</v>
      </c>
      <c r="B120" s="115" t="s">
        <v>504</v>
      </c>
      <c r="C120" s="115" t="s">
        <v>505</v>
      </c>
      <c r="D120" s="115" t="s">
        <v>506</v>
      </c>
      <c r="E120">
        <v>9681</v>
      </c>
      <c r="F120" s="115" t="s">
        <v>678</v>
      </c>
      <c r="G120" s="115" t="s">
        <v>508</v>
      </c>
      <c r="H120" s="115" t="s">
        <v>515</v>
      </c>
      <c r="I120">
        <v>964</v>
      </c>
    </row>
    <row r="121" spans="1:10">
      <c r="A121" s="115" t="s">
        <v>679</v>
      </c>
      <c r="B121" s="115" t="s">
        <v>555</v>
      </c>
      <c r="C121" s="115" t="s">
        <v>505</v>
      </c>
      <c r="D121" s="115" t="s">
        <v>512</v>
      </c>
      <c r="E121">
        <v>4380</v>
      </c>
      <c r="F121" s="115" t="s">
        <v>680</v>
      </c>
      <c r="G121" s="115" t="s">
        <v>530</v>
      </c>
      <c r="H121" s="115" t="s">
        <v>528</v>
      </c>
      <c r="I121">
        <v>41</v>
      </c>
    </row>
    <row r="122" spans="1:10">
      <c r="A122" s="115" t="s">
        <v>679</v>
      </c>
      <c r="B122" s="115" t="s">
        <v>504</v>
      </c>
      <c r="C122" s="115" t="s">
        <v>519</v>
      </c>
      <c r="D122" s="115" t="s">
        <v>506</v>
      </c>
      <c r="E122">
        <v>1383</v>
      </c>
      <c r="F122" s="115" t="s">
        <v>681</v>
      </c>
      <c r="G122" s="115" t="s">
        <v>514</v>
      </c>
      <c r="H122" s="115" t="s">
        <v>682</v>
      </c>
      <c r="I122">
        <v>30</v>
      </c>
    </row>
    <row r="123" spans="1:10">
      <c r="A123" s="115" t="s">
        <v>679</v>
      </c>
      <c r="B123" s="115" t="s">
        <v>504</v>
      </c>
      <c r="C123" s="115" t="s">
        <v>524</v>
      </c>
      <c r="D123" s="115" t="s">
        <v>512</v>
      </c>
      <c r="E123">
        <v>1436</v>
      </c>
      <c r="F123" s="115" t="s">
        <v>683</v>
      </c>
      <c r="G123" s="115" t="s">
        <v>530</v>
      </c>
      <c r="H123" s="115" t="s">
        <v>571</v>
      </c>
      <c r="I123">
        <v>27</v>
      </c>
    </row>
    <row r="124" spans="1:10">
      <c r="A124" s="115" t="s">
        <v>679</v>
      </c>
      <c r="B124" s="115" t="s">
        <v>504</v>
      </c>
      <c r="C124" s="115" t="s">
        <v>519</v>
      </c>
      <c r="D124" s="115" t="s">
        <v>506</v>
      </c>
      <c r="E124">
        <v>1840</v>
      </c>
      <c r="F124" s="115" t="s">
        <v>684</v>
      </c>
      <c r="G124" s="115" t="s">
        <v>521</v>
      </c>
      <c r="H124" s="115" t="s">
        <v>571</v>
      </c>
      <c r="I124">
        <v>41</v>
      </c>
    </row>
    <row r="125" spans="1:10">
      <c r="A125" s="115" t="s">
        <v>679</v>
      </c>
      <c r="B125" s="115" t="s">
        <v>504</v>
      </c>
      <c r="C125" s="115" t="s">
        <v>519</v>
      </c>
      <c r="D125" s="115" t="s">
        <v>506</v>
      </c>
      <c r="E125">
        <v>1873</v>
      </c>
      <c r="F125" s="115" t="s">
        <v>685</v>
      </c>
      <c r="G125" s="115" t="s">
        <v>508</v>
      </c>
      <c r="H125" s="115" t="s">
        <v>571</v>
      </c>
      <c r="I125">
        <v>231</v>
      </c>
    </row>
    <row r="126" spans="1:10">
      <c r="A126" s="115" t="s">
        <v>679</v>
      </c>
      <c r="B126" s="115" t="s">
        <v>504</v>
      </c>
      <c r="C126" s="115" t="s">
        <v>524</v>
      </c>
      <c r="D126" s="115" t="s">
        <v>506</v>
      </c>
      <c r="E126">
        <v>2159</v>
      </c>
      <c r="F126" s="115" t="s">
        <v>686</v>
      </c>
      <c r="G126" s="115" t="s">
        <v>521</v>
      </c>
      <c r="H126" s="115" t="s">
        <v>515</v>
      </c>
      <c r="I126">
        <v>86</v>
      </c>
    </row>
    <row r="127" spans="1:10">
      <c r="A127" s="115" t="s">
        <v>679</v>
      </c>
      <c r="B127" s="115" t="s">
        <v>504</v>
      </c>
      <c r="C127" s="115" t="s">
        <v>519</v>
      </c>
      <c r="D127" s="115" t="s">
        <v>506</v>
      </c>
      <c r="E127">
        <v>2198</v>
      </c>
      <c r="F127" s="115" t="s">
        <v>687</v>
      </c>
      <c r="G127" s="115" t="s">
        <v>508</v>
      </c>
      <c r="H127" s="115" t="s">
        <v>515</v>
      </c>
      <c r="I127">
        <v>214</v>
      </c>
    </row>
    <row r="128" spans="1:10">
      <c r="A128" s="115" t="s">
        <v>679</v>
      </c>
      <c r="B128" s="115" t="s">
        <v>504</v>
      </c>
      <c r="C128" s="115" t="s">
        <v>519</v>
      </c>
      <c r="D128" s="115" t="s">
        <v>512</v>
      </c>
      <c r="E128">
        <v>2345</v>
      </c>
      <c r="F128" s="115" t="s">
        <v>688</v>
      </c>
      <c r="G128" s="115" t="s">
        <v>521</v>
      </c>
      <c r="H128" s="115" t="s">
        <v>528</v>
      </c>
      <c r="I128">
        <v>33</v>
      </c>
    </row>
    <row r="129" spans="1:10">
      <c r="A129" s="115" t="s">
        <v>679</v>
      </c>
      <c r="B129" s="115" t="s">
        <v>504</v>
      </c>
      <c r="C129" s="115" t="s">
        <v>511</v>
      </c>
      <c r="D129" s="115" t="s">
        <v>512</v>
      </c>
      <c r="E129">
        <v>2424</v>
      </c>
      <c r="F129" s="115" t="s">
        <v>689</v>
      </c>
      <c r="G129" s="115" t="s">
        <v>508</v>
      </c>
      <c r="H129" s="115" t="s">
        <v>515</v>
      </c>
      <c r="I129">
        <v>38</v>
      </c>
    </row>
    <row r="130" spans="1:10">
      <c r="A130" s="115" t="s">
        <v>679</v>
      </c>
      <c r="B130" s="115" t="s">
        <v>504</v>
      </c>
      <c r="C130" s="115" t="s">
        <v>505</v>
      </c>
      <c r="D130" s="115" t="s">
        <v>506</v>
      </c>
      <c r="E130">
        <v>2776</v>
      </c>
      <c r="F130" s="115" t="s">
        <v>690</v>
      </c>
      <c r="G130" s="115" t="s">
        <v>514</v>
      </c>
      <c r="H130" s="115" t="s">
        <v>517</v>
      </c>
      <c r="I130">
        <v>22</v>
      </c>
    </row>
    <row r="131" spans="1:10">
      <c r="A131" s="115" t="s">
        <v>679</v>
      </c>
      <c r="B131" s="115" t="s">
        <v>504</v>
      </c>
      <c r="C131" s="115" t="s">
        <v>511</v>
      </c>
      <c r="D131" s="115" t="s">
        <v>512</v>
      </c>
      <c r="E131">
        <v>2978</v>
      </c>
      <c r="F131" s="115" t="s">
        <v>691</v>
      </c>
      <c r="G131" s="115" t="s">
        <v>530</v>
      </c>
      <c r="H131" s="115" t="s">
        <v>563</v>
      </c>
      <c r="I131">
        <v>139</v>
      </c>
    </row>
    <row r="132" spans="1:10">
      <c r="A132" s="115" t="s">
        <v>679</v>
      </c>
      <c r="B132" s="115" t="s">
        <v>504</v>
      </c>
      <c r="C132" s="115" t="s">
        <v>519</v>
      </c>
      <c r="D132" s="115" t="s">
        <v>506</v>
      </c>
      <c r="E132">
        <v>3038</v>
      </c>
      <c r="F132" s="115" t="s">
        <v>692</v>
      </c>
      <c r="G132" s="115" t="s">
        <v>508</v>
      </c>
      <c r="H132" s="115" t="s">
        <v>517</v>
      </c>
      <c r="I132" s="115" t="s">
        <v>693</v>
      </c>
      <c r="J132" s="115" t="s">
        <v>694</v>
      </c>
    </row>
    <row r="133" spans="1:10">
      <c r="A133" s="115" t="s">
        <v>679</v>
      </c>
      <c r="B133" s="115" t="s">
        <v>504</v>
      </c>
      <c r="C133" s="115" t="s">
        <v>505</v>
      </c>
      <c r="D133" s="115" t="s">
        <v>506</v>
      </c>
      <c r="E133">
        <v>3159</v>
      </c>
      <c r="F133" s="115" t="s">
        <v>695</v>
      </c>
      <c r="G133" s="115" t="s">
        <v>508</v>
      </c>
      <c r="H133" s="115" t="s">
        <v>526</v>
      </c>
      <c r="I133">
        <v>351</v>
      </c>
    </row>
    <row r="134" spans="1:10">
      <c r="A134" s="115" t="s">
        <v>679</v>
      </c>
      <c r="B134" s="115" t="s">
        <v>504</v>
      </c>
      <c r="C134" s="115" t="s">
        <v>519</v>
      </c>
      <c r="D134" s="115" t="s">
        <v>506</v>
      </c>
      <c r="E134">
        <v>3195</v>
      </c>
      <c r="F134" s="115" t="s">
        <v>696</v>
      </c>
      <c r="G134" s="115" t="s">
        <v>530</v>
      </c>
      <c r="H134" s="115" t="s">
        <v>526</v>
      </c>
      <c r="I134">
        <v>48</v>
      </c>
    </row>
    <row r="135" spans="1:10">
      <c r="A135" s="115" t="s">
        <v>679</v>
      </c>
      <c r="B135" s="115" t="s">
        <v>504</v>
      </c>
      <c r="C135" s="115" t="s">
        <v>519</v>
      </c>
      <c r="D135" s="115" t="s">
        <v>512</v>
      </c>
      <c r="E135">
        <v>3309</v>
      </c>
      <c r="F135" s="115" t="s">
        <v>697</v>
      </c>
      <c r="G135" s="115" t="s">
        <v>626</v>
      </c>
      <c r="H135" s="115" t="s">
        <v>627</v>
      </c>
      <c r="I135" s="115" t="s">
        <v>693</v>
      </c>
      <c r="J135" s="115" t="s">
        <v>698</v>
      </c>
    </row>
    <row r="136" spans="1:10">
      <c r="A136" s="115" t="s">
        <v>679</v>
      </c>
      <c r="B136" s="115" t="s">
        <v>504</v>
      </c>
      <c r="C136" s="115" t="s">
        <v>511</v>
      </c>
      <c r="D136" s="115" t="s">
        <v>506</v>
      </c>
      <c r="E136">
        <v>3421</v>
      </c>
      <c r="F136" s="115" t="s">
        <v>699</v>
      </c>
      <c r="G136" s="115" t="s">
        <v>508</v>
      </c>
      <c r="H136" s="115" t="s">
        <v>538</v>
      </c>
      <c r="I136">
        <v>259</v>
      </c>
    </row>
    <row r="137" spans="1:10">
      <c r="A137" s="115" t="s">
        <v>679</v>
      </c>
      <c r="B137" s="115" t="s">
        <v>504</v>
      </c>
      <c r="C137" s="115" t="s">
        <v>519</v>
      </c>
      <c r="D137" s="115" t="s">
        <v>506</v>
      </c>
      <c r="E137">
        <v>3480</v>
      </c>
      <c r="F137" s="115" t="s">
        <v>700</v>
      </c>
      <c r="G137" s="115" t="s">
        <v>508</v>
      </c>
      <c r="H137" s="115" t="s">
        <v>563</v>
      </c>
      <c r="I137">
        <v>219</v>
      </c>
    </row>
    <row r="138" spans="1:10">
      <c r="A138" s="115" t="s">
        <v>679</v>
      </c>
      <c r="B138" s="115" t="s">
        <v>504</v>
      </c>
      <c r="C138" s="115" t="s">
        <v>511</v>
      </c>
      <c r="D138" s="115" t="s">
        <v>512</v>
      </c>
      <c r="E138">
        <v>3497</v>
      </c>
      <c r="F138" s="115" t="s">
        <v>701</v>
      </c>
      <c r="G138" s="115" t="s">
        <v>530</v>
      </c>
      <c r="H138" s="115" t="s">
        <v>563</v>
      </c>
      <c r="I138">
        <v>35</v>
      </c>
    </row>
    <row r="139" spans="1:10">
      <c r="A139" s="115" t="s">
        <v>679</v>
      </c>
      <c r="B139" s="115" t="s">
        <v>504</v>
      </c>
      <c r="C139" s="115" t="s">
        <v>519</v>
      </c>
      <c r="D139" s="115" t="s">
        <v>506</v>
      </c>
      <c r="E139">
        <v>3653</v>
      </c>
      <c r="F139" s="115" t="s">
        <v>702</v>
      </c>
      <c r="G139" s="115" t="s">
        <v>530</v>
      </c>
      <c r="H139" s="115" t="s">
        <v>528</v>
      </c>
      <c r="I139">
        <v>159</v>
      </c>
    </row>
    <row r="140" spans="1:10">
      <c r="A140" s="115" t="s">
        <v>679</v>
      </c>
      <c r="B140" s="115" t="s">
        <v>504</v>
      </c>
      <c r="C140" s="115" t="s">
        <v>505</v>
      </c>
      <c r="D140" s="115" t="s">
        <v>512</v>
      </c>
      <c r="E140">
        <v>3665</v>
      </c>
      <c r="F140" s="115" t="s">
        <v>703</v>
      </c>
      <c r="G140" s="115" t="s">
        <v>508</v>
      </c>
      <c r="H140" s="115" t="s">
        <v>528</v>
      </c>
      <c r="I140">
        <v>441</v>
      </c>
    </row>
    <row r="141" spans="1:10">
      <c r="A141" s="115" t="s">
        <v>679</v>
      </c>
      <c r="B141" s="115" t="s">
        <v>504</v>
      </c>
      <c r="C141" s="115" t="s">
        <v>524</v>
      </c>
      <c r="D141" s="115" t="s">
        <v>506</v>
      </c>
      <c r="E141">
        <v>3843</v>
      </c>
      <c r="F141" s="115" t="s">
        <v>704</v>
      </c>
      <c r="G141" s="115" t="s">
        <v>508</v>
      </c>
      <c r="H141" s="115" t="s">
        <v>528</v>
      </c>
      <c r="I141">
        <v>213</v>
      </c>
    </row>
    <row r="142" spans="1:10">
      <c r="A142" s="115" t="s">
        <v>679</v>
      </c>
      <c r="B142" s="115" t="s">
        <v>504</v>
      </c>
      <c r="C142" s="115" t="s">
        <v>505</v>
      </c>
      <c r="D142" s="115" t="s">
        <v>512</v>
      </c>
      <c r="E142">
        <v>3921</v>
      </c>
      <c r="F142" s="115" t="s">
        <v>705</v>
      </c>
      <c r="G142" s="115" t="s">
        <v>508</v>
      </c>
      <c r="H142" s="115" t="s">
        <v>528</v>
      </c>
      <c r="I142">
        <v>149</v>
      </c>
    </row>
    <row r="143" spans="1:10">
      <c r="A143" s="115" t="s">
        <v>679</v>
      </c>
      <c r="B143" s="115" t="s">
        <v>504</v>
      </c>
      <c r="C143" s="115" t="s">
        <v>505</v>
      </c>
      <c r="D143" s="115" t="s">
        <v>506</v>
      </c>
      <c r="E143">
        <v>3931</v>
      </c>
      <c r="F143" s="115" t="s">
        <v>706</v>
      </c>
      <c r="G143" s="115" t="s">
        <v>530</v>
      </c>
      <c r="H143" s="115" t="s">
        <v>528</v>
      </c>
      <c r="I143">
        <v>23</v>
      </c>
    </row>
    <row r="144" spans="1:10">
      <c r="A144" s="115" t="s">
        <v>679</v>
      </c>
      <c r="B144" s="115" t="s">
        <v>504</v>
      </c>
      <c r="C144" s="115" t="s">
        <v>505</v>
      </c>
      <c r="D144" s="115" t="s">
        <v>506</v>
      </c>
      <c r="E144">
        <v>3995</v>
      </c>
      <c r="F144" s="115" t="s">
        <v>707</v>
      </c>
      <c r="G144" s="115" t="s">
        <v>530</v>
      </c>
      <c r="H144" s="115" t="s">
        <v>528</v>
      </c>
      <c r="I144">
        <v>70</v>
      </c>
    </row>
    <row r="145" spans="1:10">
      <c r="A145" s="115" t="s">
        <v>679</v>
      </c>
      <c r="B145" s="115" t="s">
        <v>504</v>
      </c>
      <c r="C145" s="115" t="s">
        <v>505</v>
      </c>
      <c r="D145" s="115" t="s">
        <v>506</v>
      </c>
      <c r="E145">
        <v>4287</v>
      </c>
      <c r="F145" s="115" t="s">
        <v>708</v>
      </c>
      <c r="G145" s="115" t="s">
        <v>514</v>
      </c>
      <c r="H145" s="115" t="s">
        <v>528</v>
      </c>
      <c r="I145">
        <v>66</v>
      </c>
    </row>
    <row r="146" spans="1:10">
      <c r="A146" s="115" t="s">
        <v>679</v>
      </c>
      <c r="B146" s="115" t="s">
        <v>504</v>
      </c>
      <c r="C146" s="115" t="s">
        <v>524</v>
      </c>
      <c r="D146" s="115" t="s">
        <v>512</v>
      </c>
      <c r="E146">
        <v>4431</v>
      </c>
      <c r="F146" s="115" t="s">
        <v>709</v>
      </c>
      <c r="G146" s="115" t="s">
        <v>530</v>
      </c>
      <c r="H146" s="115" t="s">
        <v>528</v>
      </c>
      <c r="I146">
        <v>232</v>
      </c>
    </row>
    <row r="147" spans="1:10">
      <c r="A147" s="115" t="s">
        <v>679</v>
      </c>
      <c r="B147" s="115" t="s">
        <v>504</v>
      </c>
      <c r="C147" s="115" t="s">
        <v>505</v>
      </c>
      <c r="D147" s="115" t="s">
        <v>506</v>
      </c>
      <c r="E147">
        <v>4592</v>
      </c>
      <c r="F147" s="115" t="s">
        <v>710</v>
      </c>
      <c r="G147" s="115" t="s">
        <v>530</v>
      </c>
      <c r="H147" s="115" t="s">
        <v>663</v>
      </c>
      <c r="I147" s="115" t="s">
        <v>552</v>
      </c>
      <c r="J147" s="115" t="s">
        <v>711</v>
      </c>
    </row>
    <row r="148" spans="1:10">
      <c r="A148" s="115" t="s">
        <v>679</v>
      </c>
      <c r="B148" s="115" t="s">
        <v>504</v>
      </c>
      <c r="C148" s="115" t="s">
        <v>511</v>
      </c>
      <c r="D148" s="115" t="s">
        <v>512</v>
      </c>
      <c r="E148">
        <v>4599</v>
      </c>
      <c r="F148" s="115" t="s">
        <v>712</v>
      </c>
      <c r="G148" s="115" t="s">
        <v>530</v>
      </c>
      <c r="H148" s="115" t="s">
        <v>663</v>
      </c>
      <c r="I148">
        <v>493</v>
      </c>
    </row>
    <row r="149" spans="1:10">
      <c r="A149" s="115" t="s">
        <v>679</v>
      </c>
      <c r="B149" s="115" t="s">
        <v>504</v>
      </c>
      <c r="C149" s="115" t="s">
        <v>519</v>
      </c>
      <c r="D149" s="115" t="s">
        <v>506</v>
      </c>
      <c r="E149">
        <v>4627</v>
      </c>
      <c r="F149" s="115" t="s">
        <v>713</v>
      </c>
      <c r="G149" s="115" t="s">
        <v>514</v>
      </c>
      <c r="H149" s="115" t="s">
        <v>532</v>
      </c>
      <c r="I149">
        <v>101</v>
      </c>
    </row>
    <row r="150" spans="1:10">
      <c r="A150" s="115" t="s">
        <v>679</v>
      </c>
      <c r="B150" s="115" t="s">
        <v>504</v>
      </c>
      <c r="C150" s="115" t="s">
        <v>519</v>
      </c>
      <c r="D150" s="115" t="s">
        <v>506</v>
      </c>
      <c r="E150">
        <v>4996</v>
      </c>
      <c r="F150" s="115" t="s">
        <v>714</v>
      </c>
      <c r="G150" s="115" t="s">
        <v>508</v>
      </c>
      <c r="H150" s="115" t="s">
        <v>532</v>
      </c>
      <c r="I150" s="115" t="s">
        <v>593</v>
      </c>
      <c r="J150" s="115" t="s">
        <v>715</v>
      </c>
    </row>
    <row r="151" spans="1:10">
      <c r="A151" s="115" t="s">
        <v>679</v>
      </c>
      <c r="B151" s="115" t="s">
        <v>504</v>
      </c>
      <c r="C151" s="115" t="s">
        <v>519</v>
      </c>
      <c r="D151" s="115" t="s">
        <v>512</v>
      </c>
      <c r="E151">
        <v>6049</v>
      </c>
      <c r="F151" s="115" t="s">
        <v>716</v>
      </c>
      <c r="G151" s="115" t="s">
        <v>530</v>
      </c>
      <c r="H151" s="115" t="s">
        <v>515</v>
      </c>
      <c r="I151">
        <v>424</v>
      </c>
    </row>
    <row r="152" spans="1:10">
      <c r="A152" s="115" t="s">
        <v>679</v>
      </c>
      <c r="B152" s="115" t="s">
        <v>504</v>
      </c>
      <c r="C152" s="115" t="s">
        <v>511</v>
      </c>
      <c r="D152" s="115" t="s">
        <v>506</v>
      </c>
      <c r="E152">
        <v>6091</v>
      </c>
      <c r="F152" s="115" t="s">
        <v>717</v>
      </c>
      <c r="G152" s="115" t="s">
        <v>521</v>
      </c>
      <c r="H152" s="115" t="s">
        <v>515</v>
      </c>
      <c r="I152">
        <v>70</v>
      </c>
    </row>
    <row r="153" spans="1:10">
      <c r="A153" s="115" t="s">
        <v>679</v>
      </c>
      <c r="B153" s="115" t="s">
        <v>504</v>
      </c>
      <c r="C153" s="115" t="s">
        <v>524</v>
      </c>
      <c r="D153" s="115" t="s">
        <v>506</v>
      </c>
      <c r="E153">
        <v>6192</v>
      </c>
      <c r="F153" s="115" t="s">
        <v>718</v>
      </c>
      <c r="G153" s="115" t="s">
        <v>530</v>
      </c>
      <c r="H153" s="115" t="s">
        <v>515</v>
      </c>
      <c r="I153">
        <v>80</v>
      </c>
    </row>
    <row r="154" spans="1:10">
      <c r="A154" s="115" t="s">
        <v>679</v>
      </c>
      <c r="B154" s="115" t="s">
        <v>504</v>
      </c>
      <c r="C154" s="115" t="s">
        <v>511</v>
      </c>
      <c r="D154" s="115" t="s">
        <v>506</v>
      </c>
      <c r="E154">
        <v>6577</v>
      </c>
      <c r="F154" s="115" t="s">
        <v>719</v>
      </c>
      <c r="G154" s="115" t="s">
        <v>530</v>
      </c>
      <c r="H154" s="115" t="s">
        <v>515</v>
      </c>
      <c r="I154">
        <v>41</v>
      </c>
    </row>
    <row r="155" spans="1:10">
      <c r="A155" s="115" t="s">
        <v>679</v>
      </c>
      <c r="B155" s="115" t="s">
        <v>504</v>
      </c>
      <c r="C155" s="115" t="s">
        <v>524</v>
      </c>
      <c r="D155" s="115" t="s">
        <v>506</v>
      </c>
      <c r="E155">
        <v>6630</v>
      </c>
      <c r="F155" s="115" t="s">
        <v>720</v>
      </c>
      <c r="G155" s="115" t="s">
        <v>508</v>
      </c>
      <c r="H155" s="115" t="s">
        <v>561</v>
      </c>
      <c r="I155">
        <v>420</v>
      </c>
    </row>
    <row r="156" spans="1:10">
      <c r="A156" s="115" t="s">
        <v>679</v>
      </c>
      <c r="B156" s="115" t="s">
        <v>504</v>
      </c>
      <c r="C156" s="115" t="s">
        <v>511</v>
      </c>
      <c r="D156" s="115" t="s">
        <v>506</v>
      </c>
      <c r="E156">
        <v>6721</v>
      </c>
      <c r="F156" s="115" t="s">
        <v>721</v>
      </c>
      <c r="G156" s="115" t="s">
        <v>521</v>
      </c>
      <c r="H156" s="115" t="s">
        <v>561</v>
      </c>
      <c r="I156">
        <v>85</v>
      </c>
    </row>
    <row r="157" spans="1:10">
      <c r="A157" s="115" t="s">
        <v>679</v>
      </c>
      <c r="B157" s="115" t="s">
        <v>504</v>
      </c>
      <c r="C157" s="115" t="s">
        <v>519</v>
      </c>
      <c r="D157" s="115" t="s">
        <v>506</v>
      </c>
      <c r="E157">
        <v>7033</v>
      </c>
      <c r="F157" s="115" t="s">
        <v>722</v>
      </c>
      <c r="G157" s="115" t="s">
        <v>508</v>
      </c>
      <c r="H157" s="115" t="s">
        <v>515</v>
      </c>
      <c r="I157">
        <v>124</v>
      </c>
    </row>
    <row r="158" spans="1:10">
      <c r="A158" s="115" t="s">
        <v>679</v>
      </c>
      <c r="B158" s="115" t="s">
        <v>504</v>
      </c>
      <c r="C158" s="115" t="s">
        <v>505</v>
      </c>
      <c r="D158" s="115" t="s">
        <v>506</v>
      </c>
      <c r="E158">
        <v>7073</v>
      </c>
      <c r="F158" s="115" t="s">
        <v>723</v>
      </c>
      <c r="G158" s="115" t="s">
        <v>530</v>
      </c>
      <c r="H158" s="115" t="s">
        <v>515</v>
      </c>
      <c r="I158">
        <v>71</v>
      </c>
    </row>
    <row r="159" spans="1:10">
      <c r="A159" s="115" t="s">
        <v>679</v>
      </c>
      <c r="B159" s="115" t="s">
        <v>504</v>
      </c>
      <c r="C159" s="115" t="s">
        <v>519</v>
      </c>
      <c r="D159" s="115" t="s">
        <v>506</v>
      </c>
      <c r="E159">
        <v>7279</v>
      </c>
      <c r="F159" s="115" t="s">
        <v>724</v>
      </c>
      <c r="G159" s="115" t="s">
        <v>521</v>
      </c>
      <c r="H159" s="115" t="s">
        <v>589</v>
      </c>
      <c r="I159">
        <v>678</v>
      </c>
    </row>
    <row r="160" spans="1:10">
      <c r="A160" s="115" t="s">
        <v>679</v>
      </c>
      <c r="B160" s="115" t="s">
        <v>504</v>
      </c>
      <c r="C160" s="115" t="s">
        <v>524</v>
      </c>
      <c r="D160" s="115" t="s">
        <v>506</v>
      </c>
      <c r="E160">
        <v>7604</v>
      </c>
      <c r="F160" s="115" t="s">
        <v>725</v>
      </c>
      <c r="G160" s="115" t="s">
        <v>521</v>
      </c>
      <c r="H160" s="115" t="s">
        <v>526</v>
      </c>
      <c r="I160">
        <v>206</v>
      </c>
    </row>
    <row r="161" spans="1:10">
      <c r="A161" s="115" t="s">
        <v>679</v>
      </c>
      <c r="B161" s="115" t="s">
        <v>504</v>
      </c>
      <c r="C161" s="115" t="s">
        <v>519</v>
      </c>
      <c r="D161" s="115" t="s">
        <v>512</v>
      </c>
      <c r="E161">
        <v>7605</v>
      </c>
      <c r="F161" s="115" t="s">
        <v>726</v>
      </c>
      <c r="G161" s="115" t="s">
        <v>508</v>
      </c>
      <c r="H161" s="115" t="s">
        <v>526</v>
      </c>
      <c r="I161">
        <v>235</v>
      </c>
    </row>
    <row r="162" spans="1:10">
      <c r="A162" s="115" t="s">
        <v>679</v>
      </c>
      <c r="B162" s="115" t="s">
        <v>504</v>
      </c>
      <c r="C162" s="115" t="s">
        <v>511</v>
      </c>
      <c r="D162" s="115" t="s">
        <v>512</v>
      </c>
      <c r="E162">
        <v>7682</v>
      </c>
      <c r="F162" s="115" t="s">
        <v>727</v>
      </c>
      <c r="G162" s="115" t="s">
        <v>514</v>
      </c>
      <c r="H162" s="115" t="s">
        <v>526</v>
      </c>
      <c r="I162">
        <v>27</v>
      </c>
    </row>
    <row r="163" spans="1:10">
      <c r="A163" s="115" t="s">
        <v>679</v>
      </c>
      <c r="B163" s="115" t="s">
        <v>504</v>
      </c>
      <c r="C163" s="115" t="s">
        <v>505</v>
      </c>
      <c r="D163" s="115" t="s">
        <v>506</v>
      </c>
      <c r="E163">
        <v>7683</v>
      </c>
      <c r="F163" s="115" t="s">
        <v>728</v>
      </c>
      <c r="G163" s="115" t="s">
        <v>530</v>
      </c>
      <c r="H163" s="115" t="s">
        <v>526</v>
      </c>
      <c r="I163">
        <v>206</v>
      </c>
    </row>
    <row r="164" spans="1:10">
      <c r="A164" s="115" t="s">
        <v>679</v>
      </c>
      <c r="B164" s="115" t="s">
        <v>504</v>
      </c>
      <c r="C164" s="115" t="s">
        <v>511</v>
      </c>
      <c r="D164" s="115" t="s">
        <v>506</v>
      </c>
      <c r="E164">
        <v>7803</v>
      </c>
      <c r="F164" s="115" t="s">
        <v>729</v>
      </c>
      <c r="G164" s="115" t="s">
        <v>530</v>
      </c>
      <c r="H164" s="115" t="s">
        <v>549</v>
      </c>
      <c r="I164">
        <v>650</v>
      </c>
    </row>
    <row r="165" spans="1:10">
      <c r="A165" s="115" t="s">
        <v>679</v>
      </c>
      <c r="B165" s="115" t="s">
        <v>504</v>
      </c>
      <c r="C165" s="115" t="s">
        <v>519</v>
      </c>
      <c r="D165" s="115" t="s">
        <v>512</v>
      </c>
      <c r="E165">
        <v>7805</v>
      </c>
      <c r="F165" s="115" t="s">
        <v>730</v>
      </c>
      <c r="G165" s="115" t="s">
        <v>514</v>
      </c>
      <c r="H165" s="115" t="s">
        <v>549</v>
      </c>
      <c r="I165">
        <v>28</v>
      </c>
    </row>
    <row r="166" spans="1:10">
      <c r="A166" s="115" t="s">
        <v>679</v>
      </c>
      <c r="B166" s="115" t="s">
        <v>504</v>
      </c>
      <c r="C166" s="115" t="s">
        <v>511</v>
      </c>
      <c r="D166" s="115" t="s">
        <v>506</v>
      </c>
      <c r="E166">
        <v>7810</v>
      </c>
      <c r="F166" s="115" t="s">
        <v>731</v>
      </c>
      <c r="G166" s="115" t="s">
        <v>514</v>
      </c>
      <c r="H166" s="115" t="s">
        <v>549</v>
      </c>
      <c r="I166">
        <v>59</v>
      </c>
    </row>
    <row r="167" spans="1:10">
      <c r="A167" s="115" t="s">
        <v>679</v>
      </c>
      <c r="B167" s="115" t="s">
        <v>504</v>
      </c>
      <c r="C167" s="115" t="s">
        <v>519</v>
      </c>
      <c r="D167" s="115" t="s">
        <v>512</v>
      </c>
      <c r="E167">
        <v>7827</v>
      </c>
      <c r="F167" s="115" t="s">
        <v>732</v>
      </c>
      <c r="G167" s="115" t="s">
        <v>514</v>
      </c>
      <c r="H167" s="115" t="s">
        <v>549</v>
      </c>
      <c r="I167">
        <v>14</v>
      </c>
    </row>
    <row r="168" spans="1:10">
      <c r="A168" s="115" t="s">
        <v>679</v>
      </c>
      <c r="B168" s="115" t="s">
        <v>504</v>
      </c>
      <c r="C168" s="115" t="s">
        <v>511</v>
      </c>
      <c r="D168" s="115" t="s">
        <v>506</v>
      </c>
      <c r="E168">
        <v>7850</v>
      </c>
      <c r="F168" s="115" t="s">
        <v>733</v>
      </c>
      <c r="G168" s="115" t="s">
        <v>514</v>
      </c>
      <c r="H168" s="115" t="s">
        <v>549</v>
      </c>
      <c r="I168">
        <v>22</v>
      </c>
    </row>
    <row r="169" spans="1:10">
      <c r="A169" s="115" t="s">
        <v>679</v>
      </c>
      <c r="B169" s="115" t="s">
        <v>504</v>
      </c>
      <c r="C169" s="115" t="s">
        <v>524</v>
      </c>
      <c r="D169" s="115" t="s">
        <v>506</v>
      </c>
      <c r="E169">
        <v>7899</v>
      </c>
      <c r="F169" s="115" t="s">
        <v>734</v>
      </c>
      <c r="G169" s="115" t="s">
        <v>514</v>
      </c>
      <c r="H169" s="115" t="s">
        <v>532</v>
      </c>
      <c r="I169">
        <v>19</v>
      </c>
    </row>
    <row r="170" spans="1:10">
      <c r="A170" s="115" t="s">
        <v>679</v>
      </c>
      <c r="B170" s="115" t="s">
        <v>504</v>
      </c>
      <c r="C170" s="115" t="s">
        <v>519</v>
      </c>
      <c r="D170" s="115" t="s">
        <v>506</v>
      </c>
      <c r="E170">
        <v>7983</v>
      </c>
      <c r="F170" s="115" t="s">
        <v>735</v>
      </c>
      <c r="G170" s="115" t="s">
        <v>521</v>
      </c>
      <c r="H170" s="115" t="s">
        <v>549</v>
      </c>
      <c r="I170">
        <v>62</v>
      </c>
    </row>
    <row r="171" spans="1:10">
      <c r="A171" s="115" t="s">
        <v>679</v>
      </c>
      <c r="B171" s="115" t="s">
        <v>504</v>
      </c>
      <c r="C171" s="115" t="s">
        <v>505</v>
      </c>
      <c r="D171" s="115" t="s">
        <v>506</v>
      </c>
      <c r="E171">
        <v>8013</v>
      </c>
      <c r="F171" s="115" t="s">
        <v>736</v>
      </c>
      <c r="G171" s="115" t="s">
        <v>508</v>
      </c>
      <c r="H171" s="115" t="s">
        <v>605</v>
      </c>
      <c r="I171">
        <v>36</v>
      </c>
    </row>
    <row r="172" spans="1:10">
      <c r="A172" s="115" t="s">
        <v>679</v>
      </c>
      <c r="B172" s="115" t="s">
        <v>504</v>
      </c>
      <c r="C172" s="115" t="s">
        <v>519</v>
      </c>
      <c r="D172" s="115" t="s">
        <v>506</v>
      </c>
      <c r="E172">
        <v>8079</v>
      </c>
      <c r="F172" s="115" t="s">
        <v>737</v>
      </c>
      <c r="G172" s="115" t="s">
        <v>508</v>
      </c>
      <c r="H172" s="115" t="s">
        <v>517</v>
      </c>
      <c r="I172">
        <v>572</v>
      </c>
    </row>
    <row r="173" spans="1:10">
      <c r="A173" s="115" t="s">
        <v>679</v>
      </c>
      <c r="B173" s="115" t="s">
        <v>504</v>
      </c>
      <c r="C173" s="115" t="s">
        <v>519</v>
      </c>
      <c r="D173" s="115" t="s">
        <v>506</v>
      </c>
      <c r="E173">
        <v>8917</v>
      </c>
      <c r="F173" s="115" t="s">
        <v>738</v>
      </c>
      <c r="G173" s="115" t="s">
        <v>508</v>
      </c>
      <c r="H173" s="115" t="s">
        <v>563</v>
      </c>
      <c r="I173">
        <v>218</v>
      </c>
    </row>
    <row r="174" spans="1:10">
      <c r="A174" s="115" t="s">
        <v>679</v>
      </c>
      <c r="B174" s="115" t="s">
        <v>504</v>
      </c>
      <c r="C174" s="115" t="s">
        <v>511</v>
      </c>
      <c r="D174" s="115" t="s">
        <v>506</v>
      </c>
      <c r="E174">
        <v>8925</v>
      </c>
      <c r="F174" s="115" t="s">
        <v>739</v>
      </c>
      <c r="G174" s="115" t="s">
        <v>521</v>
      </c>
      <c r="H174" s="115" t="s">
        <v>563</v>
      </c>
      <c r="I174">
        <v>209</v>
      </c>
    </row>
    <row r="175" spans="1:10">
      <c r="A175" s="115" t="s">
        <v>679</v>
      </c>
      <c r="B175" s="115" t="s">
        <v>504</v>
      </c>
      <c r="C175" s="115" t="s">
        <v>511</v>
      </c>
      <c r="D175" s="115" t="s">
        <v>506</v>
      </c>
      <c r="E175">
        <v>8927</v>
      </c>
      <c r="F175" s="115" t="s">
        <v>740</v>
      </c>
      <c r="G175" s="115" t="s">
        <v>514</v>
      </c>
      <c r="H175" s="115" t="s">
        <v>563</v>
      </c>
      <c r="I175">
        <v>66</v>
      </c>
    </row>
    <row r="176" spans="1:10">
      <c r="A176" s="115" t="s">
        <v>679</v>
      </c>
      <c r="B176" s="115" t="s">
        <v>504</v>
      </c>
      <c r="C176" s="115" t="s">
        <v>519</v>
      </c>
      <c r="D176" s="115" t="s">
        <v>512</v>
      </c>
      <c r="E176">
        <v>8975</v>
      </c>
      <c r="F176" s="115" t="s">
        <v>741</v>
      </c>
      <c r="G176" s="115" t="s">
        <v>626</v>
      </c>
      <c r="H176" s="115" t="s">
        <v>627</v>
      </c>
      <c r="I176" s="115" t="s">
        <v>593</v>
      </c>
      <c r="J176" s="115" t="s">
        <v>742</v>
      </c>
    </row>
    <row r="177" spans="1:10">
      <c r="A177" s="115" t="s">
        <v>679</v>
      </c>
      <c r="B177" s="115" t="s">
        <v>504</v>
      </c>
      <c r="C177" s="115" t="s">
        <v>519</v>
      </c>
      <c r="D177" s="115" t="s">
        <v>512</v>
      </c>
      <c r="E177">
        <v>8979</v>
      </c>
      <c r="F177" s="115" t="s">
        <v>743</v>
      </c>
      <c r="G177" s="115" t="s">
        <v>626</v>
      </c>
      <c r="H177" s="115" t="s">
        <v>627</v>
      </c>
      <c r="I177">
        <v>512</v>
      </c>
    </row>
    <row r="178" spans="1:10">
      <c r="A178" s="115" t="s">
        <v>679</v>
      </c>
      <c r="B178" s="115" t="s">
        <v>504</v>
      </c>
      <c r="C178" s="115" t="s">
        <v>519</v>
      </c>
      <c r="D178" s="115" t="s">
        <v>506</v>
      </c>
      <c r="E178">
        <v>9279</v>
      </c>
      <c r="F178" s="115" t="s">
        <v>744</v>
      </c>
      <c r="G178" s="115" t="s">
        <v>530</v>
      </c>
      <c r="H178" s="115" t="s">
        <v>526</v>
      </c>
      <c r="I178">
        <v>228</v>
      </c>
    </row>
    <row r="179" spans="1:10">
      <c r="A179" s="115" t="s">
        <v>679</v>
      </c>
      <c r="B179" s="115" t="s">
        <v>504</v>
      </c>
      <c r="C179" s="115" t="s">
        <v>505</v>
      </c>
      <c r="D179" s="115" t="s">
        <v>506</v>
      </c>
      <c r="E179">
        <v>9637</v>
      </c>
      <c r="F179" s="115" t="s">
        <v>745</v>
      </c>
      <c r="G179" s="115" t="s">
        <v>521</v>
      </c>
      <c r="H179" s="115" t="s">
        <v>515</v>
      </c>
      <c r="I179">
        <v>113</v>
      </c>
    </row>
    <row r="180" spans="1:10">
      <c r="A180" s="115" t="s">
        <v>746</v>
      </c>
      <c r="B180" s="115" t="s">
        <v>598</v>
      </c>
      <c r="C180" s="115" t="s">
        <v>519</v>
      </c>
      <c r="D180" s="115" t="s">
        <v>512</v>
      </c>
      <c r="E180">
        <v>7034</v>
      </c>
      <c r="F180" s="115" t="s">
        <v>747</v>
      </c>
      <c r="G180" s="115" t="s">
        <v>530</v>
      </c>
      <c r="H180" s="115" t="s">
        <v>515</v>
      </c>
      <c r="I180">
        <v>486</v>
      </c>
    </row>
    <row r="181" spans="1:10">
      <c r="A181" s="115" t="s">
        <v>746</v>
      </c>
      <c r="B181" s="115" t="s">
        <v>504</v>
      </c>
      <c r="C181" s="115" t="s">
        <v>519</v>
      </c>
      <c r="D181" s="115" t="s">
        <v>512</v>
      </c>
      <c r="E181">
        <v>3287</v>
      </c>
      <c r="F181" s="115" t="s">
        <v>748</v>
      </c>
      <c r="G181" s="115" t="s">
        <v>626</v>
      </c>
      <c r="H181" s="115" t="s">
        <v>627</v>
      </c>
      <c r="I181" s="115" t="s">
        <v>593</v>
      </c>
      <c r="J181" s="115" t="s">
        <v>749</v>
      </c>
    </row>
    <row r="182" spans="1:10">
      <c r="A182" s="115" t="s">
        <v>746</v>
      </c>
      <c r="B182" s="115" t="s">
        <v>504</v>
      </c>
      <c r="C182" s="115" t="s">
        <v>519</v>
      </c>
      <c r="D182" s="115" t="s">
        <v>512</v>
      </c>
      <c r="E182">
        <v>3298</v>
      </c>
      <c r="F182" s="115" t="s">
        <v>750</v>
      </c>
      <c r="G182" s="115" t="s">
        <v>626</v>
      </c>
      <c r="H182" s="115" t="s">
        <v>627</v>
      </c>
      <c r="I182" s="115" t="s">
        <v>593</v>
      </c>
      <c r="J182" s="115" t="s">
        <v>751</v>
      </c>
    </row>
    <row r="183" spans="1:10">
      <c r="A183" s="115" t="s">
        <v>746</v>
      </c>
      <c r="B183" s="115" t="s">
        <v>504</v>
      </c>
      <c r="C183" s="115" t="s">
        <v>519</v>
      </c>
      <c r="D183" s="115" t="s">
        <v>512</v>
      </c>
      <c r="E183">
        <v>3451</v>
      </c>
      <c r="F183" s="115" t="s">
        <v>752</v>
      </c>
      <c r="G183" s="115" t="s">
        <v>626</v>
      </c>
      <c r="H183" s="115" t="s">
        <v>627</v>
      </c>
      <c r="I183">
        <v>448</v>
      </c>
    </row>
    <row r="184" spans="1:10">
      <c r="A184" s="115" t="s">
        <v>746</v>
      </c>
      <c r="B184" s="115" t="s">
        <v>504</v>
      </c>
      <c r="C184" s="115" t="s">
        <v>519</v>
      </c>
      <c r="D184" s="115" t="s">
        <v>506</v>
      </c>
      <c r="E184">
        <v>3804</v>
      </c>
      <c r="F184" s="115" t="s">
        <v>753</v>
      </c>
      <c r="G184" s="115" t="s">
        <v>514</v>
      </c>
      <c r="H184" s="115" t="s">
        <v>528</v>
      </c>
      <c r="I184">
        <v>50</v>
      </c>
    </row>
    <row r="185" spans="1:10">
      <c r="A185" s="115" t="s">
        <v>746</v>
      </c>
      <c r="B185" s="115" t="s">
        <v>504</v>
      </c>
      <c r="C185" s="115" t="s">
        <v>519</v>
      </c>
      <c r="D185" s="115" t="s">
        <v>506</v>
      </c>
      <c r="E185">
        <v>4666</v>
      </c>
      <c r="F185" s="115" t="s">
        <v>754</v>
      </c>
      <c r="G185" s="115" t="s">
        <v>508</v>
      </c>
      <c r="H185" s="115" t="s">
        <v>563</v>
      </c>
      <c r="I185" s="115" t="s">
        <v>693</v>
      </c>
      <c r="J185" s="115" t="s">
        <v>755</v>
      </c>
    </row>
    <row r="186" spans="1:10">
      <c r="A186" s="115" t="s">
        <v>746</v>
      </c>
      <c r="B186" s="115" t="s">
        <v>504</v>
      </c>
      <c r="C186" s="115" t="s">
        <v>519</v>
      </c>
      <c r="D186" s="115" t="s">
        <v>506</v>
      </c>
      <c r="E186">
        <v>7831</v>
      </c>
      <c r="F186" s="115" t="s">
        <v>756</v>
      </c>
      <c r="G186" s="115" t="s">
        <v>521</v>
      </c>
      <c r="H186" s="115" t="s">
        <v>549</v>
      </c>
      <c r="I186">
        <v>37</v>
      </c>
    </row>
    <row r="187" spans="1:10">
      <c r="A187" s="115" t="s">
        <v>757</v>
      </c>
      <c r="B187" s="115" t="s">
        <v>504</v>
      </c>
      <c r="C187" s="115" t="s">
        <v>524</v>
      </c>
      <c r="D187" s="115" t="s">
        <v>506</v>
      </c>
      <c r="E187">
        <v>2678</v>
      </c>
      <c r="F187" s="115" t="s">
        <v>758</v>
      </c>
      <c r="G187" s="115" t="s">
        <v>508</v>
      </c>
      <c r="H187" s="115" t="s">
        <v>526</v>
      </c>
      <c r="I187" s="115" t="s">
        <v>593</v>
      </c>
      <c r="J187" s="115" t="s">
        <v>759</v>
      </c>
    </row>
    <row r="188" spans="1:10">
      <c r="A188" s="115" t="s">
        <v>757</v>
      </c>
      <c r="B188" s="115" t="s">
        <v>504</v>
      </c>
      <c r="C188" s="115" t="s">
        <v>524</v>
      </c>
      <c r="D188" s="115" t="s">
        <v>506</v>
      </c>
      <c r="E188">
        <v>3391</v>
      </c>
      <c r="F188" s="115" t="s">
        <v>760</v>
      </c>
      <c r="G188" s="115" t="s">
        <v>508</v>
      </c>
      <c r="H188" s="115" t="s">
        <v>526</v>
      </c>
      <c r="I188" s="115" t="s">
        <v>761</v>
      </c>
      <c r="J188" s="115" t="s">
        <v>762</v>
      </c>
    </row>
    <row r="189" spans="1:10">
      <c r="A189" s="115" t="s">
        <v>757</v>
      </c>
      <c r="B189" s="115" t="s">
        <v>504</v>
      </c>
      <c r="C189" s="115" t="s">
        <v>519</v>
      </c>
      <c r="D189" s="115" t="s">
        <v>512</v>
      </c>
      <c r="E189">
        <v>8956</v>
      </c>
      <c r="F189" s="115" t="s">
        <v>763</v>
      </c>
      <c r="G189" s="115" t="s">
        <v>626</v>
      </c>
      <c r="H189" s="115" t="s">
        <v>627</v>
      </c>
      <c r="I189" s="115" t="s">
        <v>552</v>
      </c>
      <c r="J189" s="115" t="s">
        <v>764</v>
      </c>
    </row>
    <row r="190" spans="1:10">
      <c r="A190" s="115" t="s">
        <v>765</v>
      </c>
      <c r="B190" s="115" t="s">
        <v>504</v>
      </c>
      <c r="C190" s="115" t="s">
        <v>519</v>
      </c>
      <c r="D190" s="115" t="s">
        <v>506</v>
      </c>
      <c r="E190">
        <v>2315</v>
      </c>
      <c r="F190" s="115" t="s">
        <v>766</v>
      </c>
      <c r="G190" s="115" t="s">
        <v>514</v>
      </c>
      <c r="H190" s="115" t="s">
        <v>528</v>
      </c>
      <c r="I190">
        <v>101</v>
      </c>
    </row>
    <row r="191" spans="1:10">
      <c r="A191" s="115" t="s">
        <v>767</v>
      </c>
      <c r="B191" s="115" t="s">
        <v>504</v>
      </c>
      <c r="C191" s="115" t="s">
        <v>519</v>
      </c>
      <c r="D191" s="115" t="s">
        <v>512</v>
      </c>
      <c r="E191">
        <v>3308</v>
      </c>
      <c r="F191" s="115" t="s">
        <v>768</v>
      </c>
      <c r="G191" s="115" t="s">
        <v>626</v>
      </c>
      <c r="H191" s="115" t="s">
        <v>627</v>
      </c>
      <c r="I191">
        <v>162</v>
      </c>
    </row>
    <row r="192" spans="1:10">
      <c r="A192" s="115" t="s">
        <v>769</v>
      </c>
      <c r="B192" s="115" t="s">
        <v>504</v>
      </c>
      <c r="C192" s="115" t="s">
        <v>511</v>
      </c>
      <c r="D192" s="115" t="s">
        <v>506</v>
      </c>
      <c r="E192">
        <v>3035</v>
      </c>
      <c r="F192" s="115" t="s">
        <v>770</v>
      </c>
      <c r="G192" s="115" t="s">
        <v>514</v>
      </c>
      <c r="H192" s="115" t="s">
        <v>517</v>
      </c>
      <c r="I192">
        <v>21</v>
      </c>
    </row>
    <row r="193" spans="1:10">
      <c r="A193" s="115" t="s">
        <v>769</v>
      </c>
      <c r="B193" s="115" t="s">
        <v>504</v>
      </c>
      <c r="C193" s="115" t="s">
        <v>505</v>
      </c>
      <c r="D193" s="115" t="s">
        <v>506</v>
      </c>
      <c r="E193">
        <v>7624</v>
      </c>
      <c r="F193" s="115" t="s">
        <v>771</v>
      </c>
      <c r="G193" s="115" t="s">
        <v>514</v>
      </c>
      <c r="H193" s="115" t="s">
        <v>517</v>
      </c>
      <c r="I193">
        <v>117</v>
      </c>
    </row>
    <row r="194" spans="1:10">
      <c r="A194" s="115" t="s">
        <v>772</v>
      </c>
      <c r="B194" s="115" t="s">
        <v>773</v>
      </c>
      <c r="C194" s="115" t="s">
        <v>519</v>
      </c>
      <c r="D194" s="115" t="s">
        <v>506</v>
      </c>
      <c r="E194">
        <v>6664</v>
      </c>
      <c r="F194" s="115" t="s">
        <v>774</v>
      </c>
      <c r="G194" s="115" t="s">
        <v>514</v>
      </c>
      <c r="H194" s="115" t="s">
        <v>561</v>
      </c>
      <c r="I194">
        <v>44</v>
      </c>
    </row>
    <row r="195" spans="1:10">
      <c r="A195" s="115" t="s">
        <v>772</v>
      </c>
      <c r="B195" s="115" t="s">
        <v>773</v>
      </c>
      <c r="C195" s="115" t="s">
        <v>505</v>
      </c>
      <c r="D195" s="115" t="s">
        <v>512</v>
      </c>
      <c r="E195">
        <v>7611</v>
      </c>
      <c r="F195" s="115" t="s">
        <v>775</v>
      </c>
      <c r="G195" s="115" t="s">
        <v>508</v>
      </c>
      <c r="H195" s="115" t="s">
        <v>526</v>
      </c>
      <c r="I195">
        <v>838</v>
      </c>
    </row>
    <row r="196" spans="1:10">
      <c r="A196" s="115" t="s">
        <v>772</v>
      </c>
      <c r="B196" s="115" t="s">
        <v>504</v>
      </c>
      <c r="C196" s="115" t="s">
        <v>505</v>
      </c>
      <c r="D196" s="115" t="s">
        <v>506</v>
      </c>
      <c r="E196">
        <v>6279</v>
      </c>
      <c r="F196" s="115" t="s">
        <v>776</v>
      </c>
      <c r="G196" s="115" t="s">
        <v>521</v>
      </c>
      <c r="H196" s="115" t="s">
        <v>547</v>
      </c>
      <c r="I196">
        <v>277</v>
      </c>
    </row>
    <row r="197" spans="1:10">
      <c r="A197" s="115" t="s">
        <v>772</v>
      </c>
      <c r="B197" s="115" t="s">
        <v>504</v>
      </c>
      <c r="C197" s="115" t="s">
        <v>524</v>
      </c>
      <c r="D197" s="115" t="s">
        <v>512</v>
      </c>
      <c r="E197">
        <v>7068</v>
      </c>
      <c r="F197" s="115" t="s">
        <v>777</v>
      </c>
      <c r="G197" s="115" t="s">
        <v>530</v>
      </c>
      <c r="H197" s="115" t="s">
        <v>515</v>
      </c>
      <c r="I197">
        <v>107</v>
      </c>
    </row>
    <row r="198" spans="1:10">
      <c r="A198" s="115" t="s">
        <v>772</v>
      </c>
      <c r="B198" s="115" t="s">
        <v>504</v>
      </c>
      <c r="C198" s="115" t="s">
        <v>524</v>
      </c>
      <c r="D198" s="115" t="s">
        <v>506</v>
      </c>
      <c r="E198">
        <v>7921</v>
      </c>
      <c r="F198" s="115" t="s">
        <v>778</v>
      </c>
      <c r="G198" s="115" t="s">
        <v>508</v>
      </c>
      <c r="H198" s="115" t="s">
        <v>549</v>
      </c>
      <c r="I198">
        <v>226</v>
      </c>
    </row>
    <row r="199" spans="1:10">
      <c r="A199" s="115" t="s">
        <v>772</v>
      </c>
      <c r="B199" s="115" t="s">
        <v>504</v>
      </c>
      <c r="C199" s="115" t="s">
        <v>505</v>
      </c>
      <c r="D199" s="115" t="s">
        <v>506</v>
      </c>
      <c r="E199">
        <v>9982</v>
      </c>
      <c r="F199" s="115" t="s">
        <v>779</v>
      </c>
      <c r="G199" s="115" t="s">
        <v>508</v>
      </c>
      <c r="H199" s="115" t="s">
        <v>517</v>
      </c>
      <c r="I199">
        <v>186</v>
      </c>
    </row>
    <row r="200" spans="1:10">
      <c r="A200" s="115" t="s">
        <v>780</v>
      </c>
      <c r="B200" s="115" t="s">
        <v>504</v>
      </c>
      <c r="C200" s="115" t="s">
        <v>505</v>
      </c>
      <c r="D200" s="115" t="s">
        <v>506</v>
      </c>
      <c r="E200">
        <v>2186</v>
      </c>
      <c r="F200" s="115" t="s">
        <v>781</v>
      </c>
      <c r="G200" s="115" t="s">
        <v>514</v>
      </c>
      <c r="H200" s="115" t="s">
        <v>515</v>
      </c>
      <c r="I200">
        <v>95</v>
      </c>
    </row>
    <row r="201" spans="1:10">
      <c r="A201" s="115" t="s">
        <v>780</v>
      </c>
      <c r="B201" s="115" t="s">
        <v>504</v>
      </c>
      <c r="C201" s="115" t="s">
        <v>505</v>
      </c>
      <c r="D201" s="115" t="s">
        <v>506</v>
      </c>
      <c r="E201">
        <v>2685</v>
      </c>
      <c r="F201" s="115" t="s">
        <v>782</v>
      </c>
      <c r="G201" s="115" t="s">
        <v>508</v>
      </c>
      <c r="H201" s="115" t="s">
        <v>526</v>
      </c>
      <c r="I201" s="115" t="s">
        <v>593</v>
      </c>
      <c r="J201" s="115" t="s">
        <v>783</v>
      </c>
    </row>
    <row r="202" spans="1:10">
      <c r="A202" s="115" t="s">
        <v>780</v>
      </c>
      <c r="B202" s="115" t="s">
        <v>504</v>
      </c>
      <c r="C202" s="115" t="s">
        <v>505</v>
      </c>
      <c r="D202" s="115" t="s">
        <v>506</v>
      </c>
      <c r="E202">
        <v>3919</v>
      </c>
      <c r="F202" s="115" t="s">
        <v>784</v>
      </c>
      <c r="G202" s="115" t="s">
        <v>508</v>
      </c>
      <c r="H202" s="115" t="s">
        <v>528</v>
      </c>
      <c r="I202">
        <v>162</v>
      </c>
    </row>
    <row r="203" spans="1:10">
      <c r="A203" s="115" t="s">
        <v>780</v>
      </c>
      <c r="B203" s="115" t="s">
        <v>504</v>
      </c>
      <c r="C203" s="115" t="s">
        <v>524</v>
      </c>
      <c r="D203" s="115" t="s">
        <v>506</v>
      </c>
      <c r="E203">
        <v>9651</v>
      </c>
      <c r="F203" s="115" t="s">
        <v>785</v>
      </c>
      <c r="G203" s="115" t="s">
        <v>514</v>
      </c>
      <c r="H203" s="115" t="s">
        <v>528</v>
      </c>
      <c r="I203">
        <v>91</v>
      </c>
    </row>
    <row r="204" spans="1:10">
      <c r="A204" s="115" t="s">
        <v>786</v>
      </c>
      <c r="B204" s="115" t="s">
        <v>504</v>
      </c>
      <c r="C204" s="115" t="s">
        <v>505</v>
      </c>
      <c r="D204" s="115" t="s">
        <v>506</v>
      </c>
      <c r="E204">
        <v>1712</v>
      </c>
      <c r="F204" s="115" t="s">
        <v>787</v>
      </c>
      <c r="G204" s="115" t="s">
        <v>508</v>
      </c>
      <c r="H204" s="115" t="s">
        <v>571</v>
      </c>
      <c r="I204">
        <v>175</v>
      </c>
    </row>
    <row r="205" spans="1:10">
      <c r="A205" s="115" t="s">
        <v>786</v>
      </c>
      <c r="B205" s="115" t="s">
        <v>504</v>
      </c>
      <c r="C205" s="115" t="s">
        <v>505</v>
      </c>
      <c r="D205" s="115" t="s">
        <v>506</v>
      </c>
      <c r="E205">
        <v>9793</v>
      </c>
      <c r="F205" s="115" t="s">
        <v>788</v>
      </c>
      <c r="G205" s="115" t="s">
        <v>508</v>
      </c>
      <c r="H205" s="115" t="s">
        <v>515</v>
      </c>
      <c r="I205" s="115" t="s">
        <v>593</v>
      </c>
      <c r="J205" s="115" t="s">
        <v>789</v>
      </c>
    </row>
    <row r="206" spans="1:10">
      <c r="A206" s="115" t="s">
        <v>790</v>
      </c>
      <c r="B206" s="115" t="s">
        <v>504</v>
      </c>
      <c r="C206" s="115" t="s">
        <v>524</v>
      </c>
      <c r="D206" s="115" t="s">
        <v>506</v>
      </c>
      <c r="E206">
        <v>2792</v>
      </c>
      <c r="F206" s="115" t="s">
        <v>791</v>
      </c>
      <c r="G206" s="115" t="s">
        <v>508</v>
      </c>
      <c r="H206" s="115" t="s">
        <v>526</v>
      </c>
      <c r="I206">
        <v>389</v>
      </c>
    </row>
    <row r="207" spans="1:10">
      <c r="A207" s="115" t="s">
        <v>792</v>
      </c>
      <c r="B207" s="115" t="s">
        <v>504</v>
      </c>
      <c r="C207" s="115" t="s">
        <v>505</v>
      </c>
      <c r="D207" s="115" t="s">
        <v>506</v>
      </c>
      <c r="E207">
        <v>4714</v>
      </c>
      <c r="F207" s="115" t="s">
        <v>793</v>
      </c>
      <c r="G207" s="115" t="s">
        <v>508</v>
      </c>
      <c r="H207" s="115" t="s">
        <v>515</v>
      </c>
      <c r="I207">
        <v>639</v>
      </c>
    </row>
    <row r="208" spans="1:10">
      <c r="A208" s="115" t="s">
        <v>794</v>
      </c>
      <c r="B208" s="115" t="s">
        <v>504</v>
      </c>
      <c r="C208" s="115" t="s">
        <v>519</v>
      </c>
      <c r="D208" s="115" t="s">
        <v>506</v>
      </c>
      <c r="E208">
        <v>2809</v>
      </c>
      <c r="F208" s="115" t="s">
        <v>795</v>
      </c>
      <c r="G208" s="115" t="s">
        <v>508</v>
      </c>
      <c r="H208" s="115" t="s">
        <v>509</v>
      </c>
      <c r="I208" s="115" t="s">
        <v>796</v>
      </c>
      <c r="J208" s="115" t="s">
        <v>797</v>
      </c>
    </row>
    <row r="209" spans="1:10">
      <c r="A209" s="115" t="s">
        <v>794</v>
      </c>
      <c r="B209" s="115" t="s">
        <v>504</v>
      </c>
      <c r="C209" s="115" t="s">
        <v>511</v>
      </c>
      <c r="D209" s="115" t="s">
        <v>506</v>
      </c>
      <c r="E209">
        <v>2927</v>
      </c>
      <c r="F209" s="115" t="s">
        <v>798</v>
      </c>
      <c r="G209" s="115" t="s">
        <v>514</v>
      </c>
      <c r="H209" s="115" t="s">
        <v>509</v>
      </c>
      <c r="I209">
        <v>94</v>
      </c>
    </row>
    <row r="210" spans="1:10">
      <c r="A210" s="115" t="s">
        <v>794</v>
      </c>
      <c r="B210" s="115" t="s">
        <v>504</v>
      </c>
      <c r="C210" s="115" t="s">
        <v>505</v>
      </c>
      <c r="D210" s="115" t="s">
        <v>506</v>
      </c>
      <c r="E210">
        <v>3396</v>
      </c>
      <c r="F210" s="115" t="s">
        <v>799</v>
      </c>
      <c r="G210" s="115" t="s">
        <v>508</v>
      </c>
      <c r="H210" s="115" t="s">
        <v>526</v>
      </c>
      <c r="I210">
        <v>106</v>
      </c>
    </row>
    <row r="211" spans="1:10">
      <c r="A211" s="115" t="s">
        <v>794</v>
      </c>
      <c r="B211" s="115" t="s">
        <v>504</v>
      </c>
      <c r="C211" s="115" t="s">
        <v>524</v>
      </c>
      <c r="D211" s="115" t="s">
        <v>506</v>
      </c>
      <c r="E211">
        <v>8908</v>
      </c>
      <c r="F211" s="115" t="s">
        <v>800</v>
      </c>
      <c r="G211" s="115" t="s">
        <v>508</v>
      </c>
      <c r="H211" s="115" t="s">
        <v>563</v>
      </c>
      <c r="I211">
        <v>148</v>
      </c>
    </row>
    <row r="212" spans="1:10">
      <c r="A212" s="115" t="s">
        <v>794</v>
      </c>
      <c r="B212" s="115" t="s">
        <v>504</v>
      </c>
      <c r="C212" s="115" t="s">
        <v>511</v>
      </c>
      <c r="D212" s="115" t="s">
        <v>506</v>
      </c>
      <c r="E212">
        <v>9983</v>
      </c>
      <c r="F212" s="115" t="s">
        <v>801</v>
      </c>
      <c r="G212" s="115" t="s">
        <v>508</v>
      </c>
      <c r="H212" s="115" t="s">
        <v>526</v>
      </c>
      <c r="I212" s="115" t="s">
        <v>802</v>
      </c>
      <c r="J212" s="115" t="s">
        <v>803</v>
      </c>
    </row>
    <row r="213" spans="1:10">
      <c r="A213" s="115" t="s">
        <v>804</v>
      </c>
      <c r="B213" s="115" t="s">
        <v>773</v>
      </c>
      <c r="C213" s="115" t="s">
        <v>524</v>
      </c>
      <c r="D213" s="115" t="s">
        <v>506</v>
      </c>
      <c r="E213">
        <v>6567</v>
      </c>
      <c r="F213" s="115" t="s">
        <v>805</v>
      </c>
      <c r="G213" s="115" t="s">
        <v>530</v>
      </c>
      <c r="H213" s="115" t="s">
        <v>515</v>
      </c>
      <c r="I213">
        <v>22</v>
      </c>
    </row>
    <row r="214" spans="1:10">
      <c r="A214" s="115" t="s">
        <v>804</v>
      </c>
      <c r="B214" s="115" t="s">
        <v>504</v>
      </c>
      <c r="C214" s="115" t="s">
        <v>505</v>
      </c>
      <c r="D214" s="115" t="s">
        <v>506</v>
      </c>
      <c r="E214">
        <v>2338</v>
      </c>
      <c r="F214" s="115" t="s">
        <v>806</v>
      </c>
      <c r="G214" s="115" t="s">
        <v>521</v>
      </c>
      <c r="H214" s="115" t="s">
        <v>528</v>
      </c>
      <c r="I214">
        <v>26</v>
      </c>
    </row>
    <row r="215" spans="1:10">
      <c r="A215" s="115" t="s">
        <v>804</v>
      </c>
      <c r="B215" s="115" t="s">
        <v>504</v>
      </c>
      <c r="C215" s="115" t="s">
        <v>505</v>
      </c>
      <c r="D215" s="115" t="s">
        <v>506</v>
      </c>
      <c r="E215">
        <v>2651</v>
      </c>
      <c r="F215" s="115" t="s">
        <v>807</v>
      </c>
      <c r="G215" s="115" t="s">
        <v>508</v>
      </c>
      <c r="H215" s="115" t="s">
        <v>526</v>
      </c>
      <c r="I215" s="115" t="s">
        <v>761</v>
      </c>
      <c r="J215" s="115" t="s">
        <v>808</v>
      </c>
    </row>
    <row r="216" spans="1:10">
      <c r="A216" s="115" t="s">
        <v>804</v>
      </c>
      <c r="B216" s="115" t="s">
        <v>504</v>
      </c>
      <c r="C216" s="115" t="s">
        <v>505</v>
      </c>
      <c r="D216" s="115" t="s">
        <v>512</v>
      </c>
      <c r="E216">
        <v>2706</v>
      </c>
      <c r="F216" s="115" t="s">
        <v>809</v>
      </c>
      <c r="G216" s="115" t="s">
        <v>514</v>
      </c>
      <c r="H216" s="115" t="s">
        <v>549</v>
      </c>
      <c r="I216">
        <v>120</v>
      </c>
    </row>
    <row r="217" spans="1:10">
      <c r="A217" s="115" t="s">
        <v>804</v>
      </c>
      <c r="B217" s="115" t="s">
        <v>504</v>
      </c>
      <c r="C217" s="115" t="s">
        <v>505</v>
      </c>
      <c r="D217" s="115" t="s">
        <v>506</v>
      </c>
      <c r="E217">
        <v>3546</v>
      </c>
      <c r="F217" s="115" t="s">
        <v>810</v>
      </c>
      <c r="G217" s="115" t="s">
        <v>508</v>
      </c>
      <c r="H217" s="115" t="s">
        <v>526</v>
      </c>
      <c r="I217">
        <v>258</v>
      </c>
    </row>
    <row r="218" spans="1:10">
      <c r="A218" s="115" t="s">
        <v>804</v>
      </c>
      <c r="B218" s="115" t="s">
        <v>504</v>
      </c>
      <c r="C218" s="115" t="s">
        <v>505</v>
      </c>
      <c r="D218" s="115" t="s">
        <v>506</v>
      </c>
      <c r="E218">
        <v>3922</v>
      </c>
      <c r="F218" s="115" t="s">
        <v>811</v>
      </c>
      <c r="G218" s="115" t="s">
        <v>508</v>
      </c>
      <c r="H218" s="115" t="s">
        <v>528</v>
      </c>
      <c r="I218">
        <v>165</v>
      </c>
    </row>
    <row r="219" spans="1:10">
      <c r="A219" s="115" t="s">
        <v>804</v>
      </c>
      <c r="B219" s="115" t="s">
        <v>504</v>
      </c>
      <c r="C219" s="115" t="s">
        <v>524</v>
      </c>
      <c r="D219" s="115" t="s">
        <v>506</v>
      </c>
      <c r="E219">
        <v>4829</v>
      </c>
      <c r="F219" s="115" t="s">
        <v>812</v>
      </c>
      <c r="G219" s="115" t="s">
        <v>508</v>
      </c>
      <c r="H219" s="115" t="s">
        <v>528</v>
      </c>
      <c r="I219">
        <v>94</v>
      </c>
    </row>
    <row r="220" spans="1:10">
      <c r="A220" s="115" t="s">
        <v>804</v>
      </c>
      <c r="B220" s="115" t="s">
        <v>504</v>
      </c>
      <c r="C220" s="115" t="s">
        <v>505</v>
      </c>
      <c r="D220" s="115" t="s">
        <v>506</v>
      </c>
      <c r="E220">
        <v>6058</v>
      </c>
      <c r="F220" s="115" t="s">
        <v>813</v>
      </c>
      <c r="G220" s="115" t="s">
        <v>508</v>
      </c>
      <c r="H220" s="115" t="s">
        <v>515</v>
      </c>
      <c r="I220">
        <v>477</v>
      </c>
    </row>
    <row r="221" spans="1:10">
      <c r="A221" s="115" t="s">
        <v>804</v>
      </c>
      <c r="B221" s="115" t="s">
        <v>504</v>
      </c>
      <c r="C221" s="115" t="s">
        <v>519</v>
      </c>
      <c r="D221" s="115" t="s">
        <v>506</v>
      </c>
      <c r="E221">
        <v>6492</v>
      </c>
      <c r="F221" s="115" t="s">
        <v>814</v>
      </c>
      <c r="G221" s="115" t="s">
        <v>521</v>
      </c>
      <c r="H221" s="115" t="s">
        <v>547</v>
      </c>
      <c r="I221">
        <v>35</v>
      </c>
    </row>
    <row r="222" spans="1:10">
      <c r="A222" s="115" t="s">
        <v>804</v>
      </c>
      <c r="B222" s="115" t="s">
        <v>504</v>
      </c>
      <c r="C222" s="115" t="s">
        <v>505</v>
      </c>
      <c r="D222" s="115" t="s">
        <v>512</v>
      </c>
      <c r="E222">
        <v>6532</v>
      </c>
      <c r="F222" s="115" t="s">
        <v>815</v>
      </c>
      <c r="G222" s="115" t="s">
        <v>508</v>
      </c>
      <c r="H222" s="115" t="s">
        <v>515</v>
      </c>
      <c r="I222">
        <v>920</v>
      </c>
    </row>
    <row r="223" spans="1:10">
      <c r="A223" s="115" t="s">
        <v>804</v>
      </c>
      <c r="B223" s="115" t="s">
        <v>504</v>
      </c>
      <c r="C223" s="115" t="s">
        <v>519</v>
      </c>
      <c r="D223" s="115" t="s">
        <v>506</v>
      </c>
      <c r="E223">
        <v>8923</v>
      </c>
      <c r="F223" s="115" t="s">
        <v>816</v>
      </c>
      <c r="G223" s="115" t="s">
        <v>508</v>
      </c>
      <c r="H223" s="115" t="s">
        <v>563</v>
      </c>
      <c r="I223">
        <v>695</v>
      </c>
    </row>
    <row r="224" spans="1:10">
      <c r="A224" s="115" t="s">
        <v>817</v>
      </c>
      <c r="B224" s="115" t="s">
        <v>504</v>
      </c>
      <c r="C224" s="115" t="s">
        <v>519</v>
      </c>
      <c r="D224" s="115" t="s">
        <v>506</v>
      </c>
      <c r="E224">
        <v>2471</v>
      </c>
      <c r="F224" s="115" t="s">
        <v>818</v>
      </c>
      <c r="G224" s="115" t="s">
        <v>508</v>
      </c>
      <c r="H224" s="115" t="s">
        <v>515</v>
      </c>
      <c r="I224">
        <v>517</v>
      </c>
    </row>
    <row r="225" spans="1:10">
      <c r="A225" s="115" t="s">
        <v>817</v>
      </c>
      <c r="B225" s="115" t="s">
        <v>504</v>
      </c>
      <c r="C225" s="115" t="s">
        <v>505</v>
      </c>
      <c r="D225" s="115" t="s">
        <v>512</v>
      </c>
      <c r="E225">
        <v>2930</v>
      </c>
      <c r="F225" s="115" t="s">
        <v>819</v>
      </c>
      <c r="G225" s="115" t="s">
        <v>508</v>
      </c>
      <c r="H225" s="115" t="s">
        <v>509</v>
      </c>
      <c r="I225">
        <v>959</v>
      </c>
    </row>
    <row r="226" spans="1:10">
      <c r="A226" s="115" t="s">
        <v>817</v>
      </c>
      <c r="B226" s="115" t="s">
        <v>504</v>
      </c>
      <c r="C226" s="115" t="s">
        <v>505</v>
      </c>
      <c r="D226" s="115" t="s">
        <v>512</v>
      </c>
      <c r="E226">
        <v>3030</v>
      </c>
      <c r="F226" s="115" t="s">
        <v>820</v>
      </c>
      <c r="G226" s="115" t="s">
        <v>508</v>
      </c>
      <c r="H226" s="115" t="s">
        <v>526</v>
      </c>
      <c r="I226">
        <v>114</v>
      </c>
    </row>
    <row r="227" spans="1:10">
      <c r="A227" s="115" t="s">
        <v>817</v>
      </c>
      <c r="B227" s="115" t="s">
        <v>504</v>
      </c>
      <c r="C227" s="115" t="s">
        <v>505</v>
      </c>
      <c r="D227" s="115" t="s">
        <v>506</v>
      </c>
      <c r="E227">
        <v>3479</v>
      </c>
      <c r="F227" s="115" t="s">
        <v>821</v>
      </c>
      <c r="G227" s="115" t="s">
        <v>530</v>
      </c>
      <c r="H227" s="115" t="s">
        <v>563</v>
      </c>
      <c r="I227" s="115" t="s">
        <v>593</v>
      </c>
      <c r="J227" s="115" t="s">
        <v>822</v>
      </c>
    </row>
    <row r="228" spans="1:10">
      <c r="A228" s="115" t="s">
        <v>817</v>
      </c>
      <c r="B228" s="115" t="s">
        <v>504</v>
      </c>
      <c r="C228" s="115" t="s">
        <v>505</v>
      </c>
      <c r="D228" s="115" t="s">
        <v>506</v>
      </c>
      <c r="E228">
        <v>3562</v>
      </c>
      <c r="F228" s="115" t="s">
        <v>823</v>
      </c>
      <c r="G228" s="115" t="s">
        <v>514</v>
      </c>
      <c r="H228" s="115" t="s">
        <v>517</v>
      </c>
      <c r="I228">
        <v>33</v>
      </c>
    </row>
    <row r="229" spans="1:10">
      <c r="A229" s="115" t="s">
        <v>817</v>
      </c>
      <c r="B229" s="115" t="s">
        <v>504</v>
      </c>
      <c r="C229" s="115" t="s">
        <v>505</v>
      </c>
      <c r="D229" s="115" t="s">
        <v>506</v>
      </c>
      <c r="E229">
        <v>3678</v>
      </c>
      <c r="F229" s="115" t="s">
        <v>824</v>
      </c>
      <c r="G229" s="115" t="s">
        <v>508</v>
      </c>
      <c r="H229" s="115" t="s">
        <v>528</v>
      </c>
      <c r="I229">
        <v>489</v>
      </c>
    </row>
    <row r="230" spans="1:10">
      <c r="A230" s="115" t="s">
        <v>817</v>
      </c>
      <c r="B230" s="115" t="s">
        <v>504</v>
      </c>
      <c r="C230" s="115" t="s">
        <v>511</v>
      </c>
      <c r="D230" s="115" t="s">
        <v>506</v>
      </c>
      <c r="E230">
        <v>4668</v>
      </c>
      <c r="F230" s="115" t="s">
        <v>825</v>
      </c>
      <c r="G230" s="115" t="s">
        <v>508</v>
      </c>
      <c r="H230" s="115" t="s">
        <v>515</v>
      </c>
      <c r="I230">
        <v>284</v>
      </c>
    </row>
    <row r="231" spans="1:10">
      <c r="A231" s="115" t="s">
        <v>817</v>
      </c>
      <c r="B231" s="115" t="s">
        <v>504</v>
      </c>
      <c r="C231" s="115" t="s">
        <v>505</v>
      </c>
      <c r="D231" s="115" t="s">
        <v>506</v>
      </c>
      <c r="E231">
        <v>6814</v>
      </c>
      <c r="F231" s="115" t="s">
        <v>826</v>
      </c>
      <c r="G231" s="115" t="s">
        <v>508</v>
      </c>
      <c r="H231" s="115" t="s">
        <v>561</v>
      </c>
      <c r="I231">
        <v>420</v>
      </c>
    </row>
    <row r="232" spans="1:10">
      <c r="A232" s="115" t="s">
        <v>817</v>
      </c>
      <c r="B232" s="115" t="s">
        <v>504</v>
      </c>
      <c r="C232" s="115" t="s">
        <v>505</v>
      </c>
      <c r="D232" s="115" t="s">
        <v>506</v>
      </c>
      <c r="E232">
        <v>7719</v>
      </c>
      <c r="F232" s="115" t="s">
        <v>827</v>
      </c>
      <c r="G232" s="115" t="s">
        <v>521</v>
      </c>
      <c r="H232" s="115" t="s">
        <v>828</v>
      </c>
      <c r="I232">
        <v>18</v>
      </c>
    </row>
    <row r="233" spans="1:10">
      <c r="A233" s="115" t="s">
        <v>817</v>
      </c>
      <c r="B233" s="115" t="s">
        <v>504</v>
      </c>
      <c r="C233" s="115" t="s">
        <v>505</v>
      </c>
      <c r="D233" s="115" t="s">
        <v>506</v>
      </c>
      <c r="E233">
        <v>9602</v>
      </c>
      <c r="F233" s="115" t="s">
        <v>829</v>
      </c>
      <c r="G233" s="115" t="s">
        <v>508</v>
      </c>
      <c r="H233" s="115" t="s">
        <v>528</v>
      </c>
      <c r="I233" s="115" t="s">
        <v>830</v>
      </c>
      <c r="J233" s="115" t="s">
        <v>831</v>
      </c>
    </row>
    <row r="234" spans="1:10">
      <c r="A234" s="115" t="s">
        <v>832</v>
      </c>
      <c r="B234" s="115" t="s">
        <v>504</v>
      </c>
      <c r="C234" s="115" t="s">
        <v>519</v>
      </c>
      <c r="D234" s="115" t="s">
        <v>506</v>
      </c>
      <c r="E234">
        <v>3907</v>
      </c>
      <c r="F234" s="115" t="s">
        <v>833</v>
      </c>
      <c r="G234" s="115" t="s">
        <v>530</v>
      </c>
      <c r="H234" s="115" t="s">
        <v>528</v>
      </c>
      <c r="I234">
        <v>52</v>
      </c>
    </row>
    <row r="235" spans="1:10">
      <c r="A235" s="115" t="s">
        <v>832</v>
      </c>
      <c r="B235" s="115" t="s">
        <v>504</v>
      </c>
      <c r="C235" s="115" t="s">
        <v>505</v>
      </c>
      <c r="D235" s="115" t="s">
        <v>506</v>
      </c>
      <c r="E235">
        <v>6578</v>
      </c>
      <c r="F235" s="115" t="s">
        <v>834</v>
      </c>
      <c r="G235" s="115" t="s">
        <v>521</v>
      </c>
      <c r="H235" s="115" t="s">
        <v>515</v>
      </c>
      <c r="I235">
        <v>28</v>
      </c>
    </row>
    <row r="236" spans="1:10">
      <c r="A236" s="115" t="s">
        <v>832</v>
      </c>
      <c r="B236" s="115" t="s">
        <v>504</v>
      </c>
      <c r="C236" s="115" t="s">
        <v>505</v>
      </c>
      <c r="D236" s="115" t="s">
        <v>512</v>
      </c>
      <c r="E236">
        <v>7610</v>
      </c>
      <c r="F236" s="115" t="s">
        <v>835</v>
      </c>
      <c r="G236" s="115" t="s">
        <v>514</v>
      </c>
      <c r="H236" s="115" t="s">
        <v>526</v>
      </c>
      <c r="I236">
        <v>24</v>
      </c>
    </row>
    <row r="237" spans="1:10">
      <c r="A237" s="115" t="s">
        <v>836</v>
      </c>
      <c r="B237" s="115" t="s">
        <v>504</v>
      </c>
      <c r="C237" s="115" t="s">
        <v>519</v>
      </c>
      <c r="D237" s="115" t="s">
        <v>512</v>
      </c>
      <c r="E237">
        <v>3279</v>
      </c>
      <c r="F237" s="115" t="s">
        <v>837</v>
      </c>
      <c r="G237" s="115" t="s">
        <v>626</v>
      </c>
      <c r="H237" s="115" t="s">
        <v>627</v>
      </c>
      <c r="I237" s="115" t="s">
        <v>693</v>
      </c>
      <c r="J237" s="115" t="s">
        <v>838</v>
      </c>
    </row>
    <row r="238" spans="1:10">
      <c r="A238" s="115" t="s">
        <v>836</v>
      </c>
      <c r="B238" s="115" t="s">
        <v>504</v>
      </c>
      <c r="C238" s="115" t="s">
        <v>519</v>
      </c>
      <c r="D238" s="115" t="s">
        <v>506</v>
      </c>
      <c r="E238">
        <v>6634</v>
      </c>
      <c r="F238" s="115" t="s">
        <v>839</v>
      </c>
      <c r="G238" s="115" t="s">
        <v>514</v>
      </c>
      <c r="H238" s="115" t="s">
        <v>561</v>
      </c>
      <c r="I238">
        <v>31</v>
      </c>
    </row>
    <row r="239" spans="1:10">
      <c r="A239" s="115" t="s">
        <v>836</v>
      </c>
      <c r="B239" s="115" t="s">
        <v>504</v>
      </c>
      <c r="C239" s="115" t="s">
        <v>519</v>
      </c>
      <c r="D239" s="115" t="s">
        <v>512</v>
      </c>
      <c r="E239">
        <v>7501</v>
      </c>
      <c r="F239" s="115" t="s">
        <v>840</v>
      </c>
      <c r="G239" s="115" t="s">
        <v>514</v>
      </c>
      <c r="H239" s="115" t="s">
        <v>517</v>
      </c>
      <c r="I239">
        <v>19</v>
      </c>
    </row>
    <row r="240" spans="1:10">
      <c r="A240" s="115" t="s">
        <v>841</v>
      </c>
      <c r="B240" s="115" t="s">
        <v>504</v>
      </c>
      <c r="C240" s="115" t="s">
        <v>505</v>
      </c>
      <c r="D240" s="115" t="s">
        <v>506</v>
      </c>
      <c r="E240">
        <v>6146</v>
      </c>
      <c r="F240" s="115" t="s">
        <v>842</v>
      </c>
      <c r="G240" s="115" t="s">
        <v>508</v>
      </c>
      <c r="H240" s="115" t="s">
        <v>547</v>
      </c>
      <c r="I240" s="115" t="s">
        <v>830</v>
      </c>
      <c r="J240" s="115" t="s">
        <v>843</v>
      </c>
    </row>
    <row r="241" spans="1:10">
      <c r="A241" s="115" t="s">
        <v>844</v>
      </c>
      <c r="B241" s="115" t="s">
        <v>504</v>
      </c>
      <c r="C241" s="115" t="s">
        <v>505</v>
      </c>
      <c r="D241" s="115" t="s">
        <v>506</v>
      </c>
      <c r="E241">
        <v>9433</v>
      </c>
      <c r="F241" s="115" t="s">
        <v>845</v>
      </c>
      <c r="G241" s="115" t="s">
        <v>508</v>
      </c>
      <c r="H241" s="115" t="s">
        <v>528</v>
      </c>
      <c r="I241" s="115" t="s">
        <v>846</v>
      </c>
      <c r="J241" s="115" t="s">
        <v>847</v>
      </c>
    </row>
    <row r="242" spans="1:10">
      <c r="A242" s="115" t="s">
        <v>848</v>
      </c>
      <c r="B242" s="115" t="s">
        <v>773</v>
      </c>
      <c r="C242" s="115" t="s">
        <v>505</v>
      </c>
      <c r="D242" s="115" t="s">
        <v>512</v>
      </c>
      <c r="E242">
        <v>4973</v>
      </c>
      <c r="F242" s="115" t="s">
        <v>849</v>
      </c>
      <c r="G242" s="115" t="s">
        <v>508</v>
      </c>
      <c r="H242" s="115" t="s">
        <v>532</v>
      </c>
      <c r="I242">
        <v>168</v>
      </c>
    </row>
    <row r="243" spans="1:10">
      <c r="A243" s="115" t="s">
        <v>850</v>
      </c>
      <c r="B243" s="115" t="s">
        <v>504</v>
      </c>
      <c r="C243" s="115" t="s">
        <v>505</v>
      </c>
      <c r="D243" s="115" t="s">
        <v>506</v>
      </c>
      <c r="E243">
        <v>4462</v>
      </c>
      <c r="F243" s="115" t="s">
        <v>851</v>
      </c>
      <c r="G243" s="115" t="s">
        <v>508</v>
      </c>
      <c r="H243" s="115" t="s">
        <v>532</v>
      </c>
      <c r="I243">
        <v>148</v>
      </c>
    </row>
    <row r="244" spans="1:10">
      <c r="A244" s="115" t="s">
        <v>852</v>
      </c>
      <c r="B244" s="115" t="s">
        <v>504</v>
      </c>
      <c r="C244" s="115" t="s">
        <v>505</v>
      </c>
      <c r="D244" s="115" t="s">
        <v>506</v>
      </c>
      <c r="E244">
        <v>9039</v>
      </c>
      <c r="F244" s="115" t="s">
        <v>853</v>
      </c>
      <c r="G244" s="115" t="s">
        <v>508</v>
      </c>
      <c r="H244" s="115" t="s">
        <v>854</v>
      </c>
      <c r="I244" s="115" t="s">
        <v>593</v>
      </c>
      <c r="J244" s="115" t="s">
        <v>855</v>
      </c>
    </row>
    <row r="245" spans="1:10">
      <c r="A245" s="115" t="s">
        <v>856</v>
      </c>
      <c r="B245" s="115" t="s">
        <v>504</v>
      </c>
      <c r="C245" s="115" t="s">
        <v>505</v>
      </c>
      <c r="D245" s="115" t="s">
        <v>506</v>
      </c>
      <c r="E245">
        <v>1878</v>
      </c>
      <c r="F245" s="115" t="s">
        <v>857</v>
      </c>
      <c r="G245" s="115" t="s">
        <v>508</v>
      </c>
      <c r="H245" s="115" t="s">
        <v>571</v>
      </c>
      <c r="I245" s="115" t="s">
        <v>858</v>
      </c>
      <c r="J245" s="115" t="s">
        <v>594</v>
      </c>
    </row>
    <row r="246" spans="1:10">
      <c r="A246" s="115" t="s">
        <v>856</v>
      </c>
      <c r="B246" s="115" t="s">
        <v>504</v>
      </c>
      <c r="C246" s="115" t="s">
        <v>505</v>
      </c>
      <c r="D246" s="115" t="s">
        <v>506</v>
      </c>
      <c r="E246">
        <v>2737</v>
      </c>
      <c r="F246" s="115" t="s">
        <v>859</v>
      </c>
      <c r="G246" s="115" t="s">
        <v>508</v>
      </c>
      <c r="H246" s="115" t="s">
        <v>517</v>
      </c>
      <c r="I246">
        <v>191</v>
      </c>
    </row>
    <row r="247" spans="1:10">
      <c r="A247" s="115" t="s">
        <v>856</v>
      </c>
      <c r="B247" s="115" t="s">
        <v>504</v>
      </c>
      <c r="C247" s="115" t="s">
        <v>505</v>
      </c>
      <c r="D247" s="115" t="s">
        <v>506</v>
      </c>
      <c r="E247">
        <v>8771</v>
      </c>
      <c r="F247" s="115" t="s">
        <v>860</v>
      </c>
      <c r="G247" s="115" t="s">
        <v>508</v>
      </c>
      <c r="H247" s="115" t="s">
        <v>611</v>
      </c>
      <c r="I247">
        <v>641</v>
      </c>
    </row>
    <row r="248" spans="1:10">
      <c r="A248" s="115" t="s">
        <v>856</v>
      </c>
      <c r="B248" s="115" t="s">
        <v>504</v>
      </c>
      <c r="C248" s="115" t="s">
        <v>505</v>
      </c>
      <c r="D248" s="115" t="s">
        <v>506</v>
      </c>
      <c r="E248">
        <v>9037</v>
      </c>
      <c r="F248" s="115" t="s">
        <v>861</v>
      </c>
      <c r="G248" s="115" t="s">
        <v>508</v>
      </c>
      <c r="H248" s="115" t="s">
        <v>854</v>
      </c>
      <c r="I248">
        <v>716</v>
      </c>
    </row>
    <row r="249" spans="1:10">
      <c r="A249" s="115" t="s">
        <v>856</v>
      </c>
      <c r="B249" s="115" t="s">
        <v>504</v>
      </c>
      <c r="C249" s="115" t="s">
        <v>505</v>
      </c>
      <c r="D249" s="115" t="s">
        <v>506</v>
      </c>
      <c r="E249">
        <v>9995</v>
      </c>
      <c r="F249" s="115" t="s">
        <v>862</v>
      </c>
      <c r="G249" s="115" t="s">
        <v>508</v>
      </c>
      <c r="H249" s="115" t="s">
        <v>517</v>
      </c>
      <c r="I249">
        <v>121</v>
      </c>
    </row>
    <row r="250" spans="1:10">
      <c r="A250" s="115" t="s">
        <v>863</v>
      </c>
      <c r="B250" s="115" t="s">
        <v>504</v>
      </c>
      <c r="C250" s="115" t="s">
        <v>505</v>
      </c>
      <c r="D250" s="115" t="s">
        <v>506</v>
      </c>
      <c r="E250">
        <v>2715</v>
      </c>
      <c r="F250" s="115" t="s">
        <v>864</v>
      </c>
      <c r="G250" s="115" t="s">
        <v>508</v>
      </c>
      <c r="H250" s="115" t="s">
        <v>517</v>
      </c>
      <c r="I250">
        <v>438</v>
      </c>
    </row>
    <row r="251" spans="1:10">
      <c r="A251" s="115" t="s">
        <v>863</v>
      </c>
      <c r="B251" s="115" t="s">
        <v>504</v>
      </c>
      <c r="C251" s="115" t="s">
        <v>505</v>
      </c>
      <c r="D251" s="115" t="s">
        <v>512</v>
      </c>
      <c r="E251">
        <v>2892</v>
      </c>
      <c r="F251" s="115" t="s">
        <v>865</v>
      </c>
      <c r="G251" s="115" t="s">
        <v>521</v>
      </c>
      <c r="H251" s="115" t="s">
        <v>509</v>
      </c>
      <c r="I251">
        <v>86</v>
      </c>
    </row>
    <row r="252" spans="1:10">
      <c r="A252" s="115" t="s">
        <v>863</v>
      </c>
      <c r="B252" s="115" t="s">
        <v>504</v>
      </c>
      <c r="C252" s="115" t="s">
        <v>505</v>
      </c>
      <c r="D252" s="115" t="s">
        <v>506</v>
      </c>
      <c r="E252">
        <v>3023</v>
      </c>
      <c r="F252" s="115" t="s">
        <v>866</v>
      </c>
      <c r="G252" s="115" t="s">
        <v>508</v>
      </c>
      <c r="H252" s="115" t="s">
        <v>517</v>
      </c>
      <c r="I252">
        <v>115</v>
      </c>
    </row>
    <row r="253" spans="1:10">
      <c r="A253" s="115" t="s">
        <v>863</v>
      </c>
      <c r="B253" s="115" t="s">
        <v>504</v>
      </c>
      <c r="C253" s="115" t="s">
        <v>505</v>
      </c>
      <c r="D253" s="115" t="s">
        <v>506</v>
      </c>
      <c r="E253">
        <v>3762</v>
      </c>
      <c r="F253" s="115" t="s">
        <v>867</v>
      </c>
      <c r="G253" s="115" t="s">
        <v>508</v>
      </c>
      <c r="H253" s="115" t="s">
        <v>528</v>
      </c>
      <c r="I253">
        <v>500</v>
      </c>
    </row>
    <row r="254" spans="1:10">
      <c r="A254" s="115" t="s">
        <v>863</v>
      </c>
      <c r="B254" s="115" t="s">
        <v>504</v>
      </c>
      <c r="C254" s="115" t="s">
        <v>505</v>
      </c>
      <c r="D254" s="115" t="s">
        <v>512</v>
      </c>
      <c r="E254">
        <v>3841</v>
      </c>
      <c r="F254" s="115" t="s">
        <v>868</v>
      </c>
      <c r="G254" s="115" t="s">
        <v>514</v>
      </c>
      <c r="H254" s="115" t="s">
        <v>528</v>
      </c>
      <c r="I254">
        <v>21</v>
      </c>
    </row>
    <row r="255" spans="1:10">
      <c r="A255" s="115" t="s">
        <v>863</v>
      </c>
      <c r="B255" s="115" t="s">
        <v>504</v>
      </c>
      <c r="C255" s="115" t="s">
        <v>505</v>
      </c>
      <c r="D255" s="115" t="s">
        <v>506</v>
      </c>
      <c r="E255">
        <v>4310</v>
      </c>
      <c r="F255" s="115" t="s">
        <v>869</v>
      </c>
      <c r="G255" s="115" t="s">
        <v>508</v>
      </c>
      <c r="H255" s="115" t="s">
        <v>515</v>
      </c>
      <c r="I255">
        <v>168</v>
      </c>
    </row>
    <row r="256" spans="1:10">
      <c r="A256" s="115" t="s">
        <v>863</v>
      </c>
      <c r="B256" s="115" t="s">
        <v>504</v>
      </c>
      <c r="C256" s="115" t="s">
        <v>505</v>
      </c>
      <c r="D256" s="115" t="s">
        <v>506</v>
      </c>
      <c r="E256">
        <v>4368</v>
      </c>
      <c r="F256" s="115" t="s">
        <v>870</v>
      </c>
      <c r="G256" s="115" t="s">
        <v>508</v>
      </c>
      <c r="H256" s="115" t="s">
        <v>532</v>
      </c>
      <c r="I256" s="115" t="s">
        <v>593</v>
      </c>
      <c r="J256" s="115" t="s">
        <v>871</v>
      </c>
    </row>
    <row r="257" spans="1:10">
      <c r="A257" s="115" t="s">
        <v>863</v>
      </c>
      <c r="B257" s="115" t="s">
        <v>504</v>
      </c>
      <c r="C257" s="115" t="s">
        <v>505</v>
      </c>
      <c r="D257" s="115" t="s">
        <v>506</v>
      </c>
      <c r="E257">
        <v>5727</v>
      </c>
      <c r="F257" s="115" t="s">
        <v>872</v>
      </c>
      <c r="G257" s="115" t="s">
        <v>508</v>
      </c>
      <c r="H257" s="115" t="s">
        <v>873</v>
      </c>
      <c r="I257">
        <v>689</v>
      </c>
    </row>
    <row r="258" spans="1:10">
      <c r="A258" s="115" t="s">
        <v>863</v>
      </c>
      <c r="B258" s="115" t="s">
        <v>504</v>
      </c>
      <c r="C258" s="115" t="s">
        <v>505</v>
      </c>
      <c r="D258" s="115" t="s">
        <v>506</v>
      </c>
      <c r="E258">
        <v>6322</v>
      </c>
      <c r="F258" s="115" t="s">
        <v>874</v>
      </c>
      <c r="G258" s="115" t="s">
        <v>521</v>
      </c>
      <c r="H258" s="115" t="s">
        <v>547</v>
      </c>
      <c r="I258">
        <v>124</v>
      </c>
    </row>
    <row r="259" spans="1:10">
      <c r="A259" s="115" t="s">
        <v>863</v>
      </c>
      <c r="B259" s="115" t="s">
        <v>504</v>
      </c>
      <c r="C259" s="115" t="s">
        <v>505</v>
      </c>
      <c r="D259" s="115" t="s">
        <v>506</v>
      </c>
      <c r="E259">
        <v>6659</v>
      </c>
      <c r="F259" s="115" t="s">
        <v>875</v>
      </c>
      <c r="G259" s="115" t="s">
        <v>514</v>
      </c>
      <c r="H259" s="115" t="s">
        <v>561</v>
      </c>
      <c r="I259">
        <v>18</v>
      </c>
    </row>
    <row r="260" spans="1:10">
      <c r="A260" s="115" t="s">
        <v>863</v>
      </c>
      <c r="B260" s="115" t="s">
        <v>504</v>
      </c>
      <c r="C260" s="115" t="s">
        <v>505</v>
      </c>
      <c r="D260" s="115" t="s">
        <v>506</v>
      </c>
      <c r="E260">
        <v>6925</v>
      </c>
      <c r="F260" s="115" t="s">
        <v>876</v>
      </c>
      <c r="G260" s="115" t="s">
        <v>508</v>
      </c>
      <c r="H260" s="115" t="s">
        <v>561</v>
      </c>
      <c r="I260" s="115" t="s">
        <v>552</v>
      </c>
      <c r="J260" s="115" t="s">
        <v>877</v>
      </c>
    </row>
    <row r="261" spans="1:10">
      <c r="A261" s="115" t="s">
        <v>863</v>
      </c>
      <c r="B261" s="115" t="s">
        <v>504</v>
      </c>
      <c r="C261" s="115" t="s">
        <v>505</v>
      </c>
      <c r="D261" s="115" t="s">
        <v>506</v>
      </c>
      <c r="E261">
        <v>7282</v>
      </c>
      <c r="F261" s="115" t="s">
        <v>878</v>
      </c>
      <c r="G261" s="115" t="s">
        <v>508</v>
      </c>
      <c r="H261" s="115" t="s">
        <v>589</v>
      </c>
      <c r="I261" s="115" t="s">
        <v>796</v>
      </c>
      <c r="J261" s="115" t="s">
        <v>879</v>
      </c>
    </row>
    <row r="262" spans="1:10">
      <c r="A262" s="115" t="s">
        <v>863</v>
      </c>
      <c r="B262" s="115" t="s">
        <v>504</v>
      </c>
      <c r="C262" s="115" t="s">
        <v>505</v>
      </c>
      <c r="D262" s="115" t="s">
        <v>506</v>
      </c>
      <c r="E262">
        <v>7510</v>
      </c>
      <c r="F262" s="115" t="s">
        <v>880</v>
      </c>
      <c r="G262" s="115" t="s">
        <v>508</v>
      </c>
      <c r="H262" s="115" t="s">
        <v>517</v>
      </c>
      <c r="I262">
        <v>217</v>
      </c>
    </row>
    <row r="263" spans="1:10">
      <c r="A263" s="115" t="s">
        <v>863</v>
      </c>
      <c r="B263" s="115" t="s">
        <v>504</v>
      </c>
      <c r="C263" s="115" t="s">
        <v>505</v>
      </c>
      <c r="D263" s="115" t="s">
        <v>506</v>
      </c>
      <c r="E263">
        <v>7600</v>
      </c>
      <c r="F263" s="115" t="s">
        <v>881</v>
      </c>
      <c r="G263" s="115" t="s">
        <v>508</v>
      </c>
      <c r="H263" s="115" t="s">
        <v>828</v>
      </c>
      <c r="I263">
        <v>594</v>
      </c>
    </row>
    <row r="264" spans="1:10">
      <c r="A264" s="115" t="s">
        <v>863</v>
      </c>
      <c r="B264" s="115" t="s">
        <v>504</v>
      </c>
      <c r="C264" s="115" t="s">
        <v>505</v>
      </c>
      <c r="D264" s="115" t="s">
        <v>506</v>
      </c>
      <c r="E264">
        <v>7838</v>
      </c>
      <c r="F264" s="115" t="s">
        <v>882</v>
      </c>
      <c r="G264" s="115" t="s">
        <v>508</v>
      </c>
      <c r="H264" s="115" t="s">
        <v>549</v>
      </c>
      <c r="I264">
        <v>81</v>
      </c>
    </row>
    <row r="265" spans="1:10">
      <c r="A265" s="115" t="s">
        <v>863</v>
      </c>
      <c r="B265" s="115" t="s">
        <v>504</v>
      </c>
      <c r="C265" s="115" t="s">
        <v>505</v>
      </c>
      <c r="D265" s="115" t="s">
        <v>506</v>
      </c>
      <c r="E265">
        <v>7925</v>
      </c>
      <c r="F265" s="115" t="s">
        <v>883</v>
      </c>
      <c r="G265" s="115" t="s">
        <v>508</v>
      </c>
      <c r="H265" s="115" t="s">
        <v>532</v>
      </c>
      <c r="I265">
        <v>192</v>
      </c>
    </row>
    <row r="266" spans="1:10">
      <c r="A266" s="115" t="s">
        <v>863</v>
      </c>
      <c r="B266" s="115" t="s">
        <v>504</v>
      </c>
      <c r="C266" s="115" t="s">
        <v>505</v>
      </c>
      <c r="D266" s="115" t="s">
        <v>506</v>
      </c>
      <c r="E266">
        <v>8806</v>
      </c>
      <c r="F266" s="115" t="s">
        <v>884</v>
      </c>
      <c r="G266" s="115" t="s">
        <v>508</v>
      </c>
      <c r="H266" s="115" t="s">
        <v>563</v>
      </c>
      <c r="I266" s="115" t="s">
        <v>593</v>
      </c>
      <c r="J266" s="115" t="s">
        <v>885</v>
      </c>
    </row>
    <row r="267" spans="1:10">
      <c r="A267" s="115" t="s">
        <v>886</v>
      </c>
      <c r="B267" s="115" t="s">
        <v>504</v>
      </c>
      <c r="C267" s="115" t="s">
        <v>505</v>
      </c>
      <c r="D267" s="115" t="s">
        <v>512</v>
      </c>
      <c r="E267">
        <v>1379</v>
      </c>
      <c r="F267" s="115" t="s">
        <v>887</v>
      </c>
      <c r="G267" s="115" t="s">
        <v>508</v>
      </c>
      <c r="H267" s="115" t="s">
        <v>682</v>
      </c>
      <c r="I267">
        <v>655</v>
      </c>
    </row>
    <row r="268" spans="1:10">
      <c r="A268" s="115" t="s">
        <v>886</v>
      </c>
      <c r="B268" s="115" t="s">
        <v>504</v>
      </c>
      <c r="C268" s="115" t="s">
        <v>505</v>
      </c>
      <c r="D268" s="115" t="s">
        <v>506</v>
      </c>
      <c r="E268">
        <v>2907</v>
      </c>
      <c r="F268" s="115" t="s">
        <v>888</v>
      </c>
      <c r="G268" s="115" t="s">
        <v>521</v>
      </c>
      <c r="H268" s="115" t="s">
        <v>509</v>
      </c>
      <c r="I268">
        <v>62</v>
      </c>
    </row>
    <row r="269" spans="1:10">
      <c r="A269" s="115" t="s">
        <v>886</v>
      </c>
      <c r="B269" s="115" t="s">
        <v>504</v>
      </c>
      <c r="C269" s="115" t="s">
        <v>505</v>
      </c>
      <c r="D269" s="115" t="s">
        <v>506</v>
      </c>
      <c r="E269">
        <v>3612</v>
      </c>
      <c r="F269" s="115" t="s">
        <v>889</v>
      </c>
      <c r="G269" s="115" t="s">
        <v>508</v>
      </c>
      <c r="H269" s="115" t="s">
        <v>605</v>
      </c>
      <c r="I269">
        <v>987</v>
      </c>
    </row>
    <row r="270" spans="1:10">
      <c r="A270" s="115" t="s">
        <v>886</v>
      </c>
      <c r="B270" s="115" t="s">
        <v>504</v>
      </c>
      <c r="C270" s="115" t="s">
        <v>505</v>
      </c>
      <c r="D270" s="115" t="s">
        <v>512</v>
      </c>
      <c r="E270">
        <v>7506</v>
      </c>
      <c r="F270" s="115" t="s">
        <v>890</v>
      </c>
      <c r="G270" s="115" t="s">
        <v>508</v>
      </c>
      <c r="H270" s="115" t="s">
        <v>526</v>
      </c>
      <c r="I270">
        <v>78</v>
      </c>
    </row>
    <row r="271" spans="1:10">
      <c r="A271" s="115" t="s">
        <v>886</v>
      </c>
      <c r="B271" s="115" t="s">
        <v>504</v>
      </c>
      <c r="C271" s="115" t="s">
        <v>505</v>
      </c>
      <c r="D271" s="115" t="s">
        <v>506</v>
      </c>
      <c r="E271">
        <v>7859</v>
      </c>
      <c r="F271" s="115" t="s">
        <v>891</v>
      </c>
      <c r="G271" s="115" t="s">
        <v>521</v>
      </c>
      <c r="H271" s="115" t="s">
        <v>549</v>
      </c>
      <c r="I271">
        <v>26</v>
      </c>
    </row>
    <row r="272" spans="1:10">
      <c r="A272" s="115" t="s">
        <v>892</v>
      </c>
      <c r="B272" s="115" t="s">
        <v>773</v>
      </c>
      <c r="C272" s="115" t="s">
        <v>505</v>
      </c>
      <c r="D272" s="115" t="s">
        <v>506</v>
      </c>
      <c r="E272">
        <v>4502</v>
      </c>
      <c r="F272" s="115" t="s">
        <v>893</v>
      </c>
      <c r="G272" s="115" t="s">
        <v>508</v>
      </c>
      <c r="H272" s="115" t="s">
        <v>663</v>
      </c>
      <c r="I272" s="115" t="s">
        <v>894</v>
      </c>
      <c r="J272" s="115" t="s">
        <v>895</v>
      </c>
    </row>
    <row r="273" spans="1:10">
      <c r="A273" s="115" t="s">
        <v>892</v>
      </c>
      <c r="B273" s="115" t="s">
        <v>504</v>
      </c>
      <c r="C273" s="115" t="s">
        <v>519</v>
      </c>
      <c r="D273" s="115" t="s">
        <v>512</v>
      </c>
      <c r="E273">
        <v>2268</v>
      </c>
      <c r="F273" s="115" t="s">
        <v>896</v>
      </c>
      <c r="G273" s="115" t="s">
        <v>514</v>
      </c>
      <c r="H273" s="115" t="s">
        <v>509</v>
      </c>
      <c r="I273">
        <v>387</v>
      </c>
    </row>
    <row r="274" spans="1:10">
      <c r="A274" s="115" t="s">
        <v>892</v>
      </c>
      <c r="B274" s="115" t="s">
        <v>504</v>
      </c>
      <c r="C274" s="115" t="s">
        <v>505</v>
      </c>
      <c r="D274" s="115" t="s">
        <v>506</v>
      </c>
      <c r="E274">
        <v>6151</v>
      </c>
      <c r="F274" s="115" t="s">
        <v>897</v>
      </c>
      <c r="G274" s="115" t="s">
        <v>508</v>
      </c>
      <c r="H274" s="115" t="s">
        <v>547</v>
      </c>
      <c r="I274">
        <v>506</v>
      </c>
    </row>
    <row r="275" spans="1:10">
      <c r="A275" s="115" t="s">
        <v>892</v>
      </c>
      <c r="B275" s="115" t="s">
        <v>504</v>
      </c>
      <c r="C275" s="115" t="s">
        <v>505</v>
      </c>
      <c r="D275" s="115" t="s">
        <v>506</v>
      </c>
      <c r="E275">
        <v>7419</v>
      </c>
      <c r="F275" s="115" t="s">
        <v>898</v>
      </c>
      <c r="G275" s="115" t="s">
        <v>508</v>
      </c>
      <c r="H275" s="115" t="s">
        <v>526</v>
      </c>
      <c r="I275" s="115" t="s">
        <v>593</v>
      </c>
      <c r="J275" s="115" t="s">
        <v>899</v>
      </c>
    </row>
    <row r="276" spans="1:10">
      <c r="A276" s="115" t="s">
        <v>900</v>
      </c>
      <c r="B276" s="115" t="s">
        <v>504</v>
      </c>
      <c r="C276" s="115" t="s">
        <v>505</v>
      </c>
      <c r="D276" s="115" t="s">
        <v>506</v>
      </c>
      <c r="E276">
        <v>2130</v>
      </c>
      <c r="F276" s="115" t="s">
        <v>901</v>
      </c>
      <c r="G276" s="115" t="s">
        <v>508</v>
      </c>
      <c r="H276" s="115" t="s">
        <v>515</v>
      </c>
      <c r="I276">
        <v>326</v>
      </c>
    </row>
    <row r="277" spans="1:10">
      <c r="A277" s="115" t="s">
        <v>900</v>
      </c>
      <c r="B277" s="115" t="s">
        <v>504</v>
      </c>
      <c r="C277" s="115" t="s">
        <v>505</v>
      </c>
      <c r="D277" s="115" t="s">
        <v>512</v>
      </c>
      <c r="E277">
        <v>6678</v>
      </c>
      <c r="F277" s="115" t="s">
        <v>902</v>
      </c>
      <c r="G277" s="115" t="s">
        <v>508</v>
      </c>
      <c r="H277" s="115" t="s">
        <v>561</v>
      </c>
      <c r="I277">
        <v>183</v>
      </c>
    </row>
    <row r="278" spans="1:10">
      <c r="A278" s="115" t="s">
        <v>900</v>
      </c>
      <c r="B278" s="115" t="s">
        <v>504</v>
      </c>
      <c r="C278" s="115" t="s">
        <v>505</v>
      </c>
      <c r="D278" s="115" t="s">
        <v>506</v>
      </c>
      <c r="E278">
        <v>6875</v>
      </c>
      <c r="F278" s="115" t="s">
        <v>903</v>
      </c>
      <c r="G278" s="115" t="s">
        <v>508</v>
      </c>
      <c r="H278" s="115" t="s">
        <v>561</v>
      </c>
      <c r="I278">
        <v>565</v>
      </c>
    </row>
    <row r="279" spans="1:10">
      <c r="A279" s="115" t="s">
        <v>904</v>
      </c>
      <c r="B279" s="115" t="s">
        <v>504</v>
      </c>
      <c r="C279" s="115" t="s">
        <v>505</v>
      </c>
      <c r="D279" s="115" t="s">
        <v>506</v>
      </c>
      <c r="E279">
        <v>2372</v>
      </c>
      <c r="F279" s="115" t="s">
        <v>905</v>
      </c>
      <c r="G279" s="115" t="s">
        <v>508</v>
      </c>
      <c r="H279" s="115" t="s">
        <v>515</v>
      </c>
      <c r="I279">
        <v>178</v>
      </c>
    </row>
    <row r="280" spans="1:10">
      <c r="A280" s="115" t="s">
        <v>904</v>
      </c>
      <c r="B280" s="115" t="s">
        <v>504</v>
      </c>
      <c r="C280" s="115" t="s">
        <v>524</v>
      </c>
      <c r="D280" s="115" t="s">
        <v>506</v>
      </c>
      <c r="E280">
        <v>3242</v>
      </c>
      <c r="F280" s="115" t="s">
        <v>906</v>
      </c>
      <c r="G280" s="115" t="s">
        <v>514</v>
      </c>
      <c r="H280" s="115" t="s">
        <v>563</v>
      </c>
      <c r="I280">
        <v>91</v>
      </c>
    </row>
    <row r="281" spans="1:10">
      <c r="A281" s="115" t="s">
        <v>904</v>
      </c>
      <c r="B281" s="115" t="s">
        <v>504</v>
      </c>
      <c r="C281" s="115" t="s">
        <v>505</v>
      </c>
      <c r="D281" s="115" t="s">
        <v>506</v>
      </c>
      <c r="E281">
        <v>4626</v>
      </c>
      <c r="F281" s="115" t="s">
        <v>907</v>
      </c>
      <c r="G281" s="115" t="s">
        <v>508</v>
      </c>
      <c r="H281" s="115" t="s">
        <v>532</v>
      </c>
      <c r="I281" s="115" t="s">
        <v>593</v>
      </c>
      <c r="J281" s="115" t="s">
        <v>908</v>
      </c>
    </row>
    <row r="282" spans="1:10">
      <c r="A282" s="115" t="s">
        <v>904</v>
      </c>
      <c r="B282" s="115" t="s">
        <v>504</v>
      </c>
      <c r="C282" s="115" t="s">
        <v>505</v>
      </c>
      <c r="D282" s="115" t="s">
        <v>506</v>
      </c>
      <c r="E282">
        <v>6569</v>
      </c>
      <c r="F282" s="115" t="s">
        <v>909</v>
      </c>
      <c r="G282" s="115" t="s">
        <v>508</v>
      </c>
      <c r="H282" s="115" t="s">
        <v>515</v>
      </c>
      <c r="I282">
        <v>383</v>
      </c>
    </row>
    <row r="283" spans="1:10">
      <c r="A283" s="115" t="s">
        <v>904</v>
      </c>
      <c r="B283" s="115" t="s">
        <v>504</v>
      </c>
      <c r="C283" s="115" t="s">
        <v>505</v>
      </c>
      <c r="D283" s="115" t="s">
        <v>506</v>
      </c>
      <c r="E283">
        <v>7703</v>
      </c>
      <c r="F283" s="115" t="s">
        <v>910</v>
      </c>
      <c r="G283" s="115" t="s">
        <v>521</v>
      </c>
      <c r="H283" s="115" t="s">
        <v>828</v>
      </c>
      <c r="I283">
        <v>200</v>
      </c>
    </row>
    <row r="284" spans="1:10">
      <c r="A284" s="115" t="s">
        <v>904</v>
      </c>
      <c r="B284" s="115" t="s">
        <v>504</v>
      </c>
      <c r="C284" s="115" t="s">
        <v>505</v>
      </c>
      <c r="D284" s="115" t="s">
        <v>506</v>
      </c>
      <c r="E284">
        <v>7952</v>
      </c>
      <c r="F284" s="115" t="s">
        <v>911</v>
      </c>
      <c r="G284" s="115" t="s">
        <v>508</v>
      </c>
      <c r="H284" s="115" t="s">
        <v>549</v>
      </c>
      <c r="I284">
        <v>331</v>
      </c>
    </row>
    <row r="285" spans="1:10">
      <c r="A285" s="115" t="s">
        <v>912</v>
      </c>
      <c r="B285" s="115" t="s">
        <v>504</v>
      </c>
      <c r="C285" s="115" t="s">
        <v>505</v>
      </c>
      <c r="D285" s="115" t="s">
        <v>506</v>
      </c>
      <c r="E285">
        <v>1801</v>
      </c>
      <c r="F285" s="115" t="s">
        <v>913</v>
      </c>
      <c r="G285" s="115" t="s">
        <v>508</v>
      </c>
      <c r="H285" s="115" t="s">
        <v>571</v>
      </c>
      <c r="I285" s="115" t="s">
        <v>914</v>
      </c>
      <c r="J285" s="115" t="s">
        <v>915</v>
      </c>
    </row>
    <row r="286" spans="1:10">
      <c r="A286" s="115" t="s">
        <v>912</v>
      </c>
      <c r="B286" s="115" t="s">
        <v>504</v>
      </c>
      <c r="C286" s="115" t="s">
        <v>505</v>
      </c>
      <c r="D286" s="115" t="s">
        <v>506</v>
      </c>
      <c r="E286">
        <v>1813</v>
      </c>
      <c r="F286" s="115" t="s">
        <v>916</v>
      </c>
      <c r="G286" s="115" t="s">
        <v>508</v>
      </c>
      <c r="H286" s="115" t="s">
        <v>571</v>
      </c>
      <c r="I286">
        <v>251</v>
      </c>
    </row>
    <row r="287" spans="1:10">
      <c r="A287" s="115" t="s">
        <v>912</v>
      </c>
      <c r="B287" s="115" t="s">
        <v>504</v>
      </c>
      <c r="C287" s="115" t="s">
        <v>505</v>
      </c>
      <c r="D287" s="115" t="s">
        <v>506</v>
      </c>
      <c r="E287">
        <v>1835</v>
      </c>
      <c r="F287" s="115" t="s">
        <v>917</v>
      </c>
      <c r="G287" s="115" t="s">
        <v>508</v>
      </c>
      <c r="H287" s="115" t="s">
        <v>571</v>
      </c>
      <c r="I287" s="115" t="s">
        <v>593</v>
      </c>
      <c r="J287" s="115" t="s">
        <v>918</v>
      </c>
    </row>
    <row r="288" spans="1:10">
      <c r="A288" s="115" t="s">
        <v>912</v>
      </c>
      <c r="B288" s="115" t="s">
        <v>504</v>
      </c>
      <c r="C288" s="115" t="s">
        <v>505</v>
      </c>
      <c r="D288" s="115" t="s">
        <v>512</v>
      </c>
      <c r="E288">
        <v>1853</v>
      </c>
      <c r="F288" s="115" t="s">
        <v>919</v>
      </c>
      <c r="G288" s="115" t="s">
        <v>521</v>
      </c>
      <c r="H288" s="115" t="s">
        <v>571</v>
      </c>
      <c r="I288">
        <v>100</v>
      </c>
    </row>
    <row r="289" spans="1:10">
      <c r="A289" s="115" t="s">
        <v>912</v>
      </c>
      <c r="B289" s="115" t="s">
        <v>504</v>
      </c>
      <c r="C289" s="115" t="s">
        <v>505</v>
      </c>
      <c r="D289" s="115" t="s">
        <v>506</v>
      </c>
      <c r="E289">
        <v>1909</v>
      </c>
      <c r="F289" s="115" t="s">
        <v>920</v>
      </c>
      <c r="G289" s="115" t="s">
        <v>508</v>
      </c>
      <c r="H289" s="115" t="s">
        <v>547</v>
      </c>
      <c r="I289">
        <v>98</v>
      </c>
    </row>
    <row r="290" spans="1:10">
      <c r="A290" s="115" t="s">
        <v>912</v>
      </c>
      <c r="B290" s="115" t="s">
        <v>504</v>
      </c>
      <c r="C290" s="115" t="s">
        <v>505</v>
      </c>
      <c r="D290" s="115" t="s">
        <v>506</v>
      </c>
      <c r="E290">
        <v>1961</v>
      </c>
      <c r="F290" s="115" t="s">
        <v>921</v>
      </c>
      <c r="G290" s="115" t="s">
        <v>508</v>
      </c>
      <c r="H290" s="115" t="s">
        <v>571</v>
      </c>
      <c r="I290">
        <v>874</v>
      </c>
    </row>
    <row r="291" spans="1:10">
      <c r="A291" s="115" t="s">
        <v>912</v>
      </c>
      <c r="B291" s="115" t="s">
        <v>504</v>
      </c>
      <c r="C291" s="115" t="s">
        <v>505</v>
      </c>
      <c r="D291" s="115" t="s">
        <v>506</v>
      </c>
      <c r="E291">
        <v>1969</v>
      </c>
      <c r="F291" s="115" t="s">
        <v>922</v>
      </c>
      <c r="G291" s="115" t="s">
        <v>508</v>
      </c>
      <c r="H291" s="115" t="s">
        <v>571</v>
      </c>
      <c r="I291" s="115" t="s">
        <v>593</v>
      </c>
      <c r="J291" s="115" t="s">
        <v>923</v>
      </c>
    </row>
    <row r="292" spans="1:10">
      <c r="A292" s="115" t="s">
        <v>912</v>
      </c>
      <c r="B292" s="115" t="s">
        <v>504</v>
      </c>
      <c r="C292" s="115" t="s">
        <v>505</v>
      </c>
      <c r="D292" s="115" t="s">
        <v>506</v>
      </c>
      <c r="E292">
        <v>2815</v>
      </c>
      <c r="F292" s="115" t="s">
        <v>924</v>
      </c>
      <c r="G292" s="115" t="s">
        <v>508</v>
      </c>
      <c r="H292" s="115" t="s">
        <v>509</v>
      </c>
      <c r="I292" s="115" t="s">
        <v>552</v>
      </c>
      <c r="J292" s="115" t="s">
        <v>925</v>
      </c>
    </row>
    <row r="293" spans="1:10">
      <c r="A293" s="115" t="s">
        <v>912</v>
      </c>
      <c r="B293" s="115" t="s">
        <v>504</v>
      </c>
      <c r="C293" s="115" t="s">
        <v>505</v>
      </c>
      <c r="D293" s="115" t="s">
        <v>506</v>
      </c>
      <c r="E293">
        <v>3109</v>
      </c>
      <c r="F293" s="115" t="s">
        <v>926</v>
      </c>
      <c r="G293" s="115" t="s">
        <v>508</v>
      </c>
      <c r="H293" s="115" t="s">
        <v>605</v>
      </c>
      <c r="I293">
        <v>111</v>
      </c>
    </row>
    <row r="294" spans="1:10">
      <c r="A294" s="115" t="s">
        <v>912</v>
      </c>
      <c r="B294" s="115" t="s">
        <v>504</v>
      </c>
      <c r="C294" s="115" t="s">
        <v>505</v>
      </c>
      <c r="D294" s="115" t="s">
        <v>506</v>
      </c>
      <c r="E294">
        <v>3766</v>
      </c>
      <c r="F294" s="115" t="s">
        <v>927</v>
      </c>
      <c r="G294" s="115" t="s">
        <v>514</v>
      </c>
      <c r="H294" s="115" t="s">
        <v>528</v>
      </c>
      <c r="I294">
        <v>24</v>
      </c>
    </row>
    <row r="295" spans="1:10">
      <c r="A295" s="115" t="s">
        <v>912</v>
      </c>
      <c r="B295" s="115" t="s">
        <v>504</v>
      </c>
      <c r="C295" s="115" t="s">
        <v>505</v>
      </c>
      <c r="D295" s="115" t="s">
        <v>506</v>
      </c>
      <c r="E295">
        <v>4540</v>
      </c>
      <c r="F295" s="115" t="s">
        <v>928</v>
      </c>
      <c r="G295" s="115" t="s">
        <v>508</v>
      </c>
      <c r="H295" s="115" t="s">
        <v>663</v>
      </c>
      <c r="I295" s="115" t="s">
        <v>552</v>
      </c>
      <c r="J295" s="115" t="s">
        <v>929</v>
      </c>
    </row>
    <row r="296" spans="1:10">
      <c r="A296" s="115" t="s">
        <v>912</v>
      </c>
      <c r="B296" s="115" t="s">
        <v>504</v>
      </c>
      <c r="C296" s="115" t="s">
        <v>519</v>
      </c>
      <c r="D296" s="115" t="s">
        <v>512</v>
      </c>
      <c r="E296">
        <v>4588</v>
      </c>
      <c r="F296" s="115" t="s">
        <v>930</v>
      </c>
      <c r="G296" s="115" t="s">
        <v>530</v>
      </c>
      <c r="H296" s="115" t="s">
        <v>663</v>
      </c>
      <c r="I296">
        <v>278</v>
      </c>
    </row>
    <row r="297" spans="1:10">
      <c r="A297" s="115" t="s">
        <v>912</v>
      </c>
      <c r="B297" s="115" t="s">
        <v>504</v>
      </c>
      <c r="C297" s="115" t="s">
        <v>505</v>
      </c>
      <c r="D297" s="115" t="s">
        <v>506</v>
      </c>
      <c r="E297">
        <v>4777</v>
      </c>
      <c r="F297" s="115" t="s">
        <v>931</v>
      </c>
      <c r="G297" s="115" t="s">
        <v>514</v>
      </c>
      <c r="H297" s="115" t="s">
        <v>528</v>
      </c>
      <c r="I297">
        <v>53</v>
      </c>
    </row>
    <row r="298" spans="1:10">
      <c r="A298" s="115" t="s">
        <v>912</v>
      </c>
      <c r="B298" s="115" t="s">
        <v>504</v>
      </c>
      <c r="C298" s="115" t="s">
        <v>505</v>
      </c>
      <c r="D298" s="115" t="s">
        <v>506</v>
      </c>
      <c r="E298">
        <v>5713</v>
      </c>
      <c r="F298" s="115" t="s">
        <v>932</v>
      </c>
      <c r="G298" s="115" t="s">
        <v>508</v>
      </c>
      <c r="H298" s="115" t="s">
        <v>873</v>
      </c>
      <c r="I298" s="115" t="s">
        <v>914</v>
      </c>
      <c r="J298" s="115" t="s">
        <v>933</v>
      </c>
    </row>
    <row r="299" spans="1:10">
      <c r="A299" s="115" t="s">
        <v>912</v>
      </c>
      <c r="B299" s="115" t="s">
        <v>504</v>
      </c>
      <c r="C299" s="115" t="s">
        <v>505</v>
      </c>
      <c r="D299" s="115" t="s">
        <v>506</v>
      </c>
      <c r="E299">
        <v>6485</v>
      </c>
      <c r="F299" s="115" t="s">
        <v>934</v>
      </c>
      <c r="G299" s="115" t="s">
        <v>508</v>
      </c>
      <c r="H299" s="115" t="s">
        <v>547</v>
      </c>
      <c r="I299">
        <v>259</v>
      </c>
    </row>
    <row r="300" spans="1:10">
      <c r="A300" s="115" t="s">
        <v>912</v>
      </c>
      <c r="B300" s="115" t="s">
        <v>504</v>
      </c>
      <c r="C300" s="115" t="s">
        <v>519</v>
      </c>
      <c r="D300" s="115" t="s">
        <v>506</v>
      </c>
      <c r="E300">
        <v>6929</v>
      </c>
      <c r="F300" s="115" t="s">
        <v>935</v>
      </c>
      <c r="G300" s="115" t="s">
        <v>508</v>
      </c>
      <c r="H300" s="115" t="s">
        <v>561</v>
      </c>
      <c r="I300">
        <v>747</v>
      </c>
    </row>
    <row r="301" spans="1:10">
      <c r="A301" s="115" t="s">
        <v>912</v>
      </c>
      <c r="B301" s="115" t="s">
        <v>504</v>
      </c>
      <c r="C301" s="115" t="s">
        <v>505</v>
      </c>
      <c r="D301" s="115" t="s">
        <v>506</v>
      </c>
      <c r="E301">
        <v>7480</v>
      </c>
      <c r="F301" s="115" t="s">
        <v>936</v>
      </c>
      <c r="G301" s="115" t="s">
        <v>508</v>
      </c>
      <c r="H301" s="115" t="s">
        <v>517</v>
      </c>
      <c r="I301">
        <v>209</v>
      </c>
    </row>
    <row r="302" spans="1:10">
      <c r="A302" s="115" t="s">
        <v>912</v>
      </c>
      <c r="B302" s="115" t="s">
        <v>504</v>
      </c>
      <c r="C302" s="115" t="s">
        <v>505</v>
      </c>
      <c r="D302" s="115" t="s">
        <v>506</v>
      </c>
      <c r="E302">
        <v>9880</v>
      </c>
      <c r="F302" s="115" t="s">
        <v>937</v>
      </c>
      <c r="G302" s="115" t="s">
        <v>508</v>
      </c>
      <c r="H302" s="115" t="s">
        <v>517</v>
      </c>
      <c r="I302">
        <v>168</v>
      </c>
    </row>
    <row r="303" spans="1:10">
      <c r="A303" s="115" t="s">
        <v>912</v>
      </c>
      <c r="B303" s="115" t="s">
        <v>504</v>
      </c>
      <c r="C303" s="115" t="s">
        <v>505</v>
      </c>
      <c r="D303" s="115" t="s">
        <v>506</v>
      </c>
      <c r="E303">
        <v>9994</v>
      </c>
      <c r="F303" s="115" t="s">
        <v>938</v>
      </c>
      <c r="G303" s="115" t="s">
        <v>508</v>
      </c>
      <c r="H303" s="115" t="s">
        <v>526</v>
      </c>
      <c r="I303">
        <v>240</v>
      </c>
    </row>
    <row r="304" spans="1:10">
      <c r="A304" s="115" t="s">
        <v>939</v>
      </c>
      <c r="B304" s="115" t="s">
        <v>504</v>
      </c>
      <c r="C304" s="115" t="s">
        <v>505</v>
      </c>
      <c r="D304" s="115" t="s">
        <v>506</v>
      </c>
      <c r="E304">
        <v>1979</v>
      </c>
      <c r="F304" s="115" t="s">
        <v>940</v>
      </c>
      <c r="G304" s="115" t="s">
        <v>508</v>
      </c>
      <c r="H304" s="115" t="s">
        <v>571</v>
      </c>
      <c r="I304" s="115" t="s">
        <v>593</v>
      </c>
      <c r="J304" s="115" t="s">
        <v>941</v>
      </c>
    </row>
    <row r="305" spans="1:10">
      <c r="A305" s="115" t="s">
        <v>939</v>
      </c>
      <c r="B305" s="115" t="s">
        <v>504</v>
      </c>
      <c r="C305" s="115" t="s">
        <v>505</v>
      </c>
      <c r="D305" s="115" t="s">
        <v>506</v>
      </c>
      <c r="E305">
        <v>8108</v>
      </c>
      <c r="F305" s="115" t="s">
        <v>942</v>
      </c>
      <c r="G305" s="115" t="s">
        <v>943</v>
      </c>
      <c r="H305" s="115" t="s">
        <v>517</v>
      </c>
      <c r="I305">
        <v>267</v>
      </c>
    </row>
    <row r="306" spans="1:10">
      <c r="A306" s="115" t="s">
        <v>944</v>
      </c>
      <c r="B306" s="115" t="s">
        <v>504</v>
      </c>
      <c r="C306" s="115" t="s">
        <v>505</v>
      </c>
      <c r="D306" s="115" t="s">
        <v>506</v>
      </c>
      <c r="E306">
        <v>1762</v>
      </c>
      <c r="F306" s="115" t="s">
        <v>945</v>
      </c>
      <c r="G306" s="115" t="s">
        <v>508</v>
      </c>
      <c r="H306" s="115" t="s">
        <v>571</v>
      </c>
      <c r="I306" s="115" t="s">
        <v>593</v>
      </c>
      <c r="J306" s="115" t="s">
        <v>946</v>
      </c>
    </row>
    <row r="307" spans="1:10">
      <c r="A307" s="115" t="s">
        <v>944</v>
      </c>
      <c r="B307" s="115" t="s">
        <v>504</v>
      </c>
      <c r="C307" s="115" t="s">
        <v>505</v>
      </c>
      <c r="D307" s="115" t="s">
        <v>506</v>
      </c>
      <c r="E307">
        <v>1821</v>
      </c>
      <c r="F307" s="115" t="s">
        <v>947</v>
      </c>
      <c r="G307" s="115" t="s">
        <v>508</v>
      </c>
      <c r="H307" s="115" t="s">
        <v>571</v>
      </c>
      <c r="I307">
        <v>987</v>
      </c>
    </row>
    <row r="308" spans="1:10">
      <c r="A308" s="115" t="s">
        <v>944</v>
      </c>
      <c r="B308" s="115" t="s">
        <v>504</v>
      </c>
      <c r="C308" s="115" t="s">
        <v>505</v>
      </c>
      <c r="D308" s="115" t="s">
        <v>506</v>
      </c>
      <c r="E308">
        <v>2705</v>
      </c>
      <c r="F308" s="115" t="s">
        <v>948</v>
      </c>
      <c r="G308" s="115" t="s">
        <v>514</v>
      </c>
      <c r="H308" s="115" t="s">
        <v>526</v>
      </c>
      <c r="I308">
        <v>176</v>
      </c>
    </row>
    <row r="309" spans="1:10">
      <c r="A309" s="115" t="s">
        <v>944</v>
      </c>
      <c r="B309" s="115" t="s">
        <v>504</v>
      </c>
      <c r="C309" s="115" t="s">
        <v>505</v>
      </c>
      <c r="D309" s="115" t="s">
        <v>506</v>
      </c>
      <c r="E309">
        <v>5714</v>
      </c>
      <c r="F309" s="115" t="s">
        <v>949</v>
      </c>
      <c r="G309" s="115" t="s">
        <v>508</v>
      </c>
      <c r="H309" s="115" t="s">
        <v>873</v>
      </c>
      <c r="I309" s="115" t="s">
        <v>552</v>
      </c>
      <c r="J309" s="115" t="s">
        <v>950</v>
      </c>
    </row>
    <row r="310" spans="1:10">
      <c r="A310" s="115" t="s">
        <v>944</v>
      </c>
      <c r="B310" s="115" t="s">
        <v>504</v>
      </c>
      <c r="C310" s="115" t="s">
        <v>505</v>
      </c>
      <c r="D310" s="115" t="s">
        <v>506</v>
      </c>
      <c r="E310">
        <v>7294</v>
      </c>
      <c r="F310" s="115" t="s">
        <v>951</v>
      </c>
      <c r="G310" s="115" t="s">
        <v>508</v>
      </c>
      <c r="H310" s="115" t="s">
        <v>589</v>
      </c>
      <c r="I310">
        <v>363</v>
      </c>
    </row>
    <row r="311" spans="1:10">
      <c r="A311" s="115" t="s">
        <v>944</v>
      </c>
      <c r="B311" s="115" t="s">
        <v>504</v>
      </c>
      <c r="C311" s="115" t="s">
        <v>505</v>
      </c>
      <c r="D311" s="115" t="s">
        <v>506</v>
      </c>
      <c r="E311">
        <v>9964</v>
      </c>
      <c r="F311" s="115" t="s">
        <v>952</v>
      </c>
      <c r="G311" s="115" t="s">
        <v>514</v>
      </c>
      <c r="H311" s="115" t="s">
        <v>517</v>
      </c>
      <c r="I311">
        <v>217</v>
      </c>
    </row>
    <row r="312" spans="1:10">
      <c r="A312" s="115" t="s">
        <v>953</v>
      </c>
      <c r="B312" s="115" t="s">
        <v>504</v>
      </c>
      <c r="C312" s="115" t="s">
        <v>505</v>
      </c>
      <c r="D312" s="115" t="s">
        <v>506</v>
      </c>
      <c r="E312">
        <v>1384</v>
      </c>
      <c r="F312" s="115" t="s">
        <v>954</v>
      </c>
      <c r="G312" s="115" t="s">
        <v>508</v>
      </c>
      <c r="H312" s="115" t="s">
        <v>682</v>
      </c>
      <c r="I312">
        <v>59</v>
      </c>
    </row>
    <row r="313" spans="1:10">
      <c r="A313" s="115" t="s">
        <v>953</v>
      </c>
      <c r="B313" s="115" t="s">
        <v>504</v>
      </c>
      <c r="C313" s="115" t="s">
        <v>519</v>
      </c>
      <c r="D313" s="115" t="s">
        <v>506</v>
      </c>
      <c r="E313">
        <v>2150</v>
      </c>
      <c r="F313" s="115" t="s">
        <v>955</v>
      </c>
      <c r="G313" s="115" t="s">
        <v>530</v>
      </c>
      <c r="H313" s="115" t="s">
        <v>515</v>
      </c>
      <c r="I313">
        <v>91</v>
      </c>
    </row>
    <row r="314" spans="1:10">
      <c r="A314" s="115" t="s">
        <v>953</v>
      </c>
      <c r="B314" s="115" t="s">
        <v>504</v>
      </c>
      <c r="C314" s="115" t="s">
        <v>519</v>
      </c>
      <c r="D314" s="115" t="s">
        <v>506</v>
      </c>
      <c r="E314">
        <v>2170</v>
      </c>
      <c r="F314" s="115" t="s">
        <v>956</v>
      </c>
      <c r="G314" s="115" t="s">
        <v>508</v>
      </c>
      <c r="H314" s="115" t="s">
        <v>515</v>
      </c>
      <c r="I314">
        <v>840</v>
      </c>
    </row>
    <row r="315" spans="1:10">
      <c r="A315" s="115" t="s">
        <v>953</v>
      </c>
      <c r="B315" s="115" t="s">
        <v>504</v>
      </c>
      <c r="C315" s="115" t="s">
        <v>505</v>
      </c>
      <c r="D315" s="115" t="s">
        <v>506</v>
      </c>
      <c r="E315">
        <v>2654</v>
      </c>
      <c r="F315" s="115" t="s">
        <v>957</v>
      </c>
      <c r="G315" s="115" t="s">
        <v>521</v>
      </c>
      <c r="H315" s="115" t="s">
        <v>526</v>
      </c>
      <c r="I315">
        <v>83</v>
      </c>
    </row>
    <row r="316" spans="1:10">
      <c r="A316" s="115" t="s">
        <v>953</v>
      </c>
      <c r="B316" s="115" t="s">
        <v>504</v>
      </c>
      <c r="C316" s="115" t="s">
        <v>505</v>
      </c>
      <c r="D316" s="115" t="s">
        <v>506</v>
      </c>
      <c r="E316">
        <v>3182</v>
      </c>
      <c r="F316" s="115" t="s">
        <v>958</v>
      </c>
      <c r="G316" s="115" t="s">
        <v>530</v>
      </c>
      <c r="H316" s="115" t="s">
        <v>526</v>
      </c>
      <c r="I316">
        <v>467</v>
      </c>
    </row>
    <row r="317" spans="1:10">
      <c r="A317" s="115" t="s">
        <v>953</v>
      </c>
      <c r="B317" s="115" t="s">
        <v>504</v>
      </c>
      <c r="C317" s="115" t="s">
        <v>505</v>
      </c>
      <c r="D317" s="115" t="s">
        <v>506</v>
      </c>
      <c r="E317">
        <v>3934</v>
      </c>
      <c r="F317" s="115" t="s">
        <v>959</v>
      </c>
      <c r="G317" s="115" t="s">
        <v>508</v>
      </c>
      <c r="H317" s="115" t="s">
        <v>528</v>
      </c>
      <c r="I317">
        <v>92</v>
      </c>
    </row>
    <row r="318" spans="1:10">
      <c r="A318" s="115" t="s">
        <v>953</v>
      </c>
      <c r="B318" s="115" t="s">
        <v>504</v>
      </c>
      <c r="C318" s="115" t="s">
        <v>524</v>
      </c>
      <c r="D318" s="115" t="s">
        <v>506</v>
      </c>
      <c r="E318">
        <v>3960</v>
      </c>
      <c r="F318" s="115" t="s">
        <v>960</v>
      </c>
      <c r="G318" s="115" t="s">
        <v>530</v>
      </c>
      <c r="H318" s="115" t="s">
        <v>528</v>
      </c>
      <c r="I318">
        <v>26</v>
      </c>
    </row>
    <row r="319" spans="1:10">
      <c r="A319" s="115" t="s">
        <v>953</v>
      </c>
      <c r="B319" s="115" t="s">
        <v>504</v>
      </c>
      <c r="C319" s="115" t="s">
        <v>519</v>
      </c>
      <c r="D319" s="115" t="s">
        <v>506</v>
      </c>
      <c r="E319">
        <v>4755</v>
      </c>
      <c r="F319" s="115" t="s">
        <v>961</v>
      </c>
      <c r="G319" s="115" t="s">
        <v>508</v>
      </c>
      <c r="H319" s="115" t="s">
        <v>515</v>
      </c>
      <c r="I319" s="115" t="s">
        <v>962</v>
      </c>
      <c r="J319" s="115" t="s">
        <v>963</v>
      </c>
    </row>
    <row r="320" spans="1:10">
      <c r="A320" s="115" t="s">
        <v>953</v>
      </c>
      <c r="B320" s="115" t="s">
        <v>504</v>
      </c>
      <c r="C320" s="115" t="s">
        <v>505</v>
      </c>
      <c r="D320" s="115" t="s">
        <v>506</v>
      </c>
      <c r="E320">
        <v>5304</v>
      </c>
      <c r="F320" s="115" t="s">
        <v>964</v>
      </c>
      <c r="G320" s="115" t="s">
        <v>521</v>
      </c>
      <c r="H320" s="115" t="s">
        <v>647</v>
      </c>
      <c r="I320">
        <v>376</v>
      </c>
    </row>
    <row r="321" spans="1:10">
      <c r="A321" s="115" t="s">
        <v>953</v>
      </c>
      <c r="B321" s="115" t="s">
        <v>504</v>
      </c>
      <c r="C321" s="115" t="s">
        <v>505</v>
      </c>
      <c r="D321" s="115" t="s">
        <v>506</v>
      </c>
      <c r="E321">
        <v>6033</v>
      </c>
      <c r="F321" s="115" t="s">
        <v>965</v>
      </c>
      <c r="G321" s="115" t="s">
        <v>530</v>
      </c>
      <c r="H321" s="115" t="s">
        <v>515</v>
      </c>
      <c r="I321">
        <v>110</v>
      </c>
    </row>
    <row r="322" spans="1:10">
      <c r="A322" s="115" t="s">
        <v>953</v>
      </c>
      <c r="B322" s="115" t="s">
        <v>504</v>
      </c>
      <c r="C322" s="115" t="s">
        <v>505</v>
      </c>
      <c r="D322" s="115" t="s">
        <v>506</v>
      </c>
      <c r="E322">
        <v>7070</v>
      </c>
      <c r="F322" s="115" t="s">
        <v>966</v>
      </c>
      <c r="G322" s="115" t="s">
        <v>514</v>
      </c>
      <c r="H322" s="115" t="s">
        <v>515</v>
      </c>
      <c r="I322">
        <v>44</v>
      </c>
    </row>
    <row r="323" spans="1:10">
      <c r="A323" s="115" t="s">
        <v>953</v>
      </c>
      <c r="B323" s="115" t="s">
        <v>504</v>
      </c>
      <c r="C323" s="115" t="s">
        <v>505</v>
      </c>
      <c r="D323" s="115" t="s">
        <v>506</v>
      </c>
      <c r="E323">
        <v>7780</v>
      </c>
      <c r="F323" s="115" t="s">
        <v>967</v>
      </c>
      <c r="G323" s="115" t="s">
        <v>508</v>
      </c>
      <c r="H323" s="115" t="s">
        <v>828</v>
      </c>
      <c r="I323" s="115" t="s">
        <v>593</v>
      </c>
      <c r="J323" s="115" t="s">
        <v>968</v>
      </c>
    </row>
    <row r="324" spans="1:10">
      <c r="A324" s="115" t="s">
        <v>953</v>
      </c>
      <c r="B324" s="115" t="s">
        <v>504</v>
      </c>
      <c r="C324" s="115" t="s">
        <v>505</v>
      </c>
      <c r="D324" s="115" t="s">
        <v>506</v>
      </c>
      <c r="E324">
        <v>9707</v>
      </c>
      <c r="F324" s="115" t="s">
        <v>969</v>
      </c>
      <c r="G324" s="115" t="s">
        <v>514</v>
      </c>
      <c r="H324" s="115" t="s">
        <v>515</v>
      </c>
      <c r="I324">
        <v>131</v>
      </c>
    </row>
    <row r="325" spans="1:10">
      <c r="A325" s="115" t="s">
        <v>970</v>
      </c>
      <c r="B325" s="115" t="s">
        <v>504</v>
      </c>
      <c r="C325" s="115" t="s">
        <v>524</v>
      </c>
      <c r="D325" s="115" t="s">
        <v>506</v>
      </c>
      <c r="E325">
        <v>3135</v>
      </c>
      <c r="F325" s="115" t="s">
        <v>971</v>
      </c>
      <c r="G325" s="115" t="s">
        <v>530</v>
      </c>
      <c r="H325" s="115" t="s">
        <v>526</v>
      </c>
      <c r="I325">
        <v>160</v>
      </c>
    </row>
    <row r="326" spans="1:10">
      <c r="A326" s="115" t="s">
        <v>970</v>
      </c>
      <c r="B326" s="115" t="s">
        <v>504</v>
      </c>
      <c r="C326" s="115" t="s">
        <v>505</v>
      </c>
      <c r="D326" s="115" t="s">
        <v>506</v>
      </c>
      <c r="E326">
        <v>4620</v>
      </c>
      <c r="F326" s="115" t="s">
        <v>972</v>
      </c>
      <c r="G326" s="115" t="s">
        <v>508</v>
      </c>
      <c r="H326" s="115" t="s">
        <v>532</v>
      </c>
      <c r="I326">
        <v>185</v>
      </c>
    </row>
    <row r="327" spans="1:10">
      <c r="A327" s="115" t="s">
        <v>970</v>
      </c>
      <c r="B327" s="115" t="s">
        <v>504</v>
      </c>
      <c r="C327" s="115" t="s">
        <v>519</v>
      </c>
      <c r="D327" s="115" t="s">
        <v>506</v>
      </c>
      <c r="E327">
        <v>6141</v>
      </c>
      <c r="F327" s="115" t="s">
        <v>973</v>
      </c>
      <c r="G327" s="115" t="s">
        <v>508</v>
      </c>
      <c r="H327" s="115" t="s">
        <v>547</v>
      </c>
      <c r="I327" s="115" t="s">
        <v>552</v>
      </c>
      <c r="J327" s="115" t="s">
        <v>974</v>
      </c>
    </row>
    <row r="328" spans="1:10">
      <c r="A328" s="115" t="s">
        <v>970</v>
      </c>
      <c r="B328" s="115" t="s">
        <v>504</v>
      </c>
      <c r="C328" s="115" t="s">
        <v>505</v>
      </c>
      <c r="D328" s="115" t="s">
        <v>506</v>
      </c>
      <c r="E328">
        <v>6247</v>
      </c>
      <c r="F328" s="115" t="s">
        <v>975</v>
      </c>
      <c r="G328" s="115" t="s">
        <v>508</v>
      </c>
      <c r="H328" s="115" t="s">
        <v>547</v>
      </c>
      <c r="I328">
        <v>332</v>
      </c>
    </row>
    <row r="329" spans="1:10">
      <c r="A329" s="115" t="s">
        <v>970</v>
      </c>
      <c r="B329" s="115" t="s">
        <v>504</v>
      </c>
      <c r="C329" s="115" t="s">
        <v>505</v>
      </c>
      <c r="D329" s="115" t="s">
        <v>506</v>
      </c>
      <c r="E329">
        <v>7199</v>
      </c>
      <c r="F329" s="115" t="s">
        <v>976</v>
      </c>
      <c r="G329" s="115" t="s">
        <v>508</v>
      </c>
      <c r="H329" s="115" t="s">
        <v>611</v>
      </c>
      <c r="I329">
        <v>328</v>
      </c>
    </row>
    <row r="330" spans="1:10">
      <c r="A330" s="115" t="s">
        <v>977</v>
      </c>
      <c r="B330" s="115" t="s">
        <v>504</v>
      </c>
      <c r="C330" s="115" t="s">
        <v>519</v>
      </c>
      <c r="D330" s="115" t="s">
        <v>512</v>
      </c>
      <c r="E330">
        <v>8985</v>
      </c>
      <c r="F330" s="115" t="s">
        <v>978</v>
      </c>
      <c r="G330" s="115" t="s">
        <v>626</v>
      </c>
      <c r="H330" s="115" t="s">
        <v>627</v>
      </c>
      <c r="I330" s="115" t="s">
        <v>796</v>
      </c>
      <c r="J330" s="115" t="s">
        <v>979</v>
      </c>
    </row>
    <row r="331" spans="1:10">
      <c r="A331" s="115" t="s">
        <v>980</v>
      </c>
      <c r="B331" s="115" t="s">
        <v>504</v>
      </c>
      <c r="C331" s="115" t="s">
        <v>505</v>
      </c>
      <c r="D331" s="115" t="s">
        <v>512</v>
      </c>
      <c r="E331">
        <v>1723</v>
      </c>
      <c r="F331" s="115" t="s">
        <v>981</v>
      </c>
      <c r="G331" s="115" t="s">
        <v>514</v>
      </c>
      <c r="H331" s="115" t="s">
        <v>571</v>
      </c>
      <c r="I331">
        <v>248</v>
      </c>
    </row>
    <row r="332" spans="1:10">
      <c r="A332" s="115" t="s">
        <v>980</v>
      </c>
      <c r="B332" s="115" t="s">
        <v>504</v>
      </c>
      <c r="C332" s="115" t="s">
        <v>505</v>
      </c>
      <c r="D332" s="115" t="s">
        <v>506</v>
      </c>
      <c r="E332">
        <v>1941</v>
      </c>
      <c r="F332" s="115" t="s">
        <v>982</v>
      </c>
      <c r="G332" s="115" t="s">
        <v>508</v>
      </c>
      <c r="H332" s="115" t="s">
        <v>571</v>
      </c>
      <c r="I332" s="115" t="s">
        <v>593</v>
      </c>
      <c r="J332" s="115" t="s">
        <v>983</v>
      </c>
    </row>
    <row r="333" spans="1:10">
      <c r="A333" s="115" t="s">
        <v>980</v>
      </c>
      <c r="B333" s="115" t="s">
        <v>504</v>
      </c>
      <c r="C333" s="115" t="s">
        <v>505</v>
      </c>
      <c r="D333" s="115" t="s">
        <v>506</v>
      </c>
      <c r="E333">
        <v>1946</v>
      </c>
      <c r="F333" s="115" t="s">
        <v>984</v>
      </c>
      <c r="G333" s="115" t="s">
        <v>508</v>
      </c>
      <c r="H333" s="115" t="s">
        <v>571</v>
      </c>
      <c r="I333">
        <v>709</v>
      </c>
    </row>
    <row r="334" spans="1:10">
      <c r="A334" s="115" t="s">
        <v>980</v>
      </c>
      <c r="B334" s="115" t="s">
        <v>504</v>
      </c>
      <c r="C334" s="115" t="s">
        <v>505</v>
      </c>
      <c r="D334" s="115" t="s">
        <v>506</v>
      </c>
      <c r="E334">
        <v>1959</v>
      </c>
      <c r="F334" s="115" t="s">
        <v>985</v>
      </c>
      <c r="G334" s="115" t="s">
        <v>508</v>
      </c>
      <c r="H334" s="115" t="s">
        <v>571</v>
      </c>
      <c r="I334" s="115" t="s">
        <v>552</v>
      </c>
      <c r="J334" s="115" t="s">
        <v>986</v>
      </c>
    </row>
    <row r="335" spans="1:10">
      <c r="A335" s="115" t="s">
        <v>980</v>
      </c>
      <c r="B335" s="115" t="s">
        <v>504</v>
      </c>
      <c r="C335" s="115" t="s">
        <v>505</v>
      </c>
      <c r="D335" s="115" t="s">
        <v>512</v>
      </c>
      <c r="E335">
        <v>2332</v>
      </c>
      <c r="F335" s="115" t="s">
        <v>987</v>
      </c>
      <c r="G335" s="115" t="s">
        <v>514</v>
      </c>
      <c r="H335" s="115" t="s">
        <v>528</v>
      </c>
      <c r="I335">
        <v>62</v>
      </c>
    </row>
    <row r="336" spans="1:10">
      <c r="A336" s="115" t="s">
        <v>980</v>
      </c>
      <c r="B336" s="115" t="s">
        <v>504</v>
      </c>
      <c r="C336" s="115" t="s">
        <v>505</v>
      </c>
      <c r="D336" s="115" t="s">
        <v>512</v>
      </c>
      <c r="E336">
        <v>3177</v>
      </c>
      <c r="F336" s="115" t="s">
        <v>988</v>
      </c>
      <c r="G336" s="115" t="s">
        <v>514</v>
      </c>
      <c r="H336" s="115" t="s">
        <v>526</v>
      </c>
      <c r="I336">
        <v>22</v>
      </c>
    </row>
    <row r="337" spans="1:10">
      <c r="A337" s="115" t="s">
        <v>980</v>
      </c>
      <c r="B337" s="115" t="s">
        <v>504</v>
      </c>
      <c r="C337" s="115" t="s">
        <v>505</v>
      </c>
      <c r="D337" s="115" t="s">
        <v>506</v>
      </c>
      <c r="E337">
        <v>3231</v>
      </c>
      <c r="F337" s="115" t="s">
        <v>989</v>
      </c>
      <c r="G337" s="115" t="s">
        <v>508</v>
      </c>
      <c r="H337" s="115" t="s">
        <v>563</v>
      </c>
      <c r="I337" s="115" t="s">
        <v>542</v>
      </c>
      <c r="J337" s="115" t="s">
        <v>990</v>
      </c>
    </row>
    <row r="338" spans="1:10">
      <c r="A338" s="115" t="s">
        <v>980</v>
      </c>
      <c r="B338" s="115" t="s">
        <v>504</v>
      </c>
      <c r="C338" s="115" t="s">
        <v>505</v>
      </c>
      <c r="D338" s="115" t="s">
        <v>512</v>
      </c>
      <c r="E338">
        <v>4333</v>
      </c>
      <c r="F338" s="115" t="s">
        <v>991</v>
      </c>
      <c r="G338" s="115" t="s">
        <v>508</v>
      </c>
      <c r="H338" s="115" t="s">
        <v>528</v>
      </c>
      <c r="I338">
        <v>130</v>
      </c>
    </row>
    <row r="339" spans="1:10">
      <c r="A339" s="115" t="s">
        <v>980</v>
      </c>
      <c r="B339" s="115" t="s">
        <v>504</v>
      </c>
      <c r="C339" s="115" t="s">
        <v>511</v>
      </c>
      <c r="D339" s="115" t="s">
        <v>512</v>
      </c>
      <c r="E339">
        <v>4393</v>
      </c>
      <c r="F339" s="115" t="s">
        <v>992</v>
      </c>
      <c r="G339" s="115" t="s">
        <v>530</v>
      </c>
      <c r="H339" s="115" t="s">
        <v>528</v>
      </c>
      <c r="I339">
        <v>120</v>
      </c>
    </row>
    <row r="340" spans="1:10">
      <c r="A340" s="115" t="s">
        <v>980</v>
      </c>
      <c r="B340" s="115" t="s">
        <v>504</v>
      </c>
      <c r="C340" s="115" t="s">
        <v>505</v>
      </c>
      <c r="D340" s="115" t="s">
        <v>506</v>
      </c>
      <c r="E340">
        <v>4557</v>
      </c>
      <c r="F340" s="115" t="s">
        <v>993</v>
      </c>
      <c r="G340" s="115" t="s">
        <v>514</v>
      </c>
      <c r="H340" s="115" t="s">
        <v>663</v>
      </c>
      <c r="I340">
        <v>208</v>
      </c>
    </row>
    <row r="341" spans="1:10">
      <c r="A341" s="115" t="s">
        <v>980</v>
      </c>
      <c r="B341" s="115" t="s">
        <v>504</v>
      </c>
      <c r="C341" s="115" t="s">
        <v>505</v>
      </c>
      <c r="D341" s="115" t="s">
        <v>506</v>
      </c>
      <c r="E341">
        <v>4684</v>
      </c>
      <c r="F341" s="115" t="s">
        <v>994</v>
      </c>
      <c r="G341" s="115" t="s">
        <v>508</v>
      </c>
      <c r="H341" s="115" t="s">
        <v>528</v>
      </c>
      <c r="I341" s="115" t="s">
        <v>995</v>
      </c>
      <c r="J341" s="115" t="s">
        <v>996</v>
      </c>
    </row>
    <row r="342" spans="1:10">
      <c r="A342" s="115" t="s">
        <v>980</v>
      </c>
      <c r="B342" s="115" t="s">
        <v>504</v>
      </c>
      <c r="C342" s="115" t="s">
        <v>505</v>
      </c>
      <c r="D342" s="115" t="s">
        <v>506</v>
      </c>
      <c r="E342">
        <v>4689</v>
      </c>
      <c r="F342" s="115" t="s">
        <v>997</v>
      </c>
      <c r="G342" s="115" t="s">
        <v>508</v>
      </c>
      <c r="H342" s="115" t="s">
        <v>528</v>
      </c>
      <c r="I342" s="115" t="s">
        <v>998</v>
      </c>
      <c r="J342" s="115" t="s">
        <v>999</v>
      </c>
    </row>
    <row r="343" spans="1:10">
      <c r="A343" s="115" t="s">
        <v>980</v>
      </c>
      <c r="B343" s="115" t="s">
        <v>504</v>
      </c>
      <c r="C343" s="115" t="s">
        <v>505</v>
      </c>
      <c r="D343" s="115" t="s">
        <v>512</v>
      </c>
      <c r="E343">
        <v>6022</v>
      </c>
      <c r="F343" s="115" t="s">
        <v>1000</v>
      </c>
      <c r="G343" s="115" t="s">
        <v>521</v>
      </c>
      <c r="H343" s="115" t="s">
        <v>547</v>
      </c>
      <c r="I343">
        <v>27</v>
      </c>
    </row>
    <row r="344" spans="1:10">
      <c r="A344" s="115" t="s">
        <v>980</v>
      </c>
      <c r="B344" s="115" t="s">
        <v>504</v>
      </c>
      <c r="C344" s="115" t="s">
        <v>505</v>
      </c>
      <c r="D344" s="115" t="s">
        <v>506</v>
      </c>
      <c r="E344">
        <v>6201</v>
      </c>
      <c r="F344" s="115" t="s">
        <v>1001</v>
      </c>
      <c r="G344" s="115" t="s">
        <v>508</v>
      </c>
      <c r="H344" s="115" t="s">
        <v>589</v>
      </c>
      <c r="I344" s="115" t="s">
        <v>1002</v>
      </c>
      <c r="J344" s="115" t="s">
        <v>1003</v>
      </c>
    </row>
    <row r="345" spans="1:10">
      <c r="A345" s="115" t="s">
        <v>980</v>
      </c>
      <c r="B345" s="115" t="s">
        <v>504</v>
      </c>
      <c r="C345" s="115" t="s">
        <v>505</v>
      </c>
      <c r="D345" s="115" t="s">
        <v>506</v>
      </c>
      <c r="E345">
        <v>6301</v>
      </c>
      <c r="F345" s="115" t="s">
        <v>1004</v>
      </c>
      <c r="G345" s="115" t="s">
        <v>508</v>
      </c>
      <c r="H345" s="115" t="s">
        <v>547</v>
      </c>
      <c r="I345" s="115" t="s">
        <v>1005</v>
      </c>
      <c r="J345" s="115" t="s">
        <v>1006</v>
      </c>
    </row>
    <row r="346" spans="1:10">
      <c r="A346" s="115" t="s">
        <v>980</v>
      </c>
      <c r="B346" s="115" t="s">
        <v>504</v>
      </c>
      <c r="C346" s="115" t="s">
        <v>505</v>
      </c>
      <c r="D346" s="115" t="s">
        <v>506</v>
      </c>
      <c r="E346">
        <v>6395</v>
      </c>
      <c r="F346" s="115" t="s">
        <v>1007</v>
      </c>
      <c r="G346" s="115" t="s">
        <v>508</v>
      </c>
      <c r="H346" s="115" t="s">
        <v>547</v>
      </c>
      <c r="I346" s="115" t="s">
        <v>593</v>
      </c>
      <c r="J346" s="115" t="s">
        <v>1008</v>
      </c>
    </row>
    <row r="347" spans="1:10">
      <c r="A347" s="115" t="s">
        <v>980</v>
      </c>
      <c r="B347" s="115" t="s">
        <v>504</v>
      </c>
      <c r="C347" s="115" t="s">
        <v>505</v>
      </c>
      <c r="D347" s="115" t="s">
        <v>506</v>
      </c>
      <c r="E347">
        <v>6645</v>
      </c>
      <c r="F347" s="115" t="s">
        <v>1009</v>
      </c>
      <c r="G347" s="115" t="s">
        <v>508</v>
      </c>
      <c r="H347" s="115" t="s">
        <v>561</v>
      </c>
      <c r="I347" s="115" t="s">
        <v>995</v>
      </c>
      <c r="J347" s="115" t="s">
        <v>543</v>
      </c>
    </row>
    <row r="348" spans="1:10">
      <c r="A348" s="115" t="s">
        <v>980</v>
      </c>
      <c r="B348" s="115" t="s">
        <v>504</v>
      </c>
      <c r="C348" s="115" t="s">
        <v>505</v>
      </c>
      <c r="D348" s="115" t="s">
        <v>506</v>
      </c>
      <c r="E348">
        <v>6788</v>
      </c>
      <c r="F348" s="115" t="s">
        <v>1010</v>
      </c>
      <c r="G348" s="115" t="s">
        <v>508</v>
      </c>
      <c r="H348" s="115" t="s">
        <v>561</v>
      </c>
      <c r="I348">
        <v>431</v>
      </c>
    </row>
    <row r="349" spans="1:10">
      <c r="A349" s="115" t="s">
        <v>980</v>
      </c>
      <c r="B349" s="115" t="s">
        <v>504</v>
      </c>
      <c r="C349" s="115" t="s">
        <v>505</v>
      </c>
      <c r="D349" s="115" t="s">
        <v>506</v>
      </c>
      <c r="E349">
        <v>7278</v>
      </c>
      <c r="F349" s="115" t="s">
        <v>1011</v>
      </c>
      <c r="G349" s="115" t="s">
        <v>508</v>
      </c>
      <c r="H349" s="115" t="s">
        <v>589</v>
      </c>
      <c r="I349" s="115" t="s">
        <v>593</v>
      </c>
      <c r="J349" s="115" t="s">
        <v>1012</v>
      </c>
    </row>
    <row r="350" spans="1:10">
      <c r="A350" s="115" t="s">
        <v>980</v>
      </c>
      <c r="B350" s="115" t="s">
        <v>504</v>
      </c>
      <c r="C350" s="115" t="s">
        <v>505</v>
      </c>
      <c r="D350" s="115" t="s">
        <v>506</v>
      </c>
      <c r="E350">
        <v>7995</v>
      </c>
      <c r="F350" s="115" t="s">
        <v>1013</v>
      </c>
      <c r="G350" s="115" t="s">
        <v>508</v>
      </c>
      <c r="H350" s="115" t="s">
        <v>532</v>
      </c>
      <c r="I350">
        <v>479</v>
      </c>
    </row>
    <row r="351" spans="1:10">
      <c r="A351" s="115" t="s">
        <v>980</v>
      </c>
      <c r="B351" s="115" t="s">
        <v>504</v>
      </c>
      <c r="C351" s="115" t="s">
        <v>505</v>
      </c>
      <c r="D351" s="115" t="s">
        <v>506</v>
      </c>
      <c r="E351">
        <v>8242</v>
      </c>
      <c r="F351" s="115" t="s">
        <v>1014</v>
      </c>
      <c r="G351" s="115" t="s">
        <v>508</v>
      </c>
      <c r="H351" s="115" t="s">
        <v>526</v>
      </c>
      <c r="I351" s="115" t="s">
        <v>593</v>
      </c>
      <c r="J351" s="115" t="s">
        <v>1015</v>
      </c>
    </row>
    <row r="352" spans="1:10">
      <c r="A352" s="115" t="s">
        <v>980</v>
      </c>
      <c r="B352" s="115" t="s">
        <v>504</v>
      </c>
      <c r="C352" s="115" t="s">
        <v>505</v>
      </c>
      <c r="D352" s="115" t="s">
        <v>506</v>
      </c>
      <c r="E352">
        <v>8304</v>
      </c>
      <c r="F352" s="115" t="s">
        <v>1016</v>
      </c>
      <c r="G352" s="115" t="s">
        <v>508</v>
      </c>
      <c r="H352" s="115" t="s">
        <v>1017</v>
      </c>
      <c r="I352" s="115" t="s">
        <v>796</v>
      </c>
      <c r="J352" s="115" t="s">
        <v>1018</v>
      </c>
    </row>
    <row r="353" spans="1:10">
      <c r="A353" s="115" t="s">
        <v>980</v>
      </c>
      <c r="B353" s="115" t="s">
        <v>504</v>
      </c>
      <c r="C353" s="115" t="s">
        <v>505</v>
      </c>
      <c r="D353" s="115" t="s">
        <v>506</v>
      </c>
      <c r="E353">
        <v>9202</v>
      </c>
      <c r="F353" s="115" t="s">
        <v>1019</v>
      </c>
      <c r="G353" s="115" t="s">
        <v>508</v>
      </c>
      <c r="H353" s="115" t="s">
        <v>1020</v>
      </c>
      <c r="I353" s="115" t="s">
        <v>962</v>
      </c>
      <c r="J353" s="115" t="s">
        <v>1021</v>
      </c>
    </row>
    <row r="354" spans="1:10">
      <c r="A354" s="115" t="s">
        <v>980</v>
      </c>
      <c r="B354" s="115" t="s">
        <v>504</v>
      </c>
      <c r="C354" s="115" t="s">
        <v>505</v>
      </c>
      <c r="D354" s="115" t="s">
        <v>506</v>
      </c>
      <c r="E354">
        <v>9474</v>
      </c>
      <c r="F354" s="115" t="s">
        <v>1022</v>
      </c>
      <c r="G354" s="115" t="s">
        <v>508</v>
      </c>
      <c r="H354" s="115" t="s">
        <v>528</v>
      </c>
      <c r="I354" s="115" t="s">
        <v>593</v>
      </c>
      <c r="J354" s="115" t="s">
        <v>871</v>
      </c>
    </row>
    <row r="355" spans="1:10">
      <c r="A355" s="115" t="s">
        <v>980</v>
      </c>
      <c r="B355" s="115" t="s">
        <v>504</v>
      </c>
      <c r="C355" s="115" t="s">
        <v>505</v>
      </c>
      <c r="D355" s="115" t="s">
        <v>506</v>
      </c>
      <c r="E355">
        <v>9502</v>
      </c>
      <c r="F355" s="115" t="s">
        <v>1023</v>
      </c>
      <c r="G355" s="115" t="s">
        <v>508</v>
      </c>
      <c r="H355" s="115" t="s">
        <v>1024</v>
      </c>
      <c r="I355" s="115" t="s">
        <v>1025</v>
      </c>
      <c r="J355" s="115" t="s">
        <v>1026</v>
      </c>
    </row>
    <row r="356" spans="1:10">
      <c r="A356" s="115" t="s">
        <v>980</v>
      </c>
      <c r="B356" s="115" t="s">
        <v>504</v>
      </c>
      <c r="C356" s="115" t="s">
        <v>505</v>
      </c>
      <c r="D356" s="115" t="s">
        <v>506</v>
      </c>
      <c r="E356">
        <v>9504</v>
      </c>
      <c r="F356" s="115" t="s">
        <v>1027</v>
      </c>
      <c r="G356" s="115" t="s">
        <v>508</v>
      </c>
      <c r="H356" s="115" t="s">
        <v>1024</v>
      </c>
      <c r="I356" s="115" t="s">
        <v>542</v>
      </c>
      <c r="J356" s="115" t="s">
        <v>1028</v>
      </c>
    </row>
    <row r="357" spans="1:10">
      <c r="A357" s="115" t="s">
        <v>980</v>
      </c>
      <c r="B357" s="115" t="s">
        <v>504</v>
      </c>
      <c r="C357" s="115" t="s">
        <v>505</v>
      </c>
      <c r="D357" s="115" t="s">
        <v>506</v>
      </c>
      <c r="E357">
        <v>9531</v>
      </c>
      <c r="F357" s="115" t="s">
        <v>1029</v>
      </c>
      <c r="G357" s="115" t="s">
        <v>508</v>
      </c>
      <c r="H357" s="115" t="s">
        <v>1024</v>
      </c>
      <c r="I357" s="115" t="s">
        <v>1025</v>
      </c>
      <c r="J357" s="115" t="s">
        <v>1030</v>
      </c>
    </row>
    <row r="358" spans="1:10">
      <c r="A358" s="115" t="s">
        <v>980</v>
      </c>
      <c r="B358" s="115" t="s">
        <v>504</v>
      </c>
      <c r="C358" s="115" t="s">
        <v>505</v>
      </c>
      <c r="D358" s="115" t="s">
        <v>506</v>
      </c>
      <c r="E358">
        <v>9719</v>
      </c>
      <c r="F358" s="115" t="s">
        <v>1031</v>
      </c>
      <c r="G358" s="115" t="s">
        <v>508</v>
      </c>
      <c r="H358" s="115" t="s">
        <v>528</v>
      </c>
      <c r="I358" s="115" t="s">
        <v>542</v>
      </c>
      <c r="J358" s="115" t="s">
        <v>1032</v>
      </c>
    </row>
    <row r="359" spans="1:10">
      <c r="A359" s="115" t="s">
        <v>980</v>
      </c>
      <c r="B359" s="115" t="s">
        <v>504</v>
      </c>
      <c r="C359" s="115" t="s">
        <v>505</v>
      </c>
      <c r="D359" s="115" t="s">
        <v>506</v>
      </c>
      <c r="E359">
        <v>9936</v>
      </c>
      <c r="F359" s="115" t="s">
        <v>1033</v>
      </c>
      <c r="G359" s="115" t="s">
        <v>508</v>
      </c>
      <c r="H359" s="115" t="s">
        <v>526</v>
      </c>
      <c r="I359" s="115" t="s">
        <v>593</v>
      </c>
      <c r="J359" s="115" t="s">
        <v>1034</v>
      </c>
    </row>
    <row r="360" spans="1:10">
      <c r="A360" s="115" t="s">
        <v>1035</v>
      </c>
      <c r="B360" s="115" t="s">
        <v>504</v>
      </c>
      <c r="C360" s="115" t="s">
        <v>524</v>
      </c>
      <c r="D360" s="115" t="s">
        <v>512</v>
      </c>
      <c r="E360">
        <v>1430</v>
      </c>
      <c r="F360" s="115" t="s">
        <v>1036</v>
      </c>
      <c r="G360" s="115" t="s">
        <v>508</v>
      </c>
      <c r="H360" s="115" t="s">
        <v>571</v>
      </c>
      <c r="I360">
        <v>95</v>
      </c>
    </row>
    <row r="361" spans="1:10">
      <c r="A361" s="115" t="s">
        <v>1035</v>
      </c>
      <c r="B361" s="115" t="s">
        <v>504</v>
      </c>
      <c r="C361" s="115" t="s">
        <v>519</v>
      </c>
      <c r="D361" s="115" t="s">
        <v>506</v>
      </c>
      <c r="E361">
        <v>2734</v>
      </c>
      <c r="F361" s="115" t="s">
        <v>1037</v>
      </c>
      <c r="G361" s="115" t="s">
        <v>508</v>
      </c>
      <c r="H361" s="115" t="s">
        <v>526</v>
      </c>
      <c r="I361">
        <v>427</v>
      </c>
    </row>
    <row r="362" spans="1:10">
      <c r="A362" s="115" t="s">
        <v>1035</v>
      </c>
      <c r="B362" s="115" t="s">
        <v>504</v>
      </c>
      <c r="C362" s="115" t="s">
        <v>511</v>
      </c>
      <c r="D362" s="115" t="s">
        <v>506</v>
      </c>
      <c r="E362">
        <v>3168</v>
      </c>
      <c r="F362" s="115" t="s">
        <v>1038</v>
      </c>
      <c r="G362" s="115" t="s">
        <v>508</v>
      </c>
      <c r="H362" s="115" t="s">
        <v>517</v>
      </c>
      <c r="I362">
        <v>65</v>
      </c>
    </row>
    <row r="363" spans="1:10">
      <c r="A363" s="115" t="s">
        <v>1035</v>
      </c>
      <c r="B363" s="115" t="s">
        <v>504</v>
      </c>
      <c r="C363" s="115" t="s">
        <v>519</v>
      </c>
      <c r="D363" s="115" t="s">
        <v>506</v>
      </c>
      <c r="E363">
        <v>3186</v>
      </c>
      <c r="F363" s="115" t="s">
        <v>1039</v>
      </c>
      <c r="G363" s="115" t="s">
        <v>508</v>
      </c>
      <c r="H363" s="115" t="s">
        <v>526</v>
      </c>
      <c r="I363">
        <v>869</v>
      </c>
    </row>
    <row r="364" spans="1:10">
      <c r="A364" s="115" t="s">
        <v>1035</v>
      </c>
      <c r="B364" s="115" t="s">
        <v>504</v>
      </c>
      <c r="C364" s="115" t="s">
        <v>505</v>
      </c>
      <c r="D364" s="115" t="s">
        <v>506</v>
      </c>
      <c r="E364">
        <v>3353</v>
      </c>
      <c r="F364" s="115" t="s">
        <v>1040</v>
      </c>
      <c r="G364" s="115" t="s">
        <v>514</v>
      </c>
      <c r="H364" s="115" t="s">
        <v>526</v>
      </c>
      <c r="I364">
        <v>177</v>
      </c>
    </row>
    <row r="365" spans="1:10">
      <c r="A365" s="115" t="s">
        <v>1035</v>
      </c>
      <c r="B365" s="115" t="s">
        <v>504</v>
      </c>
      <c r="C365" s="115" t="s">
        <v>505</v>
      </c>
      <c r="D365" s="115" t="s">
        <v>506</v>
      </c>
      <c r="E365">
        <v>3382</v>
      </c>
      <c r="F365" s="115" t="s">
        <v>1041</v>
      </c>
      <c r="G365" s="115" t="s">
        <v>508</v>
      </c>
      <c r="H365" s="115" t="s">
        <v>526</v>
      </c>
      <c r="I365" s="115" t="s">
        <v>1042</v>
      </c>
      <c r="J365" s="115" t="s">
        <v>933</v>
      </c>
    </row>
    <row r="366" spans="1:10">
      <c r="A366" s="115" t="s">
        <v>1035</v>
      </c>
      <c r="B366" s="115" t="s">
        <v>504</v>
      </c>
      <c r="C366" s="115" t="s">
        <v>519</v>
      </c>
      <c r="D366" s="115" t="s">
        <v>506</v>
      </c>
      <c r="E366">
        <v>3454</v>
      </c>
      <c r="F366" s="115" t="s">
        <v>1043</v>
      </c>
      <c r="G366" s="115" t="s">
        <v>508</v>
      </c>
      <c r="H366" s="115" t="s">
        <v>563</v>
      </c>
      <c r="I366">
        <v>187</v>
      </c>
    </row>
    <row r="367" spans="1:10">
      <c r="A367" s="115" t="s">
        <v>1035</v>
      </c>
      <c r="B367" s="115" t="s">
        <v>504</v>
      </c>
      <c r="C367" s="115" t="s">
        <v>505</v>
      </c>
      <c r="D367" s="115" t="s">
        <v>506</v>
      </c>
      <c r="E367">
        <v>4429</v>
      </c>
      <c r="F367" s="115" t="s">
        <v>1044</v>
      </c>
      <c r="G367" s="115" t="s">
        <v>530</v>
      </c>
      <c r="H367" s="115" t="s">
        <v>528</v>
      </c>
      <c r="I367">
        <v>223</v>
      </c>
    </row>
    <row r="368" spans="1:10">
      <c r="A368" s="115" t="s">
        <v>1035</v>
      </c>
      <c r="B368" s="115" t="s">
        <v>504</v>
      </c>
      <c r="C368" s="115" t="s">
        <v>524</v>
      </c>
      <c r="D368" s="115" t="s">
        <v>512</v>
      </c>
      <c r="E368">
        <v>4430</v>
      </c>
      <c r="F368" s="115" t="s">
        <v>1045</v>
      </c>
      <c r="G368" s="115" t="s">
        <v>521</v>
      </c>
      <c r="H368" s="115" t="s">
        <v>528</v>
      </c>
      <c r="I368">
        <v>49</v>
      </c>
    </row>
    <row r="369" spans="1:10">
      <c r="A369" s="115" t="s">
        <v>1035</v>
      </c>
      <c r="B369" s="115" t="s">
        <v>504</v>
      </c>
      <c r="C369" s="115" t="s">
        <v>524</v>
      </c>
      <c r="D369" s="115" t="s">
        <v>506</v>
      </c>
      <c r="E369">
        <v>4443</v>
      </c>
      <c r="F369" s="115" t="s">
        <v>1046</v>
      </c>
      <c r="G369" s="115" t="s">
        <v>530</v>
      </c>
      <c r="H369" s="115" t="s">
        <v>528</v>
      </c>
      <c r="I369" s="115" t="s">
        <v>593</v>
      </c>
      <c r="J369" s="115" t="s">
        <v>1047</v>
      </c>
    </row>
    <row r="370" spans="1:10">
      <c r="A370" s="115" t="s">
        <v>1035</v>
      </c>
      <c r="B370" s="115" t="s">
        <v>504</v>
      </c>
      <c r="C370" s="115" t="s">
        <v>511</v>
      </c>
      <c r="D370" s="115" t="s">
        <v>512</v>
      </c>
      <c r="E370">
        <v>6264</v>
      </c>
      <c r="F370" s="115" t="s">
        <v>1048</v>
      </c>
      <c r="G370" s="115" t="s">
        <v>508</v>
      </c>
      <c r="H370" s="115" t="s">
        <v>547</v>
      </c>
      <c r="I370">
        <v>132</v>
      </c>
    </row>
    <row r="371" spans="1:10">
      <c r="A371" s="115" t="s">
        <v>1035</v>
      </c>
      <c r="B371" s="115" t="s">
        <v>504</v>
      </c>
      <c r="C371" s="115" t="s">
        <v>524</v>
      </c>
      <c r="D371" s="115" t="s">
        <v>512</v>
      </c>
      <c r="E371">
        <v>6496</v>
      </c>
      <c r="F371" s="115" t="s">
        <v>1049</v>
      </c>
      <c r="G371" s="115" t="s">
        <v>521</v>
      </c>
      <c r="H371" s="115" t="s">
        <v>547</v>
      </c>
      <c r="I371">
        <v>105</v>
      </c>
    </row>
    <row r="372" spans="1:10">
      <c r="A372" s="115" t="s">
        <v>1035</v>
      </c>
      <c r="B372" s="115" t="s">
        <v>504</v>
      </c>
      <c r="C372" s="115" t="s">
        <v>505</v>
      </c>
      <c r="D372" s="115" t="s">
        <v>506</v>
      </c>
      <c r="E372">
        <v>8008</v>
      </c>
      <c r="F372" s="115" t="s">
        <v>1050</v>
      </c>
      <c r="G372" s="115" t="s">
        <v>508</v>
      </c>
      <c r="H372" s="115" t="s">
        <v>526</v>
      </c>
      <c r="I372">
        <v>629</v>
      </c>
    </row>
    <row r="373" spans="1:10">
      <c r="A373" s="115" t="s">
        <v>1035</v>
      </c>
      <c r="B373" s="115" t="s">
        <v>504</v>
      </c>
      <c r="C373" s="115" t="s">
        <v>505</v>
      </c>
      <c r="D373" s="115" t="s">
        <v>506</v>
      </c>
      <c r="E373">
        <v>8125</v>
      </c>
      <c r="F373" s="115" t="s">
        <v>1051</v>
      </c>
      <c r="G373" s="115" t="s">
        <v>508</v>
      </c>
      <c r="H373" s="115" t="s">
        <v>517</v>
      </c>
      <c r="I373">
        <v>561</v>
      </c>
    </row>
    <row r="374" spans="1:10">
      <c r="A374" s="115" t="s">
        <v>1052</v>
      </c>
      <c r="B374" s="115" t="s">
        <v>504</v>
      </c>
      <c r="C374" s="115" t="s">
        <v>524</v>
      </c>
      <c r="D374" s="115" t="s">
        <v>506</v>
      </c>
      <c r="E374">
        <v>1377</v>
      </c>
      <c r="F374" s="115" t="s">
        <v>1053</v>
      </c>
      <c r="G374" s="115" t="s">
        <v>508</v>
      </c>
      <c r="H374" s="115" t="s">
        <v>682</v>
      </c>
      <c r="I374" s="115" t="s">
        <v>593</v>
      </c>
      <c r="J374" s="115" t="s">
        <v>1054</v>
      </c>
    </row>
    <row r="375" spans="1:10">
      <c r="A375" s="115" t="s">
        <v>1052</v>
      </c>
      <c r="B375" s="115" t="s">
        <v>504</v>
      </c>
      <c r="C375" s="115" t="s">
        <v>524</v>
      </c>
      <c r="D375" s="115" t="s">
        <v>506</v>
      </c>
      <c r="E375">
        <v>1887</v>
      </c>
      <c r="F375" s="115" t="s">
        <v>1055</v>
      </c>
      <c r="G375" s="115" t="s">
        <v>508</v>
      </c>
      <c r="H375" s="115" t="s">
        <v>571</v>
      </c>
      <c r="I375">
        <v>634</v>
      </c>
    </row>
    <row r="376" spans="1:10">
      <c r="A376" s="115" t="s">
        <v>1052</v>
      </c>
      <c r="B376" s="115" t="s">
        <v>504</v>
      </c>
      <c r="C376" s="115" t="s">
        <v>505</v>
      </c>
      <c r="D376" s="115" t="s">
        <v>512</v>
      </c>
      <c r="E376">
        <v>2294</v>
      </c>
      <c r="F376" s="115" t="s">
        <v>1056</v>
      </c>
      <c r="G376" s="115" t="s">
        <v>514</v>
      </c>
      <c r="H376" s="115" t="s">
        <v>509</v>
      </c>
      <c r="I376">
        <v>328</v>
      </c>
    </row>
    <row r="377" spans="1:10">
      <c r="A377" s="115" t="s">
        <v>1052</v>
      </c>
      <c r="B377" s="115" t="s">
        <v>504</v>
      </c>
      <c r="C377" s="115" t="s">
        <v>524</v>
      </c>
      <c r="D377" s="115" t="s">
        <v>512</v>
      </c>
      <c r="E377">
        <v>2303</v>
      </c>
      <c r="F377" s="115" t="s">
        <v>1057</v>
      </c>
      <c r="G377" s="115" t="s">
        <v>514</v>
      </c>
      <c r="H377" s="115" t="s">
        <v>528</v>
      </c>
      <c r="I377">
        <v>50</v>
      </c>
    </row>
    <row r="378" spans="1:10">
      <c r="A378" s="115" t="s">
        <v>1052</v>
      </c>
      <c r="B378" s="115" t="s">
        <v>504</v>
      </c>
      <c r="C378" s="115" t="s">
        <v>524</v>
      </c>
      <c r="D378" s="115" t="s">
        <v>506</v>
      </c>
      <c r="E378">
        <v>2462</v>
      </c>
      <c r="F378" s="115" t="s">
        <v>1058</v>
      </c>
      <c r="G378" s="115" t="s">
        <v>508</v>
      </c>
      <c r="H378" s="115" t="s">
        <v>515</v>
      </c>
      <c r="I378">
        <v>344</v>
      </c>
    </row>
    <row r="379" spans="1:10">
      <c r="A379" s="115" t="s">
        <v>1052</v>
      </c>
      <c r="B379" s="115" t="s">
        <v>504</v>
      </c>
      <c r="C379" s="115" t="s">
        <v>519</v>
      </c>
      <c r="D379" s="115" t="s">
        <v>506</v>
      </c>
      <c r="E379">
        <v>2698</v>
      </c>
      <c r="F379" s="115" t="s">
        <v>1059</v>
      </c>
      <c r="G379" s="115" t="s">
        <v>508</v>
      </c>
      <c r="H379" s="115" t="s">
        <v>526</v>
      </c>
      <c r="I379">
        <v>278</v>
      </c>
    </row>
    <row r="380" spans="1:10">
      <c r="A380" s="115" t="s">
        <v>1052</v>
      </c>
      <c r="B380" s="115" t="s">
        <v>504</v>
      </c>
      <c r="C380" s="115" t="s">
        <v>524</v>
      </c>
      <c r="D380" s="115" t="s">
        <v>512</v>
      </c>
      <c r="E380">
        <v>3297</v>
      </c>
      <c r="F380" s="115" t="s">
        <v>1060</v>
      </c>
      <c r="G380" s="115" t="s">
        <v>514</v>
      </c>
      <c r="H380" s="115" t="s">
        <v>563</v>
      </c>
      <c r="I380">
        <v>29</v>
      </c>
    </row>
    <row r="381" spans="1:10">
      <c r="A381" s="115" t="s">
        <v>1052</v>
      </c>
      <c r="B381" s="115" t="s">
        <v>504</v>
      </c>
      <c r="C381" s="115" t="s">
        <v>519</v>
      </c>
      <c r="D381" s="115" t="s">
        <v>512</v>
      </c>
      <c r="E381">
        <v>3377</v>
      </c>
      <c r="F381" s="115" t="s">
        <v>1061</v>
      </c>
      <c r="G381" s="115" t="s">
        <v>521</v>
      </c>
      <c r="H381" s="115" t="s">
        <v>517</v>
      </c>
      <c r="I381">
        <v>29</v>
      </c>
    </row>
    <row r="382" spans="1:10">
      <c r="A382" s="115" t="s">
        <v>1052</v>
      </c>
      <c r="B382" s="115" t="s">
        <v>504</v>
      </c>
      <c r="C382" s="115" t="s">
        <v>505</v>
      </c>
      <c r="D382" s="115" t="s">
        <v>506</v>
      </c>
      <c r="E382">
        <v>3387</v>
      </c>
      <c r="F382" s="115" t="s">
        <v>1062</v>
      </c>
      <c r="G382" s="115" t="s">
        <v>508</v>
      </c>
      <c r="H382" s="115" t="s">
        <v>526</v>
      </c>
      <c r="I382" s="115" t="s">
        <v>593</v>
      </c>
      <c r="J382" s="115" t="s">
        <v>1063</v>
      </c>
    </row>
    <row r="383" spans="1:10">
      <c r="A383" s="115" t="s">
        <v>1052</v>
      </c>
      <c r="B383" s="115" t="s">
        <v>504</v>
      </c>
      <c r="C383" s="115" t="s">
        <v>505</v>
      </c>
      <c r="D383" s="115" t="s">
        <v>506</v>
      </c>
      <c r="E383">
        <v>3548</v>
      </c>
      <c r="F383" s="115" t="s">
        <v>1064</v>
      </c>
      <c r="G383" s="115" t="s">
        <v>508</v>
      </c>
      <c r="H383" s="115" t="s">
        <v>526</v>
      </c>
      <c r="I383">
        <v>339</v>
      </c>
    </row>
    <row r="384" spans="1:10">
      <c r="A384" s="115" t="s">
        <v>1052</v>
      </c>
      <c r="B384" s="115" t="s">
        <v>504</v>
      </c>
      <c r="C384" s="115" t="s">
        <v>505</v>
      </c>
      <c r="D384" s="115" t="s">
        <v>512</v>
      </c>
      <c r="E384">
        <v>3557</v>
      </c>
      <c r="F384" s="115" t="s">
        <v>1065</v>
      </c>
      <c r="G384" s="115" t="s">
        <v>530</v>
      </c>
      <c r="H384" s="115" t="s">
        <v>526</v>
      </c>
      <c r="I384">
        <v>46</v>
      </c>
    </row>
    <row r="385" spans="1:10">
      <c r="A385" s="115" t="s">
        <v>1052</v>
      </c>
      <c r="B385" s="115" t="s">
        <v>504</v>
      </c>
      <c r="C385" s="115" t="s">
        <v>505</v>
      </c>
      <c r="D385" s="115" t="s">
        <v>512</v>
      </c>
      <c r="E385">
        <v>3996</v>
      </c>
      <c r="F385" s="115" t="s">
        <v>1066</v>
      </c>
      <c r="G385" s="115" t="s">
        <v>508</v>
      </c>
      <c r="H385" s="115" t="s">
        <v>528</v>
      </c>
      <c r="I385">
        <v>198</v>
      </c>
    </row>
    <row r="386" spans="1:10">
      <c r="A386" s="115" t="s">
        <v>1052</v>
      </c>
      <c r="B386" s="115" t="s">
        <v>504</v>
      </c>
      <c r="C386" s="115" t="s">
        <v>511</v>
      </c>
      <c r="D386" s="115" t="s">
        <v>506</v>
      </c>
      <c r="E386">
        <v>4433</v>
      </c>
      <c r="F386" s="115" t="s">
        <v>1067</v>
      </c>
      <c r="G386" s="115" t="s">
        <v>508</v>
      </c>
      <c r="H386" s="115" t="s">
        <v>528</v>
      </c>
      <c r="I386">
        <v>288</v>
      </c>
    </row>
    <row r="387" spans="1:10">
      <c r="A387" s="115" t="s">
        <v>1052</v>
      </c>
      <c r="B387" s="115" t="s">
        <v>504</v>
      </c>
      <c r="C387" s="115" t="s">
        <v>505</v>
      </c>
      <c r="D387" s="115" t="s">
        <v>512</v>
      </c>
      <c r="E387">
        <v>4434</v>
      </c>
      <c r="F387" s="115" t="s">
        <v>1068</v>
      </c>
      <c r="G387" s="115" t="s">
        <v>530</v>
      </c>
      <c r="H387" s="115" t="s">
        <v>528</v>
      </c>
      <c r="I387">
        <v>279</v>
      </c>
    </row>
    <row r="388" spans="1:10">
      <c r="A388" s="115" t="s">
        <v>1052</v>
      </c>
      <c r="B388" s="115" t="s">
        <v>504</v>
      </c>
      <c r="C388" s="115" t="s">
        <v>511</v>
      </c>
      <c r="D388" s="115" t="s">
        <v>506</v>
      </c>
      <c r="E388">
        <v>4440</v>
      </c>
      <c r="F388" s="115" t="s">
        <v>1069</v>
      </c>
      <c r="G388" s="115" t="s">
        <v>530</v>
      </c>
      <c r="H388" s="115" t="s">
        <v>528</v>
      </c>
      <c r="I388">
        <v>78</v>
      </c>
    </row>
    <row r="389" spans="1:10">
      <c r="A389" s="115" t="s">
        <v>1052</v>
      </c>
      <c r="B389" s="115" t="s">
        <v>504</v>
      </c>
      <c r="C389" s="115" t="s">
        <v>524</v>
      </c>
      <c r="D389" s="115" t="s">
        <v>506</v>
      </c>
      <c r="E389">
        <v>5967</v>
      </c>
      <c r="F389" s="115" t="s">
        <v>1070</v>
      </c>
      <c r="G389" s="115" t="s">
        <v>521</v>
      </c>
      <c r="H389" s="115" t="s">
        <v>538</v>
      </c>
      <c r="I389">
        <v>63</v>
      </c>
    </row>
    <row r="390" spans="1:10">
      <c r="A390" s="115" t="s">
        <v>1052</v>
      </c>
      <c r="B390" s="115" t="s">
        <v>504</v>
      </c>
      <c r="C390" s="115" t="s">
        <v>505</v>
      </c>
      <c r="D390" s="115" t="s">
        <v>506</v>
      </c>
      <c r="E390">
        <v>6173</v>
      </c>
      <c r="F390" s="115" t="s">
        <v>1071</v>
      </c>
      <c r="G390" s="115" t="s">
        <v>530</v>
      </c>
      <c r="H390" s="115" t="s">
        <v>515</v>
      </c>
      <c r="I390">
        <v>25</v>
      </c>
    </row>
    <row r="391" spans="1:10">
      <c r="A391" s="115" t="s">
        <v>1052</v>
      </c>
      <c r="B391" s="115" t="s">
        <v>504</v>
      </c>
      <c r="C391" s="115" t="s">
        <v>524</v>
      </c>
      <c r="D391" s="115" t="s">
        <v>506</v>
      </c>
      <c r="E391">
        <v>6489</v>
      </c>
      <c r="F391" s="115" t="s">
        <v>1072</v>
      </c>
      <c r="G391" s="115" t="s">
        <v>508</v>
      </c>
      <c r="H391" s="115" t="s">
        <v>547</v>
      </c>
      <c r="I391">
        <v>84</v>
      </c>
    </row>
    <row r="392" spans="1:10">
      <c r="A392" s="115" t="s">
        <v>1052</v>
      </c>
      <c r="B392" s="115" t="s">
        <v>504</v>
      </c>
      <c r="C392" s="115" t="s">
        <v>505</v>
      </c>
      <c r="D392" s="115" t="s">
        <v>506</v>
      </c>
      <c r="E392">
        <v>6543</v>
      </c>
      <c r="F392" s="115" t="s">
        <v>1073</v>
      </c>
      <c r="G392" s="115" t="s">
        <v>514</v>
      </c>
      <c r="H392" s="115" t="s">
        <v>515</v>
      </c>
      <c r="I392">
        <v>26</v>
      </c>
    </row>
    <row r="393" spans="1:10">
      <c r="A393" s="115" t="s">
        <v>1052</v>
      </c>
      <c r="B393" s="115" t="s">
        <v>504</v>
      </c>
      <c r="C393" s="115" t="s">
        <v>505</v>
      </c>
      <c r="D393" s="115" t="s">
        <v>506</v>
      </c>
      <c r="E393">
        <v>7049</v>
      </c>
      <c r="F393" s="115" t="s">
        <v>1074</v>
      </c>
      <c r="G393" s="115" t="s">
        <v>530</v>
      </c>
      <c r="H393" s="115" t="s">
        <v>515</v>
      </c>
      <c r="I393">
        <v>135</v>
      </c>
    </row>
    <row r="394" spans="1:10">
      <c r="A394" s="115" t="s">
        <v>1052</v>
      </c>
      <c r="B394" s="115" t="s">
        <v>504</v>
      </c>
      <c r="C394" s="115" t="s">
        <v>505</v>
      </c>
      <c r="D394" s="115" t="s">
        <v>506</v>
      </c>
      <c r="E394">
        <v>7058</v>
      </c>
      <c r="F394" s="115" t="s">
        <v>1075</v>
      </c>
      <c r="G394" s="115" t="s">
        <v>514</v>
      </c>
      <c r="H394" s="115" t="s">
        <v>515</v>
      </c>
      <c r="I394">
        <v>67</v>
      </c>
    </row>
    <row r="395" spans="1:10">
      <c r="A395" s="115" t="s">
        <v>1052</v>
      </c>
      <c r="B395" s="115" t="s">
        <v>504</v>
      </c>
      <c r="C395" s="115" t="s">
        <v>511</v>
      </c>
      <c r="D395" s="115" t="s">
        <v>506</v>
      </c>
      <c r="E395">
        <v>7065</v>
      </c>
      <c r="F395" s="115" t="s">
        <v>1076</v>
      </c>
      <c r="G395" s="115" t="s">
        <v>521</v>
      </c>
      <c r="H395" s="115" t="s">
        <v>515</v>
      </c>
      <c r="I395">
        <v>191</v>
      </c>
    </row>
    <row r="396" spans="1:10">
      <c r="A396" s="115" t="s">
        <v>1052</v>
      </c>
      <c r="B396" s="115" t="s">
        <v>504</v>
      </c>
      <c r="C396" s="115" t="s">
        <v>524</v>
      </c>
      <c r="D396" s="115" t="s">
        <v>512</v>
      </c>
      <c r="E396">
        <v>7673</v>
      </c>
      <c r="F396" s="115" t="s">
        <v>1077</v>
      </c>
      <c r="G396" s="115" t="s">
        <v>521</v>
      </c>
      <c r="H396" s="115" t="s">
        <v>517</v>
      </c>
      <c r="I396">
        <v>54</v>
      </c>
    </row>
    <row r="397" spans="1:10">
      <c r="A397" s="115" t="s">
        <v>1052</v>
      </c>
      <c r="B397" s="115" t="s">
        <v>504</v>
      </c>
      <c r="C397" s="115" t="s">
        <v>505</v>
      </c>
      <c r="D397" s="115" t="s">
        <v>506</v>
      </c>
      <c r="E397">
        <v>7811</v>
      </c>
      <c r="F397" s="115" t="s">
        <v>1078</v>
      </c>
      <c r="G397" s="115" t="s">
        <v>508</v>
      </c>
      <c r="H397" s="115" t="s">
        <v>549</v>
      </c>
      <c r="I397">
        <v>123</v>
      </c>
    </row>
    <row r="398" spans="1:10">
      <c r="A398" s="115" t="s">
        <v>1079</v>
      </c>
      <c r="B398" s="115" t="s">
        <v>504</v>
      </c>
      <c r="C398" s="115" t="s">
        <v>505</v>
      </c>
      <c r="D398" s="115" t="s">
        <v>506</v>
      </c>
      <c r="E398">
        <v>1719</v>
      </c>
      <c r="F398" s="115" t="s">
        <v>1080</v>
      </c>
      <c r="G398" s="115" t="s">
        <v>508</v>
      </c>
      <c r="H398" s="115" t="s">
        <v>571</v>
      </c>
      <c r="I398" s="115" t="s">
        <v>593</v>
      </c>
      <c r="J398" s="115" t="s">
        <v>1081</v>
      </c>
    </row>
    <row r="399" spans="1:10">
      <c r="A399" s="115" t="s">
        <v>1079</v>
      </c>
      <c r="B399" s="115" t="s">
        <v>504</v>
      </c>
      <c r="C399" s="115" t="s">
        <v>505</v>
      </c>
      <c r="D399" s="115" t="s">
        <v>506</v>
      </c>
      <c r="E399">
        <v>1812</v>
      </c>
      <c r="F399" s="115" t="s">
        <v>1082</v>
      </c>
      <c r="G399" s="115" t="s">
        <v>508</v>
      </c>
      <c r="H399" s="115" t="s">
        <v>571</v>
      </c>
      <c r="I399" s="115" t="s">
        <v>1083</v>
      </c>
      <c r="J399" s="115" t="s">
        <v>797</v>
      </c>
    </row>
    <row r="400" spans="1:10">
      <c r="A400" s="115" t="s">
        <v>1079</v>
      </c>
      <c r="B400" s="115" t="s">
        <v>504</v>
      </c>
      <c r="C400" s="115" t="s">
        <v>505</v>
      </c>
      <c r="D400" s="115" t="s">
        <v>506</v>
      </c>
      <c r="E400">
        <v>1824</v>
      </c>
      <c r="F400" s="115" t="s">
        <v>1084</v>
      </c>
      <c r="G400" s="115" t="s">
        <v>508</v>
      </c>
      <c r="H400" s="115" t="s">
        <v>571</v>
      </c>
      <c r="I400" s="115" t="s">
        <v>593</v>
      </c>
      <c r="J400" s="115" t="s">
        <v>1085</v>
      </c>
    </row>
    <row r="401" spans="1:10">
      <c r="A401" s="115" t="s">
        <v>1079</v>
      </c>
      <c r="B401" s="115" t="s">
        <v>504</v>
      </c>
      <c r="C401" s="115" t="s">
        <v>505</v>
      </c>
      <c r="D401" s="115" t="s">
        <v>506</v>
      </c>
      <c r="E401">
        <v>1860</v>
      </c>
      <c r="F401" s="115" t="s">
        <v>1086</v>
      </c>
      <c r="G401" s="115" t="s">
        <v>508</v>
      </c>
      <c r="H401" s="115" t="s">
        <v>571</v>
      </c>
      <c r="I401" s="115" t="s">
        <v>552</v>
      </c>
      <c r="J401" s="115" t="s">
        <v>918</v>
      </c>
    </row>
    <row r="402" spans="1:10">
      <c r="A402" s="115" t="s">
        <v>1079</v>
      </c>
      <c r="B402" s="115" t="s">
        <v>504</v>
      </c>
      <c r="C402" s="115" t="s">
        <v>505</v>
      </c>
      <c r="D402" s="115" t="s">
        <v>506</v>
      </c>
      <c r="E402">
        <v>1964</v>
      </c>
      <c r="F402" s="115" t="s">
        <v>1087</v>
      </c>
      <c r="G402" s="115" t="s">
        <v>508</v>
      </c>
      <c r="H402" s="115" t="s">
        <v>571</v>
      </c>
      <c r="I402">
        <v>134</v>
      </c>
    </row>
    <row r="403" spans="1:10">
      <c r="A403" s="115" t="s">
        <v>1079</v>
      </c>
      <c r="B403" s="115" t="s">
        <v>504</v>
      </c>
      <c r="C403" s="115" t="s">
        <v>505</v>
      </c>
      <c r="D403" s="115" t="s">
        <v>506</v>
      </c>
      <c r="E403">
        <v>2108</v>
      </c>
      <c r="F403" s="115" t="s">
        <v>1088</v>
      </c>
      <c r="G403" s="115" t="s">
        <v>508</v>
      </c>
      <c r="H403" s="115" t="s">
        <v>509</v>
      </c>
      <c r="I403">
        <v>316</v>
      </c>
    </row>
    <row r="404" spans="1:10">
      <c r="A404" s="115" t="s">
        <v>1079</v>
      </c>
      <c r="B404" s="115" t="s">
        <v>504</v>
      </c>
      <c r="C404" s="115" t="s">
        <v>524</v>
      </c>
      <c r="D404" s="115" t="s">
        <v>506</v>
      </c>
      <c r="E404">
        <v>2180</v>
      </c>
      <c r="F404" s="115" t="s">
        <v>1089</v>
      </c>
      <c r="G404" s="115" t="s">
        <v>508</v>
      </c>
      <c r="H404" s="115" t="s">
        <v>515</v>
      </c>
      <c r="I404">
        <v>167</v>
      </c>
    </row>
    <row r="405" spans="1:10">
      <c r="A405" s="115" t="s">
        <v>1079</v>
      </c>
      <c r="B405" s="115" t="s">
        <v>504</v>
      </c>
      <c r="C405" s="115" t="s">
        <v>505</v>
      </c>
      <c r="D405" s="115" t="s">
        <v>506</v>
      </c>
      <c r="E405">
        <v>2288</v>
      </c>
      <c r="F405" s="115" t="s">
        <v>1090</v>
      </c>
      <c r="G405" s="115" t="s">
        <v>508</v>
      </c>
      <c r="H405" s="115" t="s">
        <v>509</v>
      </c>
      <c r="I405">
        <v>626</v>
      </c>
    </row>
    <row r="406" spans="1:10">
      <c r="A406" s="115" t="s">
        <v>1079</v>
      </c>
      <c r="B406" s="115" t="s">
        <v>504</v>
      </c>
      <c r="C406" s="115" t="s">
        <v>519</v>
      </c>
      <c r="D406" s="115" t="s">
        <v>506</v>
      </c>
      <c r="E406">
        <v>2675</v>
      </c>
      <c r="F406" s="115" t="s">
        <v>1091</v>
      </c>
      <c r="G406" s="115" t="s">
        <v>521</v>
      </c>
      <c r="H406" s="115" t="s">
        <v>526</v>
      </c>
      <c r="I406">
        <v>118</v>
      </c>
    </row>
    <row r="407" spans="1:10">
      <c r="A407" s="115" t="s">
        <v>1079</v>
      </c>
      <c r="B407" s="115" t="s">
        <v>504</v>
      </c>
      <c r="C407" s="115" t="s">
        <v>505</v>
      </c>
      <c r="D407" s="115" t="s">
        <v>506</v>
      </c>
      <c r="E407">
        <v>3447</v>
      </c>
      <c r="F407" s="115" t="s">
        <v>1092</v>
      </c>
      <c r="G407" s="115" t="s">
        <v>508</v>
      </c>
      <c r="H407" s="115" t="s">
        <v>538</v>
      </c>
      <c r="I407">
        <v>150</v>
      </c>
    </row>
    <row r="408" spans="1:10">
      <c r="A408" s="115" t="s">
        <v>1079</v>
      </c>
      <c r="B408" s="115" t="s">
        <v>504</v>
      </c>
      <c r="C408" s="115" t="s">
        <v>505</v>
      </c>
      <c r="D408" s="115" t="s">
        <v>512</v>
      </c>
      <c r="E408">
        <v>3464</v>
      </c>
      <c r="F408" s="115" t="s">
        <v>1093</v>
      </c>
      <c r="G408" s="115" t="s">
        <v>508</v>
      </c>
      <c r="H408" s="115" t="s">
        <v>563</v>
      </c>
      <c r="I408">
        <v>82</v>
      </c>
    </row>
    <row r="409" spans="1:10">
      <c r="A409" s="115" t="s">
        <v>1079</v>
      </c>
      <c r="B409" s="115" t="s">
        <v>504</v>
      </c>
      <c r="C409" s="115" t="s">
        <v>505</v>
      </c>
      <c r="D409" s="115" t="s">
        <v>512</v>
      </c>
      <c r="E409">
        <v>3467</v>
      </c>
      <c r="F409" s="115" t="s">
        <v>1094</v>
      </c>
      <c r="G409" s="115" t="s">
        <v>508</v>
      </c>
      <c r="H409" s="115" t="s">
        <v>563</v>
      </c>
      <c r="I409">
        <v>29</v>
      </c>
    </row>
    <row r="410" spans="1:10">
      <c r="A410" s="115" t="s">
        <v>1079</v>
      </c>
      <c r="B410" s="115" t="s">
        <v>504</v>
      </c>
      <c r="C410" s="115" t="s">
        <v>505</v>
      </c>
      <c r="D410" s="115" t="s">
        <v>506</v>
      </c>
      <c r="E410">
        <v>3943</v>
      </c>
      <c r="F410" s="115" t="s">
        <v>1095</v>
      </c>
      <c r="G410" s="115" t="s">
        <v>943</v>
      </c>
      <c r="H410" s="115" t="s">
        <v>607</v>
      </c>
      <c r="I410">
        <v>76</v>
      </c>
    </row>
    <row r="411" spans="1:10">
      <c r="A411" s="115" t="s">
        <v>1079</v>
      </c>
      <c r="B411" s="115" t="s">
        <v>504</v>
      </c>
      <c r="C411" s="115" t="s">
        <v>505</v>
      </c>
      <c r="D411" s="115" t="s">
        <v>506</v>
      </c>
      <c r="E411">
        <v>4046</v>
      </c>
      <c r="F411" s="115" t="s">
        <v>1096</v>
      </c>
      <c r="G411" s="115" t="s">
        <v>508</v>
      </c>
      <c r="H411" s="115" t="s">
        <v>532</v>
      </c>
      <c r="I411">
        <v>810</v>
      </c>
    </row>
    <row r="412" spans="1:10">
      <c r="A412" s="115" t="s">
        <v>1079</v>
      </c>
      <c r="B412" s="115" t="s">
        <v>504</v>
      </c>
      <c r="C412" s="115" t="s">
        <v>505</v>
      </c>
      <c r="D412" s="115" t="s">
        <v>512</v>
      </c>
      <c r="E412">
        <v>4080</v>
      </c>
      <c r="F412" s="115" t="s">
        <v>1097</v>
      </c>
      <c r="G412" s="115" t="s">
        <v>514</v>
      </c>
      <c r="H412" s="115" t="s">
        <v>532</v>
      </c>
      <c r="I412">
        <v>294</v>
      </c>
    </row>
    <row r="413" spans="1:10">
      <c r="A413" s="115" t="s">
        <v>1079</v>
      </c>
      <c r="B413" s="115" t="s">
        <v>504</v>
      </c>
      <c r="C413" s="115" t="s">
        <v>511</v>
      </c>
      <c r="D413" s="115" t="s">
        <v>512</v>
      </c>
      <c r="E413">
        <v>4447</v>
      </c>
      <c r="F413" s="115" t="s">
        <v>1098</v>
      </c>
      <c r="G413" s="115" t="s">
        <v>943</v>
      </c>
      <c r="H413" s="115" t="s">
        <v>528</v>
      </c>
      <c r="I413">
        <v>22</v>
      </c>
    </row>
    <row r="414" spans="1:10">
      <c r="A414" s="115" t="s">
        <v>1079</v>
      </c>
      <c r="B414" s="115" t="s">
        <v>504</v>
      </c>
      <c r="C414" s="115" t="s">
        <v>505</v>
      </c>
      <c r="D414" s="115" t="s">
        <v>506</v>
      </c>
      <c r="E414">
        <v>4548</v>
      </c>
      <c r="F414" s="115" t="s">
        <v>1099</v>
      </c>
      <c r="G414" s="115" t="s">
        <v>508</v>
      </c>
      <c r="H414" s="115" t="s">
        <v>663</v>
      </c>
      <c r="I414">
        <v>712</v>
      </c>
    </row>
    <row r="415" spans="1:10">
      <c r="A415" s="115" t="s">
        <v>1079</v>
      </c>
      <c r="B415" s="115" t="s">
        <v>504</v>
      </c>
      <c r="C415" s="115" t="s">
        <v>505</v>
      </c>
      <c r="D415" s="115" t="s">
        <v>506</v>
      </c>
      <c r="E415">
        <v>5192</v>
      </c>
      <c r="F415" s="115" t="s">
        <v>1100</v>
      </c>
      <c r="G415" s="115" t="s">
        <v>508</v>
      </c>
      <c r="H415" s="115" t="s">
        <v>1101</v>
      </c>
      <c r="I415">
        <v>682</v>
      </c>
    </row>
    <row r="416" spans="1:10">
      <c r="A416" s="115" t="s">
        <v>1079</v>
      </c>
      <c r="B416" s="115" t="s">
        <v>504</v>
      </c>
      <c r="C416" s="115" t="s">
        <v>505</v>
      </c>
      <c r="D416" s="115" t="s">
        <v>506</v>
      </c>
      <c r="E416">
        <v>5964</v>
      </c>
      <c r="F416" s="115" t="s">
        <v>1102</v>
      </c>
      <c r="G416" s="115" t="s">
        <v>521</v>
      </c>
      <c r="H416" s="115" t="s">
        <v>538</v>
      </c>
      <c r="I416">
        <v>21</v>
      </c>
    </row>
    <row r="417" spans="1:10">
      <c r="A417" s="115" t="s">
        <v>1079</v>
      </c>
      <c r="B417" s="115" t="s">
        <v>504</v>
      </c>
      <c r="C417" s="115" t="s">
        <v>505</v>
      </c>
      <c r="D417" s="115" t="s">
        <v>506</v>
      </c>
      <c r="E417">
        <v>5989</v>
      </c>
      <c r="F417" s="115" t="s">
        <v>1103</v>
      </c>
      <c r="G417" s="115" t="s">
        <v>508</v>
      </c>
      <c r="H417" s="115" t="s">
        <v>538</v>
      </c>
      <c r="I417">
        <v>207</v>
      </c>
    </row>
    <row r="418" spans="1:10">
      <c r="A418" s="115" t="s">
        <v>1079</v>
      </c>
      <c r="B418" s="115" t="s">
        <v>504</v>
      </c>
      <c r="C418" s="115" t="s">
        <v>505</v>
      </c>
      <c r="D418" s="115" t="s">
        <v>506</v>
      </c>
      <c r="E418">
        <v>6240</v>
      </c>
      <c r="F418" s="115" t="s">
        <v>1104</v>
      </c>
      <c r="G418" s="115" t="s">
        <v>508</v>
      </c>
      <c r="H418" s="115" t="s">
        <v>547</v>
      </c>
      <c r="I418">
        <v>646</v>
      </c>
    </row>
    <row r="419" spans="1:10">
      <c r="A419" s="115" t="s">
        <v>1079</v>
      </c>
      <c r="B419" s="115" t="s">
        <v>504</v>
      </c>
      <c r="C419" s="115" t="s">
        <v>519</v>
      </c>
      <c r="D419" s="115" t="s">
        <v>506</v>
      </c>
      <c r="E419">
        <v>6537</v>
      </c>
      <c r="F419" s="115" t="s">
        <v>1105</v>
      </c>
      <c r="G419" s="115" t="s">
        <v>530</v>
      </c>
      <c r="H419" s="115" t="s">
        <v>515</v>
      </c>
      <c r="I419">
        <v>66</v>
      </c>
    </row>
    <row r="420" spans="1:10">
      <c r="A420" s="115" t="s">
        <v>1079</v>
      </c>
      <c r="B420" s="115" t="s">
        <v>504</v>
      </c>
      <c r="C420" s="115" t="s">
        <v>505</v>
      </c>
      <c r="D420" s="115" t="s">
        <v>506</v>
      </c>
      <c r="E420">
        <v>6832</v>
      </c>
      <c r="F420" s="115" t="s">
        <v>1106</v>
      </c>
      <c r="G420" s="115" t="s">
        <v>521</v>
      </c>
      <c r="H420" s="115" t="s">
        <v>561</v>
      </c>
      <c r="I420">
        <v>280</v>
      </c>
    </row>
    <row r="421" spans="1:10">
      <c r="A421" s="115" t="s">
        <v>1079</v>
      </c>
      <c r="B421" s="115" t="s">
        <v>504</v>
      </c>
      <c r="C421" s="115" t="s">
        <v>505</v>
      </c>
      <c r="D421" s="115" t="s">
        <v>506</v>
      </c>
      <c r="E421">
        <v>7057</v>
      </c>
      <c r="F421" s="115" t="s">
        <v>1107</v>
      </c>
      <c r="G421" s="115" t="s">
        <v>514</v>
      </c>
      <c r="H421" s="115" t="s">
        <v>515</v>
      </c>
      <c r="I421">
        <v>42</v>
      </c>
    </row>
    <row r="422" spans="1:10">
      <c r="A422" s="115" t="s">
        <v>1079</v>
      </c>
      <c r="B422" s="115" t="s">
        <v>504</v>
      </c>
      <c r="C422" s="115" t="s">
        <v>505</v>
      </c>
      <c r="D422" s="115" t="s">
        <v>512</v>
      </c>
      <c r="E422">
        <v>7164</v>
      </c>
      <c r="F422" s="115" t="s">
        <v>1108</v>
      </c>
      <c r="G422" s="115" t="s">
        <v>508</v>
      </c>
      <c r="H422" s="115" t="s">
        <v>611</v>
      </c>
      <c r="I422" s="115" t="s">
        <v>796</v>
      </c>
      <c r="J422" s="115" t="s">
        <v>1109</v>
      </c>
    </row>
    <row r="423" spans="1:10">
      <c r="A423" s="115" t="s">
        <v>1079</v>
      </c>
      <c r="B423" s="115" t="s">
        <v>504</v>
      </c>
      <c r="C423" s="115" t="s">
        <v>505</v>
      </c>
      <c r="D423" s="115" t="s">
        <v>506</v>
      </c>
      <c r="E423">
        <v>7230</v>
      </c>
      <c r="F423" s="115" t="s">
        <v>1110</v>
      </c>
      <c r="G423" s="115" t="s">
        <v>508</v>
      </c>
      <c r="H423" s="115" t="s">
        <v>589</v>
      </c>
      <c r="I423" s="115" t="s">
        <v>593</v>
      </c>
      <c r="J423" s="115" t="s">
        <v>1111</v>
      </c>
    </row>
    <row r="424" spans="1:10">
      <c r="A424" s="115" t="s">
        <v>1079</v>
      </c>
      <c r="B424" s="115" t="s">
        <v>504</v>
      </c>
      <c r="C424" s="115" t="s">
        <v>505</v>
      </c>
      <c r="D424" s="115" t="s">
        <v>506</v>
      </c>
      <c r="E424">
        <v>7259</v>
      </c>
      <c r="F424" s="115" t="s">
        <v>1112</v>
      </c>
      <c r="G424" s="115" t="s">
        <v>508</v>
      </c>
      <c r="H424" s="115" t="s">
        <v>589</v>
      </c>
      <c r="I424" s="115" t="s">
        <v>1113</v>
      </c>
      <c r="J424" s="115" t="s">
        <v>1003</v>
      </c>
    </row>
    <row r="425" spans="1:10">
      <c r="A425" s="115" t="s">
        <v>1079</v>
      </c>
      <c r="B425" s="115" t="s">
        <v>504</v>
      </c>
      <c r="C425" s="115" t="s">
        <v>505</v>
      </c>
      <c r="D425" s="115" t="s">
        <v>512</v>
      </c>
      <c r="E425">
        <v>7481</v>
      </c>
      <c r="F425" s="115" t="s">
        <v>1114</v>
      </c>
      <c r="G425" s="115" t="s">
        <v>508</v>
      </c>
      <c r="H425" s="115" t="s">
        <v>517</v>
      </c>
      <c r="I425">
        <v>136</v>
      </c>
    </row>
    <row r="426" spans="1:10">
      <c r="A426" s="115" t="s">
        <v>1079</v>
      </c>
      <c r="B426" s="115" t="s">
        <v>504</v>
      </c>
      <c r="C426" s="115" t="s">
        <v>505</v>
      </c>
      <c r="D426" s="115" t="s">
        <v>506</v>
      </c>
      <c r="E426">
        <v>7702</v>
      </c>
      <c r="F426" s="115" t="s">
        <v>1115</v>
      </c>
      <c r="G426" s="115" t="s">
        <v>508</v>
      </c>
      <c r="H426" s="115" t="s">
        <v>828</v>
      </c>
      <c r="I426">
        <v>181</v>
      </c>
    </row>
    <row r="427" spans="1:10">
      <c r="A427" s="115" t="s">
        <v>1079</v>
      </c>
      <c r="B427" s="115" t="s">
        <v>504</v>
      </c>
      <c r="C427" s="115" t="s">
        <v>524</v>
      </c>
      <c r="D427" s="115" t="s">
        <v>506</v>
      </c>
      <c r="E427">
        <v>7813</v>
      </c>
      <c r="F427" s="115" t="s">
        <v>1116</v>
      </c>
      <c r="G427" s="115" t="s">
        <v>530</v>
      </c>
      <c r="H427" s="115" t="s">
        <v>549</v>
      </c>
      <c r="I427">
        <v>55</v>
      </c>
    </row>
    <row r="428" spans="1:10">
      <c r="A428" s="115" t="s">
        <v>1079</v>
      </c>
      <c r="B428" s="115" t="s">
        <v>504</v>
      </c>
      <c r="C428" s="115" t="s">
        <v>519</v>
      </c>
      <c r="D428" s="115" t="s">
        <v>506</v>
      </c>
      <c r="E428">
        <v>7963</v>
      </c>
      <c r="F428" s="115" t="s">
        <v>1117</v>
      </c>
      <c r="G428" s="115" t="s">
        <v>514</v>
      </c>
      <c r="H428" s="115" t="s">
        <v>549</v>
      </c>
      <c r="I428">
        <v>68</v>
      </c>
    </row>
    <row r="429" spans="1:10">
      <c r="A429" s="115" t="s">
        <v>1079</v>
      </c>
      <c r="B429" s="115" t="s">
        <v>504</v>
      </c>
      <c r="C429" s="115" t="s">
        <v>505</v>
      </c>
      <c r="D429" s="115" t="s">
        <v>506</v>
      </c>
      <c r="E429">
        <v>8138</v>
      </c>
      <c r="F429" s="115" t="s">
        <v>1118</v>
      </c>
      <c r="G429" s="115" t="s">
        <v>521</v>
      </c>
      <c r="H429" s="115" t="s">
        <v>517</v>
      </c>
      <c r="I429">
        <v>44</v>
      </c>
    </row>
    <row r="430" spans="1:10">
      <c r="A430" s="115" t="s">
        <v>1079</v>
      </c>
      <c r="B430" s="115" t="s">
        <v>504</v>
      </c>
      <c r="C430" s="115" t="s">
        <v>505</v>
      </c>
      <c r="D430" s="115" t="s">
        <v>506</v>
      </c>
      <c r="E430">
        <v>8153</v>
      </c>
      <c r="F430" s="115" t="s">
        <v>1119</v>
      </c>
      <c r="G430" s="115" t="s">
        <v>508</v>
      </c>
      <c r="H430" s="115" t="s">
        <v>517</v>
      </c>
      <c r="I430">
        <v>983</v>
      </c>
    </row>
    <row r="431" spans="1:10">
      <c r="A431" s="115" t="s">
        <v>1079</v>
      </c>
      <c r="B431" s="115" t="s">
        <v>504</v>
      </c>
      <c r="C431" s="115" t="s">
        <v>505</v>
      </c>
      <c r="D431" s="115" t="s">
        <v>506</v>
      </c>
      <c r="E431">
        <v>8226</v>
      </c>
      <c r="F431" s="115" t="s">
        <v>1120</v>
      </c>
      <c r="G431" s="115" t="s">
        <v>521</v>
      </c>
      <c r="H431" s="115" t="s">
        <v>517</v>
      </c>
      <c r="I431">
        <v>29</v>
      </c>
    </row>
    <row r="432" spans="1:10">
      <c r="A432" s="115" t="s">
        <v>1079</v>
      </c>
      <c r="B432" s="115" t="s">
        <v>504</v>
      </c>
      <c r="C432" s="115" t="s">
        <v>505</v>
      </c>
      <c r="D432" s="115" t="s">
        <v>506</v>
      </c>
      <c r="E432">
        <v>8281</v>
      </c>
      <c r="F432" s="115" t="s">
        <v>1121</v>
      </c>
      <c r="G432" s="115" t="s">
        <v>508</v>
      </c>
      <c r="H432" s="115" t="s">
        <v>526</v>
      </c>
      <c r="I432">
        <v>611</v>
      </c>
    </row>
    <row r="433" spans="1:10">
      <c r="A433" s="115" t="s">
        <v>1079</v>
      </c>
      <c r="B433" s="115" t="s">
        <v>504</v>
      </c>
      <c r="C433" s="115" t="s">
        <v>505</v>
      </c>
      <c r="D433" s="115" t="s">
        <v>506</v>
      </c>
      <c r="E433">
        <v>9001</v>
      </c>
      <c r="F433" s="115" t="s">
        <v>1122</v>
      </c>
      <c r="G433" s="115" t="s">
        <v>508</v>
      </c>
      <c r="H433" s="115" t="s">
        <v>854</v>
      </c>
      <c r="I433" s="115" t="s">
        <v>830</v>
      </c>
      <c r="J433" s="115" t="s">
        <v>1123</v>
      </c>
    </row>
    <row r="434" spans="1:10">
      <c r="A434" s="115" t="s">
        <v>1079</v>
      </c>
      <c r="B434" s="115" t="s">
        <v>504</v>
      </c>
      <c r="C434" s="115" t="s">
        <v>505</v>
      </c>
      <c r="D434" s="115" t="s">
        <v>506</v>
      </c>
      <c r="E434">
        <v>9364</v>
      </c>
      <c r="F434" s="115" t="s">
        <v>1124</v>
      </c>
      <c r="G434" s="115" t="s">
        <v>508</v>
      </c>
      <c r="H434" s="115" t="s">
        <v>1125</v>
      </c>
      <c r="I434" s="115" t="s">
        <v>796</v>
      </c>
      <c r="J434" s="115" t="s">
        <v>1126</v>
      </c>
    </row>
    <row r="435" spans="1:10">
      <c r="A435" s="115" t="s">
        <v>1079</v>
      </c>
      <c r="B435" s="115" t="s">
        <v>504</v>
      </c>
      <c r="C435" s="115" t="s">
        <v>505</v>
      </c>
      <c r="D435" s="115" t="s">
        <v>506</v>
      </c>
      <c r="E435">
        <v>9613</v>
      </c>
      <c r="F435" s="115" t="s">
        <v>1127</v>
      </c>
      <c r="G435" s="115" t="s">
        <v>508</v>
      </c>
      <c r="H435" s="115" t="s">
        <v>528</v>
      </c>
      <c r="I435" s="115" t="s">
        <v>1128</v>
      </c>
      <c r="J435" s="115" t="s">
        <v>1129</v>
      </c>
    </row>
    <row r="436" spans="1:10">
      <c r="A436" s="115" t="s">
        <v>1079</v>
      </c>
      <c r="B436" s="115" t="s">
        <v>504</v>
      </c>
      <c r="C436" s="115" t="s">
        <v>505</v>
      </c>
      <c r="D436" s="115" t="s">
        <v>506</v>
      </c>
      <c r="E436">
        <v>9671</v>
      </c>
      <c r="F436" s="115" t="s">
        <v>1130</v>
      </c>
      <c r="G436" s="115" t="s">
        <v>508</v>
      </c>
      <c r="H436" s="115" t="s">
        <v>515</v>
      </c>
      <c r="I436">
        <v>378</v>
      </c>
    </row>
    <row r="437" spans="1:10">
      <c r="A437" s="115" t="s">
        <v>1079</v>
      </c>
      <c r="B437" s="115" t="s">
        <v>504</v>
      </c>
      <c r="C437" s="115" t="s">
        <v>505</v>
      </c>
      <c r="D437" s="115" t="s">
        <v>506</v>
      </c>
      <c r="E437">
        <v>9887</v>
      </c>
      <c r="F437" s="115" t="s">
        <v>1131</v>
      </c>
      <c r="G437" s="115" t="s">
        <v>508</v>
      </c>
      <c r="H437" s="115" t="s">
        <v>526</v>
      </c>
      <c r="I437">
        <v>811</v>
      </c>
    </row>
    <row r="438" spans="1:10">
      <c r="A438" s="115" t="s">
        <v>1079</v>
      </c>
      <c r="B438" s="115" t="s">
        <v>504</v>
      </c>
      <c r="C438" s="115" t="s">
        <v>505</v>
      </c>
      <c r="D438" s="115" t="s">
        <v>506</v>
      </c>
      <c r="E438">
        <v>9896</v>
      </c>
      <c r="F438" s="115" t="s">
        <v>1132</v>
      </c>
      <c r="G438" s="115" t="s">
        <v>508</v>
      </c>
      <c r="H438" s="115" t="s">
        <v>517</v>
      </c>
      <c r="I438">
        <v>210</v>
      </c>
    </row>
    <row r="439" spans="1:10">
      <c r="A439" s="115" t="s">
        <v>1133</v>
      </c>
      <c r="B439" s="115" t="s">
        <v>504</v>
      </c>
      <c r="C439" s="115" t="s">
        <v>505</v>
      </c>
      <c r="D439" s="115" t="s">
        <v>512</v>
      </c>
      <c r="E439">
        <v>1450</v>
      </c>
      <c r="F439" s="115" t="s">
        <v>1134</v>
      </c>
      <c r="G439" s="115" t="s">
        <v>514</v>
      </c>
      <c r="H439" s="115" t="s">
        <v>571</v>
      </c>
      <c r="I439">
        <v>54</v>
      </c>
    </row>
    <row r="440" spans="1:10">
      <c r="A440" s="115" t="s">
        <v>1133</v>
      </c>
      <c r="B440" s="115" t="s">
        <v>504</v>
      </c>
      <c r="C440" s="115" t="s">
        <v>505</v>
      </c>
      <c r="D440" s="115" t="s">
        <v>506</v>
      </c>
      <c r="E440">
        <v>1451</v>
      </c>
      <c r="F440" s="115" t="s">
        <v>1135</v>
      </c>
      <c r="G440" s="115" t="s">
        <v>521</v>
      </c>
      <c r="H440" s="115" t="s">
        <v>571</v>
      </c>
      <c r="I440">
        <v>31</v>
      </c>
    </row>
    <row r="441" spans="1:10">
      <c r="A441" s="115" t="s">
        <v>1133</v>
      </c>
      <c r="B441" s="115" t="s">
        <v>504</v>
      </c>
      <c r="C441" s="115" t="s">
        <v>519</v>
      </c>
      <c r="D441" s="115" t="s">
        <v>506</v>
      </c>
      <c r="E441">
        <v>1605</v>
      </c>
      <c r="F441" s="115" t="s">
        <v>1136</v>
      </c>
      <c r="G441" s="115" t="s">
        <v>508</v>
      </c>
      <c r="H441" s="115" t="s">
        <v>1137</v>
      </c>
      <c r="I441" s="115" t="s">
        <v>1138</v>
      </c>
      <c r="J441" s="115" t="s">
        <v>1139</v>
      </c>
    </row>
    <row r="442" spans="1:10">
      <c r="A442" s="115" t="s">
        <v>1133</v>
      </c>
      <c r="B442" s="115" t="s">
        <v>504</v>
      </c>
      <c r="C442" s="115" t="s">
        <v>505</v>
      </c>
      <c r="D442" s="115" t="s">
        <v>506</v>
      </c>
      <c r="E442">
        <v>1866</v>
      </c>
      <c r="F442" s="115" t="s">
        <v>1140</v>
      </c>
      <c r="G442" s="115" t="s">
        <v>508</v>
      </c>
      <c r="H442" s="115" t="s">
        <v>571</v>
      </c>
      <c r="I442">
        <v>184</v>
      </c>
    </row>
    <row r="443" spans="1:10">
      <c r="A443" s="115" t="s">
        <v>1133</v>
      </c>
      <c r="B443" s="115" t="s">
        <v>504</v>
      </c>
      <c r="C443" s="115" t="s">
        <v>519</v>
      </c>
      <c r="D443" s="115" t="s">
        <v>506</v>
      </c>
      <c r="E443">
        <v>1899</v>
      </c>
      <c r="F443" s="115" t="s">
        <v>1141</v>
      </c>
      <c r="G443" s="115" t="s">
        <v>508</v>
      </c>
      <c r="H443" s="115" t="s">
        <v>571</v>
      </c>
      <c r="I443">
        <v>431</v>
      </c>
    </row>
    <row r="444" spans="1:10">
      <c r="A444" s="115" t="s">
        <v>1133</v>
      </c>
      <c r="B444" s="115" t="s">
        <v>504</v>
      </c>
      <c r="C444" s="115" t="s">
        <v>505</v>
      </c>
      <c r="D444" s="115" t="s">
        <v>506</v>
      </c>
      <c r="E444">
        <v>1952</v>
      </c>
      <c r="F444" s="115" t="s">
        <v>1142</v>
      </c>
      <c r="G444" s="115" t="s">
        <v>508</v>
      </c>
      <c r="H444" s="115" t="s">
        <v>571</v>
      </c>
      <c r="I444">
        <v>543</v>
      </c>
    </row>
    <row r="445" spans="1:10">
      <c r="A445" s="115" t="s">
        <v>1133</v>
      </c>
      <c r="B445" s="115" t="s">
        <v>504</v>
      </c>
      <c r="C445" s="115" t="s">
        <v>505</v>
      </c>
      <c r="D445" s="115" t="s">
        <v>506</v>
      </c>
      <c r="E445">
        <v>2134</v>
      </c>
      <c r="F445" s="115" t="s">
        <v>1143</v>
      </c>
      <c r="G445" s="115" t="s">
        <v>514</v>
      </c>
      <c r="H445" s="115" t="s">
        <v>515</v>
      </c>
      <c r="I445">
        <v>41</v>
      </c>
    </row>
    <row r="446" spans="1:10">
      <c r="A446" s="115" t="s">
        <v>1133</v>
      </c>
      <c r="B446" s="115" t="s">
        <v>504</v>
      </c>
      <c r="C446" s="115" t="s">
        <v>511</v>
      </c>
      <c r="D446" s="115" t="s">
        <v>506</v>
      </c>
      <c r="E446">
        <v>2974</v>
      </c>
      <c r="F446" s="115" t="s">
        <v>1144</v>
      </c>
      <c r="G446" s="115" t="s">
        <v>943</v>
      </c>
      <c r="H446" s="115" t="s">
        <v>563</v>
      </c>
      <c r="I446">
        <v>33</v>
      </c>
    </row>
    <row r="447" spans="1:10">
      <c r="A447" s="115" t="s">
        <v>1133</v>
      </c>
      <c r="B447" s="115" t="s">
        <v>504</v>
      </c>
      <c r="C447" s="115" t="s">
        <v>505</v>
      </c>
      <c r="D447" s="115" t="s">
        <v>506</v>
      </c>
      <c r="E447">
        <v>2976</v>
      </c>
      <c r="F447" s="115" t="s">
        <v>1145</v>
      </c>
      <c r="G447" s="115" t="s">
        <v>1146</v>
      </c>
      <c r="H447" s="115" t="s">
        <v>563</v>
      </c>
      <c r="I447">
        <v>14</v>
      </c>
    </row>
    <row r="448" spans="1:10">
      <c r="A448" s="115" t="s">
        <v>1133</v>
      </c>
      <c r="B448" s="115" t="s">
        <v>504</v>
      </c>
      <c r="C448" s="115" t="s">
        <v>519</v>
      </c>
      <c r="D448" s="115" t="s">
        <v>506</v>
      </c>
      <c r="E448">
        <v>3606</v>
      </c>
      <c r="F448" s="115" t="s">
        <v>1147</v>
      </c>
      <c r="G448" s="115" t="s">
        <v>508</v>
      </c>
      <c r="H448" s="115" t="s">
        <v>605</v>
      </c>
      <c r="I448">
        <v>118</v>
      </c>
    </row>
    <row r="449" spans="1:10">
      <c r="A449" s="115" t="s">
        <v>1133</v>
      </c>
      <c r="B449" s="115" t="s">
        <v>504</v>
      </c>
      <c r="C449" s="115" t="s">
        <v>524</v>
      </c>
      <c r="D449" s="115" t="s">
        <v>506</v>
      </c>
      <c r="E449">
        <v>3856</v>
      </c>
      <c r="F449" s="115" t="s">
        <v>1148</v>
      </c>
      <c r="G449" s="115" t="s">
        <v>521</v>
      </c>
      <c r="H449" s="115" t="s">
        <v>561</v>
      </c>
      <c r="I449">
        <v>29</v>
      </c>
    </row>
    <row r="450" spans="1:10">
      <c r="A450" s="115" t="s">
        <v>1133</v>
      </c>
      <c r="B450" s="115" t="s">
        <v>504</v>
      </c>
      <c r="C450" s="115" t="s">
        <v>505</v>
      </c>
      <c r="D450" s="115" t="s">
        <v>506</v>
      </c>
      <c r="E450">
        <v>3896</v>
      </c>
      <c r="F450" s="115" t="s">
        <v>1149</v>
      </c>
      <c r="G450" s="115" t="s">
        <v>508</v>
      </c>
      <c r="H450" s="115" t="s">
        <v>607</v>
      </c>
      <c r="I450">
        <v>46</v>
      </c>
    </row>
    <row r="451" spans="1:10">
      <c r="A451" s="115" t="s">
        <v>1133</v>
      </c>
      <c r="B451" s="115" t="s">
        <v>504</v>
      </c>
      <c r="C451" s="115" t="s">
        <v>519</v>
      </c>
      <c r="D451" s="115" t="s">
        <v>506</v>
      </c>
      <c r="E451">
        <v>3902</v>
      </c>
      <c r="F451" s="115" t="s">
        <v>1150</v>
      </c>
      <c r="G451" s="115" t="s">
        <v>508</v>
      </c>
      <c r="H451" s="115" t="s">
        <v>528</v>
      </c>
      <c r="I451">
        <v>410</v>
      </c>
    </row>
    <row r="452" spans="1:10">
      <c r="A452" s="115" t="s">
        <v>1133</v>
      </c>
      <c r="B452" s="115" t="s">
        <v>504</v>
      </c>
      <c r="C452" s="115" t="s">
        <v>505</v>
      </c>
      <c r="D452" s="115" t="s">
        <v>506</v>
      </c>
      <c r="E452">
        <v>3963</v>
      </c>
      <c r="F452" s="115" t="s">
        <v>1151</v>
      </c>
      <c r="G452" s="115" t="s">
        <v>508</v>
      </c>
      <c r="H452" s="115" t="s">
        <v>528</v>
      </c>
      <c r="I452">
        <v>141</v>
      </c>
    </row>
    <row r="453" spans="1:10">
      <c r="A453" s="115" t="s">
        <v>1133</v>
      </c>
      <c r="B453" s="115" t="s">
        <v>504</v>
      </c>
      <c r="C453" s="115" t="s">
        <v>519</v>
      </c>
      <c r="D453" s="115" t="s">
        <v>506</v>
      </c>
      <c r="E453">
        <v>4245</v>
      </c>
      <c r="F453" s="115" t="s">
        <v>1152</v>
      </c>
      <c r="G453" s="115" t="s">
        <v>508</v>
      </c>
      <c r="H453" s="115" t="s">
        <v>532</v>
      </c>
      <c r="I453">
        <v>125</v>
      </c>
    </row>
    <row r="454" spans="1:10">
      <c r="A454" s="115" t="s">
        <v>1133</v>
      </c>
      <c r="B454" s="115" t="s">
        <v>504</v>
      </c>
      <c r="C454" s="115" t="s">
        <v>519</v>
      </c>
      <c r="D454" s="115" t="s">
        <v>506</v>
      </c>
      <c r="E454">
        <v>4251</v>
      </c>
      <c r="F454" s="115" t="s">
        <v>1153</v>
      </c>
      <c r="G454" s="115" t="s">
        <v>521</v>
      </c>
      <c r="H454" s="115" t="s">
        <v>532</v>
      </c>
      <c r="I454">
        <v>68</v>
      </c>
    </row>
    <row r="455" spans="1:10">
      <c r="A455" s="115" t="s">
        <v>1133</v>
      </c>
      <c r="B455" s="115" t="s">
        <v>504</v>
      </c>
      <c r="C455" s="115" t="s">
        <v>505</v>
      </c>
      <c r="D455" s="115" t="s">
        <v>506</v>
      </c>
      <c r="E455">
        <v>4425</v>
      </c>
      <c r="F455" s="115" t="s">
        <v>1154</v>
      </c>
      <c r="G455" s="115" t="s">
        <v>530</v>
      </c>
      <c r="H455" s="115" t="s">
        <v>528</v>
      </c>
      <c r="I455">
        <v>670</v>
      </c>
    </row>
    <row r="456" spans="1:10">
      <c r="A456" s="115" t="s">
        <v>1133</v>
      </c>
      <c r="B456" s="115" t="s">
        <v>504</v>
      </c>
      <c r="C456" s="115" t="s">
        <v>505</v>
      </c>
      <c r="D456" s="115" t="s">
        <v>512</v>
      </c>
      <c r="E456">
        <v>4435</v>
      </c>
      <c r="F456" s="115" t="s">
        <v>1155</v>
      </c>
      <c r="G456" s="115" t="s">
        <v>530</v>
      </c>
      <c r="H456" s="115" t="s">
        <v>528</v>
      </c>
      <c r="I456">
        <v>401</v>
      </c>
    </row>
    <row r="457" spans="1:10">
      <c r="A457" s="115" t="s">
        <v>1133</v>
      </c>
      <c r="B457" s="115" t="s">
        <v>504</v>
      </c>
      <c r="C457" s="115" t="s">
        <v>505</v>
      </c>
      <c r="D457" s="115" t="s">
        <v>506</v>
      </c>
      <c r="E457">
        <v>4442</v>
      </c>
      <c r="F457" s="115" t="s">
        <v>1156</v>
      </c>
      <c r="G457" s="115" t="s">
        <v>530</v>
      </c>
      <c r="H457" s="115" t="s">
        <v>528</v>
      </c>
      <c r="I457">
        <v>107</v>
      </c>
    </row>
    <row r="458" spans="1:10">
      <c r="A458" s="115" t="s">
        <v>1133</v>
      </c>
      <c r="B458" s="115" t="s">
        <v>504</v>
      </c>
      <c r="C458" s="115" t="s">
        <v>519</v>
      </c>
      <c r="D458" s="115" t="s">
        <v>512</v>
      </c>
      <c r="E458">
        <v>4448</v>
      </c>
      <c r="F458" s="115" t="s">
        <v>1157</v>
      </c>
      <c r="G458" s="115" t="s">
        <v>530</v>
      </c>
      <c r="H458" s="115" t="s">
        <v>528</v>
      </c>
      <c r="I458">
        <v>388</v>
      </c>
    </row>
    <row r="459" spans="1:10">
      <c r="A459" s="115" t="s">
        <v>1133</v>
      </c>
      <c r="B459" s="115" t="s">
        <v>504</v>
      </c>
      <c r="C459" s="115" t="s">
        <v>519</v>
      </c>
      <c r="D459" s="115" t="s">
        <v>506</v>
      </c>
      <c r="E459">
        <v>4449</v>
      </c>
      <c r="F459" s="115" t="s">
        <v>1158</v>
      </c>
      <c r="G459" s="115" t="s">
        <v>530</v>
      </c>
      <c r="H459" s="115" t="s">
        <v>528</v>
      </c>
      <c r="I459">
        <v>484</v>
      </c>
    </row>
    <row r="460" spans="1:10">
      <c r="A460" s="115" t="s">
        <v>1133</v>
      </c>
      <c r="B460" s="115" t="s">
        <v>504</v>
      </c>
      <c r="C460" s="115" t="s">
        <v>519</v>
      </c>
      <c r="D460" s="115" t="s">
        <v>512</v>
      </c>
      <c r="E460">
        <v>4450</v>
      </c>
      <c r="F460" s="115" t="s">
        <v>1159</v>
      </c>
      <c r="G460" s="115" t="s">
        <v>530</v>
      </c>
      <c r="H460" s="115" t="s">
        <v>528</v>
      </c>
      <c r="I460">
        <v>53</v>
      </c>
    </row>
    <row r="461" spans="1:10">
      <c r="A461" s="115" t="s">
        <v>1133</v>
      </c>
      <c r="B461" s="115" t="s">
        <v>504</v>
      </c>
      <c r="C461" s="115" t="s">
        <v>511</v>
      </c>
      <c r="D461" s="115" t="s">
        <v>506</v>
      </c>
      <c r="E461">
        <v>4475</v>
      </c>
      <c r="F461" s="115" t="s">
        <v>1160</v>
      </c>
      <c r="G461" s="115" t="s">
        <v>530</v>
      </c>
      <c r="H461" s="115" t="s">
        <v>528</v>
      </c>
      <c r="I461">
        <v>260</v>
      </c>
    </row>
    <row r="462" spans="1:10">
      <c r="A462" s="115" t="s">
        <v>1133</v>
      </c>
      <c r="B462" s="115" t="s">
        <v>504</v>
      </c>
      <c r="C462" s="115" t="s">
        <v>519</v>
      </c>
      <c r="D462" s="115" t="s">
        <v>512</v>
      </c>
      <c r="E462">
        <v>4476</v>
      </c>
      <c r="F462" s="115" t="s">
        <v>1161</v>
      </c>
      <c r="G462" s="115" t="s">
        <v>530</v>
      </c>
      <c r="H462" s="115" t="s">
        <v>528</v>
      </c>
      <c r="I462">
        <v>79</v>
      </c>
    </row>
    <row r="463" spans="1:10">
      <c r="A463" s="115" t="s">
        <v>1133</v>
      </c>
      <c r="B463" s="115" t="s">
        <v>504</v>
      </c>
      <c r="C463" s="115" t="s">
        <v>519</v>
      </c>
      <c r="D463" s="115" t="s">
        <v>506</v>
      </c>
      <c r="E463">
        <v>4477</v>
      </c>
      <c r="F463" s="115" t="s">
        <v>1162</v>
      </c>
      <c r="G463" s="115" t="s">
        <v>530</v>
      </c>
      <c r="H463" s="115" t="s">
        <v>528</v>
      </c>
      <c r="I463">
        <v>315</v>
      </c>
    </row>
    <row r="464" spans="1:10">
      <c r="A464" s="115" t="s">
        <v>1133</v>
      </c>
      <c r="B464" s="115" t="s">
        <v>504</v>
      </c>
      <c r="C464" s="115" t="s">
        <v>519</v>
      </c>
      <c r="D464" s="115" t="s">
        <v>506</v>
      </c>
      <c r="E464">
        <v>4631</v>
      </c>
      <c r="F464" s="115" t="s">
        <v>1163</v>
      </c>
      <c r="G464" s="115" t="s">
        <v>508</v>
      </c>
      <c r="H464" s="115" t="s">
        <v>532</v>
      </c>
      <c r="I464" s="115" t="s">
        <v>552</v>
      </c>
      <c r="J464" s="115" t="s">
        <v>1164</v>
      </c>
    </row>
    <row r="465" spans="1:9">
      <c r="A465" s="115" t="s">
        <v>1133</v>
      </c>
      <c r="B465" s="115" t="s">
        <v>504</v>
      </c>
      <c r="C465" s="115" t="s">
        <v>505</v>
      </c>
      <c r="D465" s="115" t="s">
        <v>506</v>
      </c>
      <c r="E465">
        <v>4691</v>
      </c>
      <c r="F465" s="115" t="s">
        <v>1165</v>
      </c>
      <c r="G465" s="115" t="s">
        <v>521</v>
      </c>
      <c r="H465" s="115" t="s">
        <v>515</v>
      </c>
      <c r="I465">
        <v>168</v>
      </c>
    </row>
    <row r="466" spans="1:9">
      <c r="A466" s="115" t="s">
        <v>1133</v>
      </c>
      <c r="B466" s="115" t="s">
        <v>504</v>
      </c>
      <c r="C466" s="115" t="s">
        <v>524</v>
      </c>
      <c r="D466" s="115" t="s">
        <v>506</v>
      </c>
      <c r="E466">
        <v>4845</v>
      </c>
      <c r="F466" s="115" t="s">
        <v>1166</v>
      </c>
      <c r="G466" s="115" t="s">
        <v>508</v>
      </c>
      <c r="H466" s="115" t="s">
        <v>528</v>
      </c>
      <c r="I466">
        <v>134</v>
      </c>
    </row>
    <row r="467" spans="1:9">
      <c r="A467" s="115" t="s">
        <v>1133</v>
      </c>
      <c r="B467" s="115" t="s">
        <v>504</v>
      </c>
      <c r="C467" s="115" t="s">
        <v>505</v>
      </c>
      <c r="D467" s="115" t="s">
        <v>506</v>
      </c>
      <c r="E467">
        <v>6082</v>
      </c>
      <c r="F467" s="115" t="s">
        <v>1167</v>
      </c>
      <c r="G467" s="115" t="s">
        <v>508</v>
      </c>
      <c r="H467" s="115" t="s">
        <v>515</v>
      </c>
      <c r="I467">
        <v>202</v>
      </c>
    </row>
    <row r="468" spans="1:9">
      <c r="A468" s="115" t="s">
        <v>1133</v>
      </c>
      <c r="B468" s="115" t="s">
        <v>504</v>
      </c>
      <c r="C468" s="115" t="s">
        <v>505</v>
      </c>
      <c r="D468" s="115" t="s">
        <v>506</v>
      </c>
      <c r="E468">
        <v>6408</v>
      </c>
      <c r="F468" s="115" t="s">
        <v>1168</v>
      </c>
      <c r="G468" s="115" t="s">
        <v>514</v>
      </c>
      <c r="H468" s="115" t="s">
        <v>547</v>
      </c>
      <c r="I468">
        <v>52</v>
      </c>
    </row>
    <row r="469" spans="1:9">
      <c r="A469" s="115" t="s">
        <v>1133</v>
      </c>
      <c r="B469" s="115" t="s">
        <v>504</v>
      </c>
      <c r="C469" s="115" t="s">
        <v>505</v>
      </c>
      <c r="D469" s="115" t="s">
        <v>506</v>
      </c>
      <c r="E469">
        <v>6424</v>
      </c>
      <c r="F469" s="115" t="s">
        <v>1169</v>
      </c>
      <c r="G469" s="115" t="s">
        <v>514</v>
      </c>
      <c r="H469" s="115" t="s">
        <v>547</v>
      </c>
      <c r="I469">
        <v>56</v>
      </c>
    </row>
    <row r="470" spans="1:9">
      <c r="A470" s="115" t="s">
        <v>1133</v>
      </c>
      <c r="B470" s="115" t="s">
        <v>504</v>
      </c>
      <c r="C470" s="115" t="s">
        <v>505</v>
      </c>
      <c r="D470" s="115" t="s">
        <v>506</v>
      </c>
      <c r="E470">
        <v>6517</v>
      </c>
      <c r="F470" s="115" t="s">
        <v>1170</v>
      </c>
      <c r="G470" s="115" t="s">
        <v>508</v>
      </c>
      <c r="H470" s="115" t="s">
        <v>561</v>
      </c>
      <c r="I470">
        <v>486</v>
      </c>
    </row>
    <row r="471" spans="1:9">
      <c r="A471" s="115" t="s">
        <v>1133</v>
      </c>
      <c r="B471" s="115" t="s">
        <v>504</v>
      </c>
      <c r="C471" s="115" t="s">
        <v>505</v>
      </c>
      <c r="D471" s="115" t="s">
        <v>506</v>
      </c>
      <c r="E471">
        <v>6574</v>
      </c>
      <c r="F471" s="115" t="s">
        <v>1171</v>
      </c>
      <c r="G471" s="115" t="s">
        <v>530</v>
      </c>
      <c r="H471" s="115" t="s">
        <v>515</v>
      </c>
      <c r="I471">
        <v>30</v>
      </c>
    </row>
    <row r="472" spans="1:9">
      <c r="A472" s="115" t="s">
        <v>1133</v>
      </c>
      <c r="B472" s="115" t="s">
        <v>504</v>
      </c>
      <c r="C472" s="115" t="s">
        <v>524</v>
      </c>
      <c r="D472" s="115" t="s">
        <v>512</v>
      </c>
      <c r="E472">
        <v>6597</v>
      </c>
      <c r="F472" s="115" t="s">
        <v>1172</v>
      </c>
      <c r="G472" s="115" t="s">
        <v>530</v>
      </c>
      <c r="H472" s="115" t="s">
        <v>561</v>
      </c>
      <c r="I472">
        <v>75</v>
      </c>
    </row>
    <row r="473" spans="1:9">
      <c r="A473" s="115" t="s">
        <v>1133</v>
      </c>
      <c r="B473" s="115" t="s">
        <v>504</v>
      </c>
      <c r="C473" s="115" t="s">
        <v>505</v>
      </c>
      <c r="D473" s="115" t="s">
        <v>506</v>
      </c>
      <c r="E473">
        <v>6706</v>
      </c>
      <c r="F473" s="115" t="s">
        <v>1173</v>
      </c>
      <c r="G473" s="115" t="s">
        <v>508</v>
      </c>
      <c r="H473" s="115" t="s">
        <v>561</v>
      </c>
      <c r="I473">
        <v>445</v>
      </c>
    </row>
    <row r="474" spans="1:9">
      <c r="A474" s="115" t="s">
        <v>1133</v>
      </c>
      <c r="B474" s="115" t="s">
        <v>504</v>
      </c>
      <c r="C474" s="115" t="s">
        <v>505</v>
      </c>
      <c r="D474" s="115" t="s">
        <v>506</v>
      </c>
      <c r="E474">
        <v>6819</v>
      </c>
      <c r="F474" s="115" t="s">
        <v>1174</v>
      </c>
      <c r="G474" s="115" t="s">
        <v>514</v>
      </c>
      <c r="H474" s="115" t="s">
        <v>515</v>
      </c>
      <c r="I474">
        <v>34</v>
      </c>
    </row>
    <row r="475" spans="1:9">
      <c r="A475" s="115" t="s">
        <v>1133</v>
      </c>
      <c r="B475" s="115" t="s">
        <v>504</v>
      </c>
      <c r="C475" s="115" t="s">
        <v>519</v>
      </c>
      <c r="D475" s="115" t="s">
        <v>506</v>
      </c>
      <c r="E475">
        <v>6870</v>
      </c>
      <c r="F475" s="115" t="s">
        <v>1175</v>
      </c>
      <c r="G475" s="115" t="s">
        <v>521</v>
      </c>
      <c r="H475" s="115" t="s">
        <v>561</v>
      </c>
      <c r="I475">
        <v>91</v>
      </c>
    </row>
    <row r="476" spans="1:9">
      <c r="A476" s="115" t="s">
        <v>1133</v>
      </c>
      <c r="B476" s="115" t="s">
        <v>504</v>
      </c>
      <c r="C476" s="115" t="s">
        <v>505</v>
      </c>
      <c r="D476" s="115" t="s">
        <v>506</v>
      </c>
      <c r="E476">
        <v>7060</v>
      </c>
      <c r="F476" s="115" t="s">
        <v>1176</v>
      </c>
      <c r="G476" s="115" t="s">
        <v>530</v>
      </c>
      <c r="H476" s="115" t="s">
        <v>515</v>
      </c>
      <c r="I476">
        <v>155</v>
      </c>
    </row>
    <row r="477" spans="1:9">
      <c r="A477" s="115" t="s">
        <v>1133</v>
      </c>
      <c r="B477" s="115" t="s">
        <v>504</v>
      </c>
      <c r="C477" s="115" t="s">
        <v>524</v>
      </c>
      <c r="D477" s="115" t="s">
        <v>506</v>
      </c>
      <c r="E477">
        <v>7063</v>
      </c>
      <c r="F477" s="115" t="s">
        <v>1177</v>
      </c>
      <c r="G477" s="115" t="s">
        <v>530</v>
      </c>
      <c r="H477" s="115" t="s">
        <v>515</v>
      </c>
      <c r="I477">
        <v>56</v>
      </c>
    </row>
    <row r="478" spans="1:9">
      <c r="A478" s="115" t="s">
        <v>1133</v>
      </c>
      <c r="B478" s="115" t="s">
        <v>504</v>
      </c>
      <c r="C478" s="115" t="s">
        <v>505</v>
      </c>
      <c r="D478" s="115" t="s">
        <v>506</v>
      </c>
      <c r="E478">
        <v>7067</v>
      </c>
      <c r="F478" s="115" t="s">
        <v>1178</v>
      </c>
      <c r="G478" s="115" t="s">
        <v>530</v>
      </c>
      <c r="H478" s="115" t="s">
        <v>515</v>
      </c>
      <c r="I478">
        <v>36</v>
      </c>
    </row>
    <row r="479" spans="1:9">
      <c r="A479" s="115" t="s">
        <v>1133</v>
      </c>
      <c r="B479" s="115" t="s">
        <v>504</v>
      </c>
      <c r="C479" s="115" t="s">
        <v>511</v>
      </c>
      <c r="D479" s="115" t="s">
        <v>512</v>
      </c>
      <c r="E479">
        <v>7072</v>
      </c>
      <c r="F479" s="115" t="s">
        <v>1179</v>
      </c>
      <c r="G479" s="115" t="s">
        <v>530</v>
      </c>
      <c r="H479" s="115" t="s">
        <v>515</v>
      </c>
      <c r="I479">
        <v>86</v>
      </c>
    </row>
    <row r="480" spans="1:9">
      <c r="A480" s="115" t="s">
        <v>1133</v>
      </c>
      <c r="B480" s="115" t="s">
        <v>504</v>
      </c>
      <c r="C480" s="115" t="s">
        <v>505</v>
      </c>
      <c r="D480" s="115" t="s">
        <v>506</v>
      </c>
      <c r="E480">
        <v>7239</v>
      </c>
      <c r="F480" s="115" t="s">
        <v>1180</v>
      </c>
      <c r="G480" s="115" t="s">
        <v>508</v>
      </c>
      <c r="H480" s="115" t="s">
        <v>589</v>
      </c>
      <c r="I480">
        <v>498</v>
      </c>
    </row>
    <row r="481" spans="1:10">
      <c r="A481" s="115" t="s">
        <v>1133</v>
      </c>
      <c r="B481" s="115" t="s">
        <v>504</v>
      </c>
      <c r="C481" s="115" t="s">
        <v>505</v>
      </c>
      <c r="D481" s="115" t="s">
        <v>506</v>
      </c>
      <c r="E481">
        <v>7242</v>
      </c>
      <c r="F481" s="115" t="s">
        <v>1181</v>
      </c>
      <c r="G481" s="115" t="s">
        <v>508</v>
      </c>
      <c r="H481" s="115" t="s">
        <v>589</v>
      </c>
      <c r="I481">
        <v>852</v>
      </c>
    </row>
    <row r="482" spans="1:10">
      <c r="A482" s="115" t="s">
        <v>1133</v>
      </c>
      <c r="B482" s="115" t="s">
        <v>504</v>
      </c>
      <c r="C482" s="115" t="s">
        <v>524</v>
      </c>
      <c r="D482" s="115" t="s">
        <v>512</v>
      </c>
      <c r="E482">
        <v>7674</v>
      </c>
      <c r="F482" s="115" t="s">
        <v>1182</v>
      </c>
      <c r="G482" s="115" t="s">
        <v>530</v>
      </c>
      <c r="H482" s="115" t="s">
        <v>526</v>
      </c>
      <c r="I482">
        <v>73</v>
      </c>
    </row>
    <row r="483" spans="1:10">
      <c r="A483" s="115" t="s">
        <v>1133</v>
      </c>
      <c r="B483" s="115" t="s">
        <v>504</v>
      </c>
      <c r="C483" s="115" t="s">
        <v>511</v>
      </c>
      <c r="D483" s="115" t="s">
        <v>512</v>
      </c>
      <c r="E483">
        <v>7676</v>
      </c>
      <c r="F483" s="115" t="s">
        <v>1183</v>
      </c>
      <c r="G483" s="115" t="s">
        <v>530</v>
      </c>
      <c r="H483" s="115" t="s">
        <v>526</v>
      </c>
      <c r="I483">
        <v>46</v>
      </c>
    </row>
    <row r="484" spans="1:10">
      <c r="A484" s="115" t="s">
        <v>1133</v>
      </c>
      <c r="B484" s="115" t="s">
        <v>504</v>
      </c>
      <c r="C484" s="115" t="s">
        <v>505</v>
      </c>
      <c r="D484" s="115" t="s">
        <v>506</v>
      </c>
      <c r="E484">
        <v>7677</v>
      </c>
      <c r="F484" s="115" t="s">
        <v>1184</v>
      </c>
      <c r="G484" s="115" t="s">
        <v>521</v>
      </c>
      <c r="H484" s="115" t="s">
        <v>517</v>
      </c>
      <c r="I484">
        <v>55</v>
      </c>
    </row>
    <row r="485" spans="1:10">
      <c r="A485" s="115" t="s">
        <v>1133</v>
      </c>
      <c r="B485" s="115" t="s">
        <v>504</v>
      </c>
      <c r="C485" s="115" t="s">
        <v>511</v>
      </c>
      <c r="D485" s="115" t="s">
        <v>506</v>
      </c>
      <c r="E485">
        <v>7681</v>
      </c>
      <c r="F485" s="115" t="s">
        <v>1185</v>
      </c>
      <c r="G485" s="115" t="s">
        <v>521</v>
      </c>
      <c r="H485" s="115" t="s">
        <v>517</v>
      </c>
      <c r="I485">
        <v>64</v>
      </c>
    </row>
    <row r="486" spans="1:10">
      <c r="A486" s="115" t="s">
        <v>1133</v>
      </c>
      <c r="B486" s="115" t="s">
        <v>504</v>
      </c>
      <c r="C486" s="115" t="s">
        <v>505</v>
      </c>
      <c r="D486" s="115" t="s">
        <v>506</v>
      </c>
      <c r="E486">
        <v>7749</v>
      </c>
      <c r="F486" s="115" t="s">
        <v>1186</v>
      </c>
      <c r="G486" s="115" t="s">
        <v>514</v>
      </c>
      <c r="H486" s="115" t="s">
        <v>828</v>
      </c>
      <c r="I486">
        <v>663</v>
      </c>
    </row>
    <row r="487" spans="1:10">
      <c r="A487" s="115" t="s">
        <v>1133</v>
      </c>
      <c r="B487" s="115" t="s">
        <v>504</v>
      </c>
      <c r="C487" s="115" t="s">
        <v>511</v>
      </c>
      <c r="D487" s="115" t="s">
        <v>512</v>
      </c>
      <c r="E487">
        <v>7800</v>
      </c>
      <c r="F487" s="115" t="s">
        <v>1187</v>
      </c>
      <c r="G487" s="115" t="s">
        <v>514</v>
      </c>
      <c r="H487" s="115" t="s">
        <v>549</v>
      </c>
      <c r="I487">
        <v>33</v>
      </c>
    </row>
    <row r="488" spans="1:10">
      <c r="A488" s="115" t="s">
        <v>1133</v>
      </c>
      <c r="B488" s="115" t="s">
        <v>504</v>
      </c>
      <c r="C488" s="115" t="s">
        <v>505</v>
      </c>
      <c r="D488" s="115" t="s">
        <v>506</v>
      </c>
      <c r="E488">
        <v>8152</v>
      </c>
      <c r="F488" s="115" t="s">
        <v>1188</v>
      </c>
      <c r="G488" s="115" t="s">
        <v>521</v>
      </c>
      <c r="H488" s="115" t="s">
        <v>517</v>
      </c>
      <c r="I488">
        <v>34</v>
      </c>
    </row>
    <row r="489" spans="1:10">
      <c r="A489" s="115" t="s">
        <v>1133</v>
      </c>
      <c r="B489" s="115" t="s">
        <v>504</v>
      </c>
      <c r="C489" s="115" t="s">
        <v>519</v>
      </c>
      <c r="D489" s="115" t="s">
        <v>506</v>
      </c>
      <c r="E489">
        <v>9672</v>
      </c>
      <c r="F489" s="115" t="s">
        <v>1189</v>
      </c>
      <c r="G489" s="115" t="s">
        <v>508</v>
      </c>
      <c r="H489" s="115" t="s">
        <v>515</v>
      </c>
      <c r="I489">
        <v>956</v>
      </c>
    </row>
    <row r="490" spans="1:10">
      <c r="A490" s="115" t="s">
        <v>1190</v>
      </c>
      <c r="B490" s="115" t="s">
        <v>504</v>
      </c>
      <c r="C490" s="115" t="s">
        <v>519</v>
      </c>
      <c r="D490" s="115" t="s">
        <v>512</v>
      </c>
      <c r="E490">
        <v>3282</v>
      </c>
      <c r="F490" s="115" t="s">
        <v>1191</v>
      </c>
      <c r="G490" s="115" t="s">
        <v>626</v>
      </c>
      <c r="H490" s="115" t="s">
        <v>627</v>
      </c>
      <c r="I490" s="115" t="s">
        <v>552</v>
      </c>
      <c r="J490" s="115" t="s">
        <v>1192</v>
      </c>
    </row>
    <row r="491" spans="1:10">
      <c r="A491" s="115" t="s">
        <v>1190</v>
      </c>
      <c r="B491" s="115" t="s">
        <v>504</v>
      </c>
      <c r="C491" s="115" t="s">
        <v>519</v>
      </c>
      <c r="D491" s="115" t="s">
        <v>512</v>
      </c>
      <c r="E491">
        <v>3463</v>
      </c>
      <c r="F491" s="115" t="s">
        <v>1193</v>
      </c>
      <c r="G491" s="115" t="s">
        <v>626</v>
      </c>
      <c r="H491" s="115" t="s">
        <v>627</v>
      </c>
      <c r="I491">
        <v>343</v>
      </c>
    </row>
    <row r="492" spans="1:10">
      <c r="A492" s="115" t="s">
        <v>1194</v>
      </c>
      <c r="B492" s="115" t="s">
        <v>504</v>
      </c>
      <c r="C492" s="115" t="s">
        <v>519</v>
      </c>
      <c r="D492" s="115" t="s">
        <v>512</v>
      </c>
      <c r="E492">
        <v>3281</v>
      </c>
      <c r="F492" s="115" t="s">
        <v>1195</v>
      </c>
      <c r="G492" s="115" t="s">
        <v>626</v>
      </c>
      <c r="H492" s="115" t="s">
        <v>627</v>
      </c>
      <c r="I492" s="115" t="s">
        <v>542</v>
      </c>
      <c r="J492" s="115" t="s">
        <v>1196</v>
      </c>
    </row>
    <row r="493" spans="1:10">
      <c r="A493" s="115" t="s">
        <v>1194</v>
      </c>
      <c r="B493" s="115" t="s">
        <v>504</v>
      </c>
      <c r="C493" s="115" t="s">
        <v>519</v>
      </c>
      <c r="D493" s="115" t="s">
        <v>512</v>
      </c>
      <c r="E493">
        <v>3466</v>
      </c>
      <c r="F493" s="115" t="s">
        <v>1197</v>
      </c>
      <c r="G493" s="115" t="s">
        <v>626</v>
      </c>
      <c r="H493" s="115" t="s">
        <v>627</v>
      </c>
      <c r="I493" s="115" t="s">
        <v>552</v>
      </c>
      <c r="J493" s="115" t="s">
        <v>1198</v>
      </c>
    </row>
    <row r="494" spans="1:10">
      <c r="A494" s="115" t="s">
        <v>1199</v>
      </c>
      <c r="B494" s="115" t="s">
        <v>504</v>
      </c>
      <c r="C494" s="115" t="s">
        <v>505</v>
      </c>
      <c r="D494" s="115" t="s">
        <v>506</v>
      </c>
      <c r="E494">
        <v>2354</v>
      </c>
      <c r="F494" s="115" t="s">
        <v>1200</v>
      </c>
      <c r="G494" s="115" t="s">
        <v>521</v>
      </c>
      <c r="H494" s="115" t="s">
        <v>528</v>
      </c>
      <c r="I494">
        <v>95</v>
      </c>
    </row>
    <row r="495" spans="1:10">
      <c r="A495" s="115" t="s">
        <v>1199</v>
      </c>
      <c r="B495" s="115" t="s">
        <v>504</v>
      </c>
      <c r="C495" s="115" t="s">
        <v>524</v>
      </c>
      <c r="D495" s="115" t="s">
        <v>506</v>
      </c>
      <c r="E495">
        <v>3160</v>
      </c>
      <c r="F495" s="115" t="s">
        <v>1201</v>
      </c>
      <c r="G495" s="115" t="s">
        <v>508</v>
      </c>
      <c r="H495" s="115" t="s">
        <v>517</v>
      </c>
      <c r="I495">
        <v>97</v>
      </c>
    </row>
    <row r="496" spans="1:10">
      <c r="A496" s="115" t="s">
        <v>1199</v>
      </c>
      <c r="B496" s="115" t="s">
        <v>504</v>
      </c>
      <c r="C496" s="115" t="s">
        <v>505</v>
      </c>
      <c r="D496" s="115" t="s">
        <v>506</v>
      </c>
      <c r="E496">
        <v>7630</v>
      </c>
      <c r="F496" s="115" t="s">
        <v>1202</v>
      </c>
      <c r="G496" s="115" t="s">
        <v>508</v>
      </c>
      <c r="H496" s="115" t="s">
        <v>526</v>
      </c>
      <c r="I496" s="115" t="s">
        <v>593</v>
      </c>
      <c r="J496" s="115" t="s">
        <v>1203</v>
      </c>
    </row>
    <row r="497" spans="1:10">
      <c r="A497" s="115" t="s">
        <v>1199</v>
      </c>
      <c r="B497" s="115" t="s">
        <v>504</v>
      </c>
      <c r="C497" s="115" t="s">
        <v>524</v>
      </c>
      <c r="D497" s="115" t="s">
        <v>512</v>
      </c>
      <c r="E497">
        <v>8155</v>
      </c>
      <c r="F497" s="115" t="s">
        <v>1204</v>
      </c>
      <c r="G497" s="115" t="s">
        <v>508</v>
      </c>
      <c r="H497" s="115" t="s">
        <v>538</v>
      </c>
      <c r="I497">
        <v>715</v>
      </c>
    </row>
    <row r="498" spans="1:10">
      <c r="A498" s="115" t="s">
        <v>1199</v>
      </c>
      <c r="B498" s="115" t="s">
        <v>504</v>
      </c>
      <c r="C498" s="115" t="s">
        <v>505</v>
      </c>
      <c r="D498" s="115" t="s">
        <v>506</v>
      </c>
      <c r="E498">
        <v>8217</v>
      </c>
      <c r="F498" s="115" t="s">
        <v>1205</v>
      </c>
      <c r="G498" s="115" t="s">
        <v>508</v>
      </c>
      <c r="H498" s="115" t="s">
        <v>526</v>
      </c>
      <c r="I498">
        <v>659</v>
      </c>
    </row>
    <row r="499" spans="1:10">
      <c r="A499" s="115" t="s">
        <v>1199</v>
      </c>
      <c r="B499" s="115" t="s">
        <v>504</v>
      </c>
      <c r="C499" s="115" t="s">
        <v>505</v>
      </c>
      <c r="D499" s="115" t="s">
        <v>506</v>
      </c>
      <c r="E499">
        <v>8227</v>
      </c>
      <c r="F499" s="115" t="s">
        <v>1206</v>
      </c>
      <c r="G499" s="115" t="s">
        <v>508</v>
      </c>
      <c r="H499" s="115" t="s">
        <v>526</v>
      </c>
      <c r="I499" s="115" t="s">
        <v>796</v>
      </c>
      <c r="J499" s="115" t="s">
        <v>1207</v>
      </c>
    </row>
    <row r="500" spans="1:10">
      <c r="A500" s="115" t="s">
        <v>1208</v>
      </c>
      <c r="B500" s="115" t="s">
        <v>504</v>
      </c>
      <c r="C500" s="115" t="s">
        <v>505</v>
      </c>
      <c r="D500" s="115" t="s">
        <v>506</v>
      </c>
      <c r="E500">
        <v>6757</v>
      </c>
      <c r="F500" s="115" t="s">
        <v>1209</v>
      </c>
      <c r="G500" s="115" t="s">
        <v>514</v>
      </c>
      <c r="H500" s="115" t="s">
        <v>561</v>
      </c>
      <c r="I500">
        <v>126</v>
      </c>
    </row>
    <row r="501" spans="1:10">
      <c r="A501" s="115" t="s">
        <v>1210</v>
      </c>
      <c r="B501" s="115" t="s">
        <v>504</v>
      </c>
      <c r="C501" s="115" t="s">
        <v>524</v>
      </c>
      <c r="D501" s="115" t="s">
        <v>506</v>
      </c>
      <c r="E501">
        <v>6905</v>
      </c>
      <c r="F501" s="115" t="s">
        <v>1211</v>
      </c>
      <c r="G501" s="115" t="s">
        <v>508</v>
      </c>
      <c r="H501" s="115" t="s">
        <v>561</v>
      </c>
      <c r="I501">
        <v>450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表紙-</vt:lpstr>
      <vt:lpstr>建玉管理</vt:lpstr>
      <vt:lpstr>取引履歴</vt:lpstr>
      <vt:lpstr>資産状況</vt:lpstr>
      <vt:lpstr>監視</vt:lpstr>
      <vt:lpstr>シミュレーション</vt:lpstr>
      <vt:lpstr>Search Result</vt:lpstr>
      <vt:lpstr>個別計算</vt:lpstr>
      <vt:lpstr>日経サヤ計算</vt:lpstr>
      <vt:lpstr>グラフ</vt:lpstr>
      <vt:lpstr>code</vt:lpstr>
      <vt:lpstr>元データ</vt:lpstr>
      <vt:lpstr>改訂欄</vt:lpstr>
      <vt:lpstr>Fee_Refer</vt:lpstr>
      <vt:lpstr>Faiue</vt:lpstr>
      <vt:lpstr>Fiscal_date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2019-11-26T12:47:38Z</dcterms:modified>
</cp:coreProperties>
</file>