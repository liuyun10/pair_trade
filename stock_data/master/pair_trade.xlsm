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0"/>
  </bookViews>
  <sheets>
    <sheet name="表紙-" sheetId="1" r:id="rId1"/>
    <sheet name="建玉管理" sheetId="2" r:id="rId2"/>
    <sheet name="取引履歴" sheetId="13" r:id="rId3"/>
    <sheet name="資産状況" sheetId="15" r:id="rId4"/>
    <sheet name="損益分析" sheetId="20" r:id="rId5"/>
    <sheet name="監視" sheetId="3" r:id="rId6"/>
    <sheet name="シミュレーション" sheetId="4" r:id="rId7"/>
    <sheet name="Search Result" sheetId="5" r:id="rId8"/>
    <sheet name="Search Result (2)" sheetId="21" r:id="rId9"/>
    <sheet name="グラフ" sheetId="7" r:id="rId10"/>
    <sheet name="個別計算" sheetId="6" r:id="rId11"/>
    <sheet name="日経サヤ計算" sheetId="11" r:id="rId12"/>
    <sheet name="code" sheetId="8" r:id="rId13"/>
    <sheet name="元データ" sheetId="9" r:id="rId14"/>
    <sheet name="改訂欄" sheetId="10" r:id="rId15"/>
    <sheet name="Fee_Refer" sheetId="17" r:id="rId16"/>
    <sheet name="Faiue" sheetId="18" r:id="rId17"/>
    <sheet name="Fiscal_date" sheetId="19" r:id="rId18"/>
  </sheets>
  <functionGroups/>
  <definedNames>
    <definedName name="_xlnm._FilterDatabase" localSheetId="2" hidden="1">取引履歴!$B$3:$AC$23</definedName>
    <definedName name="_xlnm._FilterDatabase" localSheetId="13" hidden="1">元データ!$A$1:$AH$1</definedName>
  </definedNames>
  <calcPr calcId="125725"/>
</workbook>
</file>

<file path=xl/calcChain.xml><?xml version="1.0" encoding="utf-8"?>
<calcChain xmlns="http://schemas.openxmlformats.org/spreadsheetml/2006/main">
  <c r="J11" i="2"/>
  <c r="J10"/>
  <c r="C10"/>
  <c r="R2" i="13"/>
  <c r="J9" i="2"/>
  <c r="J8"/>
  <c r="C8"/>
  <c r="AC32" i="13"/>
  <c r="AB32"/>
  <c r="AA32"/>
  <c r="AC30"/>
  <c r="AB30"/>
  <c r="AA30"/>
  <c r="P4" i="3"/>
  <c r="N4"/>
  <c r="J4"/>
  <c r="V3"/>
  <c r="U3"/>
  <c r="P3"/>
  <c r="N3"/>
  <c r="J3"/>
  <c r="C3"/>
  <c r="J7" i="2"/>
  <c r="J6"/>
  <c r="C6"/>
  <c r="M33" i="13"/>
  <c r="M31"/>
  <c r="M23"/>
  <c r="P23" s="1"/>
  <c r="Q23" s="1"/>
  <c r="M21"/>
  <c r="P21" s="1"/>
  <c r="Q21" s="1"/>
  <c r="M17"/>
  <c r="P17" s="1"/>
  <c r="Q17" s="1"/>
  <c r="M15"/>
  <c r="P15" s="1"/>
  <c r="Q15" s="1"/>
  <c r="P13"/>
  <c r="M13"/>
  <c r="Q13" s="1"/>
  <c r="M32"/>
  <c r="M30"/>
  <c r="M29"/>
  <c r="M28"/>
  <c r="M27"/>
  <c r="P27" s="1"/>
  <c r="Q27" s="1"/>
  <c r="M26"/>
  <c r="P26" s="1"/>
  <c r="Q26" s="1"/>
  <c r="M25"/>
  <c r="P25" s="1"/>
  <c r="Q25" s="1"/>
  <c r="M24"/>
  <c r="M22"/>
  <c r="P22" s="1"/>
  <c r="Q22" s="1"/>
  <c r="M20"/>
  <c r="P20" s="1"/>
  <c r="Q20" s="1"/>
  <c r="M19"/>
  <c r="P19" s="1"/>
  <c r="Q19" s="1"/>
  <c r="M18"/>
  <c r="M16"/>
  <c r="P16" s="1"/>
  <c r="Q16" s="1"/>
  <c r="M14"/>
  <c r="M12"/>
  <c r="P12" s="1"/>
  <c r="Q12" s="1"/>
  <c r="M11"/>
  <c r="M10"/>
  <c r="P10" s="1"/>
  <c r="Q10" s="1"/>
  <c r="M9"/>
  <c r="M8"/>
  <c r="P8" s="1"/>
  <c r="Q8" s="1"/>
  <c r="M7"/>
  <c r="P7" s="1"/>
  <c r="Q7" s="1"/>
  <c r="M6"/>
  <c r="P6" s="1"/>
  <c r="Q6" s="1"/>
  <c r="P9"/>
  <c r="Q9" s="1"/>
  <c r="P11"/>
  <c r="Q11" s="1"/>
  <c r="P14"/>
  <c r="Q14" s="1"/>
  <c r="P18"/>
  <c r="Q18" s="1"/>
  <c r="P24"/>
  <c r="Q24" s="1"/>
  <c r="P28"/>
  <c r="Q28" s="1"/>
  <c r="P29"/>
  <c r="Q29" s="1"/>
  <c r="P30"/>
  <c r="Q30" s="1"/>
  <c r="P31"/>
  <c r="Q31" s="1"/>
  <c r="P32"/>
  <c r="Q32" s="1"/>
  <c r="P33"/>
  <c r="Q33" s="1"/>
  <c r="M5"/>
  <c r="O5"/>
  <c r="P5" s="1"/>
  <c r="Q5" s="1"/>
  <c r="Q4"/>
  <c r="P4"/>
  <c r="M4"/>
  <c r="J33"/>
  <c r="V32"/>
  <c r="N32" s="1"/>
  <c r="J32"/>
  <c r="J31"/>
  <c r="V30"/>
  <c r="N30" s="1"/>
  <c r="J30"/>
  <c r="C4" i="20"/>
  <c r="C5" s="1"/>
  <c r="AC28" i="13"/>
  <c r="AB28"/>
  <c r="AA28"/>
  <c r="C19" i="4"/>
  <c r="C18"/>
  <c r="C4" i="17"/>
  <c r="C5"/>
  <c r="C6"/>
  <c r="C3"/>
  <c r="J5" i="2"/>
  <c r="J4"/>
  <c r="C4"/>
  <c r="C26" i="13"/>
  <c r="J26"/>
  <c r="J27"/>
  <c r="C24"/>
  <c r="J24"/>
  <c r="J25"/>
  <c r="AB22"/>
  <c r="AA22"/>
  <c r="C22"/>
  <c r="J22"/>
  <c r="J23"/>
  <c r="C20"/>
  <c r="J20"/>
  <c r="J21"/>
  <c r="AB18"/>
  <c r="AA18"/>
  <c r="J19"/>
  <c r="V18"/>
  <c r="J18"/>
  <c r="C18"/>
  <c r="AA14"/>
  <c r="AB14"/>
  <c r="AA16"/>
  <c r="AB16"/>
  <c r="J17"/>
  <c r="V16"/>
  <c r="J16"/>
  <c r="C16"/>
  <c r="J15"/>
  <c r="V14"/>
  <c r="J14"/>
  <c r="C14"/>
  <c r="C12"/>
  <c r="J12"/>
  <c r="J13"/>
  <c r="AA10"/>
  <c r="AB10"/>
  <c r="V10"/>
  <c r="J11"/>
  <c r="J10"/>
  <c r="C10"/>
  <c r="AB6"/>
  <c r="AB8"/>
  <c r="AB4"/>
  <c r="AA6"/>
  <c r="AA8"/>
  <c r="AA4"/>
  <c r="J9"/>
  <c r="V8"/>
  <c r="J8"/>
  <c r="C8"/>
  <c r="V6"/>
  <c r="V4"/>
  <c r="P1" i="2"/>
  <c r="V24" i="13" s="1"/>
  <c r="U10" i="2" l="1"/>
  <c r="V10" s="1"/>
  <c r="U8"/>
  <c r="V8" s="1"/>
  <c r="Q4" i="3"/>
  <c r="R3"/>
  <c r="S3" s="1"/>
  <c r="Q3"/>
  <c r="U6" i="2"/>
  <c r="V6" s="1"/>
  <c r="R32" i="13"/>
  <c r="S32" s="1"/>
  <c r="R30"/>
  <c r="S30" s="1"/>
  <c r="R26"/>
  <c r="U4" i="2"/>
  <c r="V4" s="1"/>
  <c r="AB24" i="13"/>
  <c r="AA24"/>
  <c r="R24"/>
  <c r="R22"/>
  <c r="V22"/>
  <c r="R16"/>
  <c r="R20"/>
  <c r="R18"/>
  <c r="R14"/>
  <c r="R12"/>
  <c r="R8"/>
  <c r="S8" s="1"/>
  <c r="R10"/>
  <c r="J2" i="2"/>
  <c r="R6" i="13"/>
  <c r="R4"/>
  <c r="N11" i="2" l="1"/>
  <c r="P11" s="1"/>
  <c r="Q11" s="1"/>
  <c r="N10"/>
  <c r="P10" s="1"/>
  <c r="N9"/>
  <c r="P9" s="1"/>
  <c r="Q9" s="1"/>
  <c r="N8"/>
  <c r="P8" s="1"/>
  <c r="N6"/>
  <c r="P6" s="1"/>
  <c r="N7"/>
  <c r="P7" s="1"/>
  <c r="Q7" s="1"/>
  <c r="S26" i="13"/>
  <c r="AC26"/>
  <c r="N4" i="2"/>
  <c r="P4" s="1"/>
  <c r="N5"/>
  <c r="P5" s="1"/>
  <c r="V26" i="13"/>
  <c r="AA26"/>
  <c r="AB26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S4"/>
  <c r="AC4"/>
  <c r="S6"/>
  <c r="AC6"/>
  <c r="AC8"/>
  <c r="S10"/>
  <c r="AC10"/>
  <c r="R10" i="2" l="1"/>
  <c r="S10" s="1"/>
  <c r="Q10"/>
  <c r="R8"/>
  <c r="S8" s="1"/>
  <c r="Q8"/>
  <c r="Q6"/>
  <c r="R6"/>
  <c r="S6" s="1"/>
  <c r="Q4"/>
  <c r="R4"/>
  <c r="S4" s="1"/>
  <c r="Q5"/>
  <c r="L5" i="20"/>
  <c r="M4" l="1"/>
  <c r="V4"/>
  <c r="V3"/>
  <c r="V5"/>
  <c r="K4"/>
  <c r="K5"/>
  <c r="K3"/>
  <c r="M3"/>
  <c r="M5"/>
  <c r="L4"/>
  <c r="L3"/>
  <c r="S2" i="2"/>
  <c r="R2"/>
  <c r="P3" i="20" l="1"/>
  <c r="E3"/>
  <c r="P4" l="1"/>
  <c r="E4"/>
  <c r="P5" l="1"/>
  <c r="E5"/>
</calcChain>
</file>

<file path=xl/sharedStrings.xml><?xml version="1.0" encoding="utf-8"?>
<sst xmlns="http://schemas.openxmlformats.org/spreadsheetml/2006/main" count="6065" uniqueCount="1344">
  <si>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</si>
  <si>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</si>
  <si>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</si>
  <si>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</si>
  <si>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</si>
  <si>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</si>
  <si>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</si>
  <si>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</si>
  <si>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</si>
  <si>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</si>
  <si>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</si>
  <si>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</si>
  <si>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</si>
  <si>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</si>
  <si>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</si>
  <si>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</si>
  <si>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</si>
  <si>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</si>
  <si>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</si>
  <si>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</si>
  <si>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サヤ移動平均（σ）</t>
    <phoneticPr fontId="1" type="noConversion"/>
  </si>
  <si>
    <t>同業/異業</t>
    <phoneticPr fontId="1" type="noConversion"/>
  </si>
  <si>
    <t>勝率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</si>
  <si>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</si>
  <si>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</si>
  <si>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</si>
  <si>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</si>
  <si>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</si>
  <si>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</si>
  <si>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</si>
  <si>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</si>
  <si>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</si>
  <si>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</si>
  <si>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</si>
  <si>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</si>
  <si>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</si>
  <si>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</si>
  <si>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</si>
  <si>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</si>
  <si>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</si>
  <si>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</si>
  <si>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</si>
  <si>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</si>
  <si>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</si>
  <si>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</si>
  <si>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</si>
  <si>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</si>
  <si>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</si>
  <si>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</si>
  <si>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</si>
  <si>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</si>
  <si>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</si>
  <si>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</si>
  <si>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</si>
  <si>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</si>
  <si>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</si>
  <si>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</si>
  <si>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</si>
  <si>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</si>
  <si>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</si>
  <si>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</si>
  <si>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</si>
  <si>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</si>
  <si>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</si>
  <si>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</si>
  <si>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</si>
  <si>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</si>
  <si>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</si>
  <si>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</si>
  <si>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</si>
  <si>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</si>
  <si>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</si>
  <si>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</si>
  <si>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</si>
  <si>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</si>
  <si>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</si>
  <si>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</si>
  <si>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</si>
  <si>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</si>
  <si>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</si>
  <si>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</si>
  <si>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</si>
  <si>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</si>
  <si>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</si>
  <si>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</si>
  <si>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</si>
  <si>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</si>
  <si>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</si>
  <si>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</si>
  <si>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</si>
  <si>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</si>
  <si>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</si>
  <si>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</si>
  <si>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</si>
  <si>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</si>
  <si>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</si>
  <si>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</si>
  <si>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</si>
  <si>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</si>
  <si>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</si>
  <si>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</si>
  <si>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</si>
  <si>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</si>
  <si>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</si>
  <si>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</si>
  <si>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</si>
  <si>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</si>
  <si>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</si>
  <si>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</si>
  <si>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</si>
  <si>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</si>
  <si>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</si>
  <si>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</si>
  <si>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</si>
  <si>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</si>
  <si>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</si>
  <si>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</si>
  <si>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</si>
  <si>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</si>
  <si>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</si>
  <si>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</si>
  <si>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</si>
  <si>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</si>
  <si>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</si>
  <si>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</si>
  <si>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</si>
  <si>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</si>
  <si>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</si>
  <si>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</si>
  <si>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</si>
  <si>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</si>
  <si>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</si>
  <si>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</si>
  <si>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</si>
  <si>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</si>
  <si>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</si>
  <si>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</si>
  <si>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</si>
  <si>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</si>
  <si>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</si>
  <si>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</si>
  <si>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</si>
  <si>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みずほフィナンシャルグループ</t>
  </si>
  <si>
    <t>西松建設</t>
  </si>
  <si>
    <t>デンカ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</si>
  <si>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</si>
  <si>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</si>
  <si>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</si>
  <si>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</si>
  <si>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</si>
  <si>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</si>
  <si>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</si>
  <si>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</si>
  <si>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</si>
  <si>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</si>
  <si>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</si>
  <si>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</si>
  <si>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</si>
  <si>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</si>
  <si>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</si>
  <si>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</si>
  <si>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</si>
  <si>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</si>
  <si>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</si>
  <si>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</si>
  <si>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三菱ＵＦＪフィナンシャル・グループ</t>
  </si>
  <si>
    <t>銘柄コード１</t>
    <phoneticPr fontId="1" type="noConversion"/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</si>
  <si>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</si>
  <si>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</si>
  <si>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</si>
  <si>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</si>
  <si>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</si>
  <si>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</si>
  <si>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</si>
  <si>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</si>
  <si>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</si>
  <si>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</si>
  <si>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</si>
  <si>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</si>
  <si>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</si>
  <si>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</si>
  <si>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</si>
  <si>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</si>
  <si>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</si>
  <si>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</si>
  <si>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</si>
  <si>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</si>
  <si>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</si>
  <si>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</si>
  <si>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</si>
  <si>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</si>
  <si>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</si>
  <si>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</si>
  <si>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</si>
  <si>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</si>
  <si>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</si>
  <si>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</si>
  <si>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</si>
  <si>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</si>
  <si>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</si>
  <si>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</si>
  <si>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</si>
  <si>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</si>
  <si>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</si>
  <si>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</si>
  <si>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</si>
  <si>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</si>
  <si>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</si>
  <si>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</si>
  <si>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</si>
  <si>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</si>
  <si>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</si>
  <si>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</si>
  <si>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</si>
  <si>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</si>
  <si>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</si>
  <si>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</si>
  <si>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</si>
  <si>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</si>
  <si>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</si>
  <si>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</si>
  <si>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</si>
  <si>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</si>
  <si>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</si>
  <si>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</si>
  <si>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</si>
  <si>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</si>
  <si>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</si>
  <si>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</si>
  <si>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</si>
  <si>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</si>
  <si>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</si>
  <si>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</si>
  <si>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</si>
  <si>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</si>
  <si>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</si>
  <si>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</si>
  <si>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</si>
  <si>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</si>
  <si>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</si>
  <si>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</si>
  <si>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</si>
  <si>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</si>
  <si>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</si>
  <si>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</si>
  <si>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</si>
  <si>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</si>
  <si>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</si>
  <si>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</si>
  <si>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</si>
  <si>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</si>
  <si>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</si>
  <si>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</si>
  <si>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</si>
  <si>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</si>
  <si>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</si>
  <si>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</si>
  <si>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</si>
  <si>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</si>
  <si>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</si>
  <si>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</si>
  <si>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</si>
  <si>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</si>
  <si>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</si>
  <si>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</si>
  <si>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</si>
  <si>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</si>
  <si>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</si>
  <si>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</si>
  <si>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</si>
  <si>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</si>
  <si>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</si>
  <si>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</si>
  <si>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</si>
  <si>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</si>
  <si>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</si>
  <si>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</si>
  <si>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</si>
  <si>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</si>
  <si>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</si>
  <si>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</si>
  <si>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</si>
  <si>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</si>
  <si>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</si>
  <si>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</si>
  <si>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</si>
  <si>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</si>
  <si>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</si>
  <si>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</si>
  <si>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</si>
  <si>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</si>
  <si>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</si>
  <si>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</si>
  <si>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</si>
  <si>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</si>
  <si>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</si>
  <si>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</si>
  <si>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</si>
  <si>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</si>
  <si>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</si>
  <si>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</si>
  <si>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</si>
  <si>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銘柄１（売り銘柄）</t>
  </si>
  <si>
    <t>銘柄２（買い銘柄）</t>
  </si>
  <si>
    <t>バックテスト</t>
  </si>
  <si>
    <t>相関</t>
  </si>
  <si>
    <t>Code</t>
  </si>
  <si>
    <t>Name</t>
  </si>
  <si>
    <t>業種</t>
  </si>
  <si>
    <t>Price</t>
  </si>
  <si>
    <t>Lot</t>
  </si>
  <si>
    <t>Mount1</t>
  </si>
  <si>
    <t>Mount2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</si>
  <si>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</si>
  <si>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</si>
  <si>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</si>
  <si>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</si>
  <si>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</si>
  <si>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</si>
  <si>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</si>
  <si>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</si>
  <si>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</si>
  <si>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</si>
  <si>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</si>
  <si>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</si>
  <si>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ヤマハ発動機</t>
  </si>
  <si>
    <t>三井化学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</si>
  <si>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</si>
  <si>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</si>
  <si>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</si>
  <si>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</si>
  <si>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</si>
  <si>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</si>
  <si>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</si>
  <si>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</si>
  <si>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</si>
  <si>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</si>
  <si>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</si>
  <si>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</si>
  <si>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</si>
  <si>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</si>
  <si>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三菱電機</t>
  </si>
  <si>
    <t>ＡＤＥＫＡ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</si>
  <si>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</si>
  <si>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</si>
  <si>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</si>
  <si>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</si>
  <si>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</si>
  <si>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</si>
  <si>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</si>
  <si>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</si>
  <si>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</si>
  <si>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</si>
  <si>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</si>
  <si>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</si>
  <si>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</si>
  <si>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</si>
  <si>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</si>
  <si>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</si>
  <si>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</si>
  <si>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</si>
  <si>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</si>
  <si>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</si>
  <si>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</si>
  <si>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</si>
  <si>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決算日</t>
    <phoneticPr fontId="1" type="noConversion"/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</si>
  <si>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</si>
  <si>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</si>
  <si>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</si>
  <si>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</si>
  <si>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</si>
  <si>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</si>
  <si>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</si>
  <si>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</si>
  <si>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</si>
  <si>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</si>
  <si>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</si>
  <si>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</si>
  <si>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</si>
  <si>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</si>
  <si>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</si>
  <si>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</si>
  <si>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</si>
  <si>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</si>
  <si>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</si>
  <si>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</si>
  <si>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</si>
  <si>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</si>
  <si>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</si>
  <si>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</si>
  <si>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</si>
  <si>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</si>
  <si>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</si>
  <si>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</si>
  <si>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</si>
  <si>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</si>
  <si>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</si>
  <si>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</si>
  <si>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</si>
  <si>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</si>
  <si>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</si>
  <si>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</si>
  <si>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</si>
  <si>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</si>
  <si>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</si>
  <si>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</si>
  <si>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</si>
  <si>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12/5</t>
  </si>
  <si>
    <t xml:space="preserve"> ファーマフーズ</t>
  </si>
  <si>
    <t xml:space="preserve"> ラクーンHD</t>
  </si>
  <si>
    <t xml:space="preserve"> アルチザ</t>
  </si>
  <si>
    <t xml:space="preserve"> スバル興</t>
  </si>
  <si>
    <t xml:space="preserve"> 12/6</t>
  </si>
  <si>
    <t xml:space="preserve"> 積水ハウス</t>
  </si>
  <si>
    <t xml:space="preserve"> 建設業</t>
  </si>
  <si>
    <t>" 16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</si>
  <si>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</si>
  <si>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</si>
  <si>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</si>
  <si>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</si>
  <si>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エイチーム</t>
  </si>
  <si>
    <t xml:space="preserve"> ソフトウェアサー</t>
  </si>
  <si>
    <t xml:space="preserve"> アイル</t>
  </si>
  <si>
    <t xml:space="preserve"> ｇｕｍｉ</t>
  </si>
  <si>
    <t xml:space="preserve"> ユークス</t>
  </si>
  <si>
    <t xml:space="preserve"> HEROZ</t>
  </si>
  <si>
    <t xml:space="preserve"> 日本スキー</t>
  </si>
  <si>
    <t xml:space="preserve"> 巴工業</t>
  </si>
  <si>
    <t xml:space="preserve"> インスペック</t>
  </si>
  <si>
    <t xml:space="preserve"> トミタ電機</t>
  </si>
  <si>
    <t xml:space="preserve"> エイケン工業</t>
  </si>
  <si>
    <t xml:space="preserve"> 輸送用機器</t>
  </si>
  <si>
    <t xml:space="preserve"> トップカルチャ</t>
  </si>
  <si>
    <t xml:space="preserve"> 光・彩</t>
  </si>
  <si>
    <t xml:space="preserve"> カナモト</t>
  </si>
  <si>
    <t>" 1</t>
  </si>
  <si>
    <t xml:space="preserve"> 精養軒</t>
  </si>
  <si>
    <t xml:space="preserve"> 丹青社</t>
  </si>
  <si>
    <t xml:space="preserve"> 12/9</t>
  </si>
  <si>
    <t xml:space="preserve"> 16:00</t>
  </si>
  <si>
    <t xml:space="preserve"> アルトナー</t>
  </si>
  <si>
    <t xml:space="preserve"> 学　情</t>
  </si>
  <si>
    <t xml:space="preserve"> ストリーム</t>
  </si>
  <si>
    <t xml:space="preserve"> Bガレージ</t>
  </si>
  <si>
    <t xml:space="preserve"> GA TECH</t>
  </si>
  <si>
    <t xml:space="preserve"> 日東網</t>
  </si>
  <si>
    <t xml:space="preserve"> 繊維製品</t>
  </si>
  <si>
    <t xml:space="preserve"> イムラ封筒</t>
  </si>
  <si>
    <t xml:space="preserve"> パルプ・紙</t>
  </si>
  <si>
    <t xml:space="preserve"> ミライアル</t>
  </si>
  <si>
    <t xml:space="preserve"> ライクキッズ</t>
  </si>
  <si>
    <t xml:space="preserve"> Ｃａｓａ</t>
  </si>
  <si>
    <t xml:space="preserve"> その他金融業</t>
  </si>
  <si>
    <t xml:space="preserve"> Ｂ＆Ｐ</t>
  </si>
  <si>
    <t xml:space="preserve"> 萩原工業</t>
  </si>
  <si>
    <t xml:space="preserve"> 泉州電</t>
  </si>
  <si>
    <t xml:space="preserve"> 12/10</t>
  </si>
  <si>
    <t xml:space="preserve"> ベステラ</t>
  </si>
  <si>
    <t xml:space="preserve"> 大盛工業</t>
  </si>
  <si>
    <t xml:space="preserve"> アスカネット</t>
  </si>
  <si>
    <t xml:space="preserve"> テンポスHD</t>
  </si>
  <si>
    <t xml:space="preserve"> サトウ食品</t>
  </si>
  <si>
    <t xml:space="preserve"> アマガサ</t>
  </si>
  <si>
    <t xml:space="preserve"> アールエイジ</t>
  </si>
  <si>
    <t xml:space="preserve"> 山岡家</t>
  </si>
  <si>
    <t xml:space="preserve"> グッドコムA</t>
  </si>
  <si>
    <t xml:space="preserve"> Ｒみらい</t>
  </si>
  <si>
    <t xml:space="preserve"> 東証</t>
  </si>
  <si>
    <t xml:space="preserve"> ETF・REIT等</t>
  </si>
  <si>
    <t xml:space="preserve"> SYSHD</t>
  </si>
  <si>
    <t xml:space="preserve"> トビラシステム</t>
  </si>
  <si>
    <t xml:space="preserve"> サムコ</t>
  </si>
  <si>
    <t xml:space="preserve"> トランザス</t>
  </si>
  <si>
    <t xml:space="preserve"> マツモト</t>
  </si>
  <si>
    <t xml:space="preserve"> トーホー</t>
  </si>
  <si>
    <t xml:space="preserve"> シルバーライフ</t>
  </si>
  <si>
    <t xml:space="preserve"> きんえい</t>
  </si>
  <si>
    <t xml:space="preserve"> シーイーシー</t>
  </si>
  <si>
    <t xml:space="preserve"> 12/11</t>
  </si>
  <si>
    <t xml:space="preserve"> 太洋基礎</t>
  </si>
  <si>
    <t xml:space="preserve"> Hamee</t>
  </si>
  <si>
    <t xml:space="preserve"> アゼアス</t>
  </si>
  <si>
    <t xml:space="preserve"> クロスプラス</t>
  </si>
  <si>
    <t xml:space="preserve"> 菊池製作</t>
  </si>
  <si>
    <t xml:space="preserve"> シーアールイー</t>
  </si>
  <si>
    <t xml:space="preserve"> JPNミート</t>
  </si>
  <si>
    <t xml:space="preserve"> アセンテック</t>
  </si>
  <si>
    <t xml:space="preserve"> 神島化</t>
  </si>
  <si>
    <t xml:space="preserve"> ｶﾞﾗｽ土石製品</t>
  </si>
  <si>
    <t xml:space="preserve"> ハウテレビ</t>
  </si>
  <si>
    <t xml:space="preserve"> 12/12</t>
  </si>
  <si>
    <t xml:space="preserve"> くら寿司</t>
  </si>
  <si>
    <t xml:space="preserve"> 銚子丸</t>
  </si>
  <si>
    <t xml:space="preserve"> ミサワ</t>
  </si>
  <si>
    <t xml:space="preserve"> トーエル</t>
  </si>
  <si>
    <t xml:space="preserve"> バルニバーヒ</t>
  </si>
  <si>
    <t xml:space="preserve"> クスリのアオキ</t>
  </si>
  <si>
    <t xml:space="preserve"> TBCSCAT</t>
  </si>
  <si>
    <t xml:space="preserve"> シャノン</t>
  </si>
  <si>
    <t xml:space="preserve"> ラクスル</t>
  </si>
  <si>
    <t xml:space="preserve"> VALUENEX</t>
  </si>
  <si>
    <t xml:space="preserve"> セルソース</t>
  </si>
  <si>
    <t xml:space="preserve"> 医薬品</t>
  </si>
  <si>
    <t xml:space="preserve"> オハラ</t>
  </si>
  <si>
    <t xml:space="preserve"> ファーストロジ</t>
  </si>
  <si>
    <t xml:space="preserve"> 鎌倉新書</t>
  </si>
  <si>
    <t xml:space="preserve"> 石井表記</t>
  </si>
  <si>
    <t xml:space="preserve"> アイモバイル</t>
  </si>
  <si>
    <t xml:space="preserve"> 三井ハイテ</t>
  </si>
  <si>
    <t xml:space="preserve"> フロンティアI</t>
  </si>
  <si>
    <t xml:space="preserve"> オーエムツー</t>
  </si>
  <si>
    <t xml:space="preserve"> サンオータス</t>
  </si>
  <si>
    <t xml:space="preserve"> 小林産</t>
  </si>
  <si>
    <t xml:space="preserve"> REVOLUTI</t>
  </si>
  <si>
    <t xml:space="preserve"> 日本テレホン</t>
  </si>
  <si>
    <t xml:space="preserve"> エイチ・アイエス</t>
  </si>
  <si>
    <t xml:space="preserve"> ドーム</t>
  </si>
  <si>
    <t xml:space="preserve"> 12/13</t>
  </si>
  <si>
    <t xml:space="preserve"> Ｍマート</t>
  </si>
  <si>
    <t xml:space="preserve"> ベルグアース</t>
  </si>
  <si>
    <t xml:space="preserve"> 水産・農林業</t>
  </si>
  <si>
    <t xml:space="preserve"> フィット</t>
  </si>
  <si>
    <t xml:space="preserve"> 土屋ＨＤ</t>
  </si>
  <si>
    <t xml:space="preserve"> 日ハウスHD</t>
  </si>
  <si>
    <t xml:space="preserve"> フルスピード</t>
  </si>
  <si>
    <t xml:space="preserve"> アイ・ケイ・ケイ</t>
  </si>
  <si>
    <t xml:space="preserve"> アイスタディ</t>
  </si>
  <si>
    <t xml:space="preserve"> ブラス</t>
  </si>
  <si>
    <t xml:space="preserve"> 新都ＨＤ</t>
  </si>
  <si>
    <t xml:space="preserve"> ツクルバ</t>
  </si>
  <si>
    <t xml:space="preserve"> 神戸物産</t>
  </si>
  <si>
    <t>" 4</t>
  </si>
  <si>
    <t xml:space="preserve"> 丸善CHI</t>
  </si>
  <si>
    <t xml:space="preserve"> ジェネパ</t>
  </si>
  <si>
    <t xml:space="preserve"> 積水ハウスR</t>
  </si>
  <si>
    <t xml:space="preserve"> 稲葉製作</t>
  </si>
  <si>
    <t xml:space="preserve"> J.S.B.</t>
  </si>
  <si>
    <t xml:space="preserve"> リーガル不</t>
  </si>
  <si>
    <t xml:space="preserve"> モルフォ</t>
  </si>
  <si>
    <t xml:space="preserve"> エニグモ</t>
  </si>
  <si>
    <t xml:space="preserve"> フリービット</t>
  </si>
  <si>
    <t xml:space="preserve"> ネオジャパン</t>
  </si>
  <si>
    <t xml:space="preserve"> バリュゴルフ</t>
  </si>
  <si>
    <t xml:space="preserve"> SKIYAKI</t>
  </si>
  <si>
    <t xml:space="preserve"> ジャストプラ</t>
  </si>
  <si>
    <t xml:space="preserve"> スマレジ</t>
  </si>
  <si>
    <t xml:space="preserve"> サンバイオ</t>
  </si>
  <si>
    <t xml:space="preserve"> ステムリム</t>
  </si>
  <si>
    <t xml:space="preserve"> ナトコ</t>
  </si>
  <si>
    <t xml:space="preserve"> クミアイ化</t>
  </si>
  <si>
    <t xml:space="preserve"> イトクロ</t>
  </si>
  <si>
    <t xml:space="preserve"> ウエスコHD</t>
  </si>
  <si>
    <t xml:space="preserve"> HyAS&amp;Co.</t>
  </si>
  <si>
    <t xml:space="preserve"> ベストワン</t>
  </si>
  <si>
    <t xml:space="preserve"> ヤーマン</t>
  </si>
  <si>
    <t xml:space="preserve"> ウインテスト</t>
  </si>
  <si>
    <t xml:space="preserve"> ＭＳＯＬ</t>
  </si>
  <si>
    <t xml:space="preserve"> ジェイック</t>
  </si>
  <si>
    <t xml:space="preserve"> ハイレックス</t>
  </si>
  <si>
    <t xml:space="preserve"> 梅の花</t>
  </si>
  <si>
    <t xml:space="preserve"> フジコーポ</t>
  </si>
  <si>
    <t xml:space="preserve"> 浜木綿</t>
  </si>
  <si>
    <t xml:space="preserve"> ダブルエー</t>
  </si>
  <si>
    <t xml:space="preserve"> ブシロード</t>
  </si>
  <si>
    <t xml:space="preserve"> プリントネット</t>
  </si>
  <si>
    <t xml:space="preserve"> クロスフォー</t>
  </si>
  <si>
    <t xml:space="preserve"> オービス</t>
  </si>
  <si>
    <t xml:space="preserve"> 総合商研</t>
  </si>
  <si>
    <t xml:space="preserve"> MICS化学</t>
  </si>
  <si>
    <t xml:space="preserve"> ミロク</t>
  </si>
  <si>
    <t xml:space="preserve"> ナイガイ</t>
  </si>
  <si>
    <t xml:space="preserve"> 正栄食</t>
  </si>
  <si>
    <t xml:space="preserve"> ファースト住</t>
  </si>
  <si>
    <t xml:space="preserve"> アルデプロ</t>
  </si>
  <si>
    <t xml:space="preserve"> 明豊エンター</t>
  </si>
  <si>
    <t xml:space="preserve"> いちごオフ</t>
  </si>
  <si>
    <t xml:space="preserve"> スターツPR</t>
  </si>
  <si>
    <t xml:space="preserve"> ギフト</t>
  </si>
  <si>
    <t xml:space="preserve"> ＯＳ映</t>
  </si>
  <si>
    <t xml:space="preserve"> 12/16</t>
  </si>
  <si>
    <t xml:space="preserve"> プロレド</t>
  </si>
  <si>
    <t xml:space="preserve"> 星野ＲＲ</t>
  </si>
  <si>
    <t xml:space="preserve"> インベスコ</t>
  </si>
  <si>
    <t xml:space="preserve"> トーセイ・リート</t>
  </si>
  <si>
    <t xml:space="preserve"> システムディ</t>
  </si>
  <si>
    <t xml:space="preserve"> パーク24</t>
  </si>
  <si>
    <t xml:space="preserve"> ウイルコHD</t>
  </si>
  <si>
    <t xml:space="preserve"> 12/17</t>
  </si>
  <si>
    <t xml:space="preserve"> アスクル</t>
  </si>
  <si>
    <t xml:space="preserve"> ツルハHD</t>
  </si>
  <si>
    <t>" 6</t>
  </si>
  <si>
    <t xml:space="preserve"> プレミア投</t>
  </si>
  <si>
    <t xml:space="preserve"> 12/18</t>
  </si>
  <si>
    <t xml:space="preserve"> カイカ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</si>
  <si>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</si>
  <si>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</si>
  <si>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</si>
  <si>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</si>
  <si>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</si>
  <si>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</si>
  <si>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</si>
  <si>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</si>
  <si>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</si>
  <si>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</si>
  <si>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</si>
  <si>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</si>
  <si>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</si>
  <si>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</si>
  <si>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</si>
  <si>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</si>
  <si>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</si>
  <si>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</si>
  <si>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</si>
  <si>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</si>
  <si>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</si>
  <si>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</si>
  <si>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</si>
  <si>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</si>
  <si>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</si>
  <si>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</si>
  <si>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</si>
  <si>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</si>
  <si>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</si>
  <si>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</si>
  <si>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</si>
  <si>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</si>
  <si>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</si>
  <si>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</si>
  <si>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</si>
  <si>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</si>
  <si>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</si>
  <si>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</si>
  <si>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</si>
  <si>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</si>
  <si>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</si>
  <si>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</si>
  <si>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</si>
  <si>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</si>
  <si>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</si>
  <si>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</si>
  <si>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</si>
  <si>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</si>
  <si>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</si>
  <si>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</si>
  <si>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</si>
  <si>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</si>
  <si>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</si>
  <si>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</si>
  <si>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</si>
  <si>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</si>
  <si>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</si>
  <si>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</si>
  <si>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</si>
  <si>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</si>
  <si>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</si>
  <si>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</si>
  <si>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</si>
  <si>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</si>
  <si>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</si>
  <si>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</si>
  <si>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</si>
  <si>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</si>
  <si>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>" 74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</si>
  <si>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</si>
  <si>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</si>
  <si>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</si>
  <si>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</si>
  <si>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</si>
  <si>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</si>
  <si>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</si>
  <si>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</si>
  <si>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</si>
  <si>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</si>
  <si>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</si>
  <si>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</si>
  <si>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</si>
  <si>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</si>
  <si>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</si>
  <si>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</si>
  <si>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</si>
  <si>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</si>
  <si>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</si>
  <si>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</si>
  <si>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</si>
  <si>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</si>
  <si>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</si>
  <si>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</si>
  <si>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</si>
  <si>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</si>
  <si>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</si>
  <si>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</si>
  <si>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</si>
  <si>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</si>
  <si>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</si>
  <si>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</si>
  <si>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</si>
  <si>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</si>
  <si>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</si>
  <si>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</si>
  <si>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</si>
  <si>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</si>
  <si>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</si>
  <si>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</si>
  <si>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</si>
  <si>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</si>
  <si>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</si>
  <si>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</si>
  <si>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</si>
  <si>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</si>
  <si>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</si>
  <si>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</si>
  <si>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</si>
  <si>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</si>
  <si>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</si>
  <si>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</si>
  <si>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</si>
  <si>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</si>
  <si>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</si>
  <si>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</si>
  <si>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</si>
  <si>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</si>
  <si>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</si>
  <si>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</si>
  <si>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</si>
  <si>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</si>
  <si>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</si>
  <si>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</si>
  <si>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</si>
  <si>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</si>
  <si>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</si>
  <si>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</si>
  <si>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</si>
  <si>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</si>
  <si>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</si>
  <si>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</si>
  <si>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</si>
  <si>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</si>
  <si>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</si>
  <si>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</si>
  <si>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</si>
  <si>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</si>
  <si>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</si>
  <si>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</si>
  <si>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</si>
  <si>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</si>
  <si>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</si>
  <si>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</si>
  <si>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</si>
  <si>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</si>
  <si>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</si>
  <si>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</si>
  <si>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</si>
  <si>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</si>
  <si>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</si>
  <si>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</si>
  <si>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</si>
  <si>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</si>
  <si>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</si>
  <si>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</si>
  <si>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</si>
  <si>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</si>
  <si>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</si>
  <si>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</si>
  <si>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</si>
  <si>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</si>
  <si>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</si>
  <si>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</si>
  <si>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</si>
  <si>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</si>
  <si>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</si>
  <si>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</si>
  <si>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</si>
  <si>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</si>
  <si>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</si>
  <si>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</si>
  <si>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</si>
  <si>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</si>
  <si>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</si>
  <si>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</si>
  <si>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</si>
  <si>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</si>
  <si>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</si>
  <si>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</si>
  <si>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</si>
  <si>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</si>
  <si>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</si>
  <si>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</si>
  <si>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>" 18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</si>
  <si>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</si>
  <si>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</si>
  <si>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</si>
  <si>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</si>
  <si>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</si>
  <si>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>351"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</si>
  <si>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</si>
  <si>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</si>
  <si>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</si>
  <si>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</si>
  <si>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</si>
  <si>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</si>
  <si>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</si>
  <si>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>323"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</si>
  <si>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</si>
  <si>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</si>
  <si>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</si>
  <si>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</si>
  <si>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</si>
  <si>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</si>
  <si>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</si>
  <si>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</si>
  <si>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</si>
  <si>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</si>
  <si>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>542"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</si>
  <si>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</si>
  <si>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</si>
  <si>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</si>
  <si>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</si>
  <si>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</si>
  <si>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</si>
  <si>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</si>
  <si>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</si>
  <si>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</si>
  <si>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</si>
  <si>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</si>
  <si>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</si>
  <si>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>424"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</si>
  <si>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</si>
  <si>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</si>
  <si>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</si>
  <si>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</si>
  <si>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</si>
  <si>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</si>
  <si>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</si>
  <si>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</si>
  <si>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</si>
  <si>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</si>
  <si>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</si>
  <si>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</si>
  <si>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</si>
  <si>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</si>
  <si>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</si>
  <si>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</si>
  <si>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</si>
  <si>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</si>
  <si>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</si>
  <si>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</si>
  <si>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</si>
  <si>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</si>
  <si>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</si>
  <si>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</si>
  <si>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</si>
  <si>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</si>
  <si>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</si>
  <si>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</si>
  <si>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</si>
  <si>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</si>
  <si>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</si>
  <si>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</si>
  <si>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</si>
  <si>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</si>
  <si>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</si>
  <si>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</si>
  <si>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</si>
  <si>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</si>
  <si>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</si>
  <si>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</si>
  <si>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</si>
  <si>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</si>
  <si>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</si>
  <si>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</si>
  <si>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</si>
  <si>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</si>
  <si>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</si>
  <si>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</si>
  <si>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</si>
  <si>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</si>
  <si>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</si>
  <si>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</si>
  <si>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</si>
  <si>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</si>
  <si>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</si>
  <si>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</si>
  <si>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</si>
  <si>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</si>
  <si>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>457"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</si>
  <si>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</si>
  <si>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</si>
  <si>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</si>
  <si>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</si>
  <si>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</si>
  <si>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</si>
  <si>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</si>
  <si>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</si>
  <si>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</si>
  <si>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</si>
  <si>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</si>
  <si>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</si>
  <si>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</si>
  <si>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</si>
  <si>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</si>
  <si>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</si>
  <si>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</si>
  <si>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</si>
  <si>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</si>
  <si>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</si>
  <si>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</si>
  <si>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</si>
  <si>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>" 15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</si>
  <si>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</si>
  <si>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</si>
  <si>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</si>
  <si>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</si>
  <si>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</si>
  <si>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</si>
  <si>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</si>
  <si>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</si>
  <si>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</si>
  <si>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</si>
  <si>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</si>
  <si>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</si>
  <si>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</si>
  <si>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</si>
  <si>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</si>
  <si>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</si>
  <si>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</si>
  <si>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</si>
  <si>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</si>
  <si>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</si>
  <si>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</si>
  <si>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</si>
  <si>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</si>
  <si>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</si>
  <si>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</si>
  <si>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</si>
  <si>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</si>
  <si>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</si>
  <si>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</si>
  <si>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</si>
  <si>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</si>
  <si>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</si>
  <si>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</si>
  <si>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</si>
  <si>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</si>
  <si>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</si>
  <si>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</si>
  <si>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</si>
  <si>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</si>
  <si>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</si>
  <si>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</si>
  <si>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</si>
  <si>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</si>
  <si>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</si>
  <si>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</si>
  <si>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</si>
  <si>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</si>
  <si>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</si>
  <si>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</si>
  <si>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</si>
  <si>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</si>
  <si>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</si>
  <si>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</si>
  <si>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</si>
  <si>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</si>
  <si>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</si>
  <si>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</si>
  <si>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</si>
  <si>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</si>
  <si>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</si>
  <si>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</si>
  <si>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</si>
  <si>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12月上旬</t>
  </si>
  <si>
    <t xml:space="preserve"> OSGコーポ</t>
  </si>
  <si>
    <t xml:space="preserve"> 12月中旬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</si>
  <si>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</si>
  <si>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</si>
  <si>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</si>
  <si>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</si>
  <si>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</si>
  <si>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</si>
  <si>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</si>
  <si>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</si>
  <si>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</si>
  <si>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</si>
  <si>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</si>
  <si>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</si>
  <si>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</si>
  <si>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</si>
  <si>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ブラザー工業</t>
  </si>
  <si>
    <t>浜松ホトニクス</t>
  </si>
  <si>
    <t>野村不動産ホールディングス</t>
  </si>
  <si>
    <t>728"</t>
  </si>
  <si>
    <t>433"</t>
  </si>
  <si>
    <t xml:space="preserve"> 象　印</t>
  </si>
  <si>
    <t>294"</t>
  </si>
  <si>
    <t xml:space="preserve"> ヒマラヤ</t>
  </si>
  <si>
    <t>710"</t>
  </si>
  <si>
    <t>058"</t>
  </si>
  <si>
    <t>505"</t>
  </si>
  <si>
    <t>123"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</si>
  <si>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</si>
  <si>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</si>
  <si>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</si>
  <si>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</si>
  <si>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</si>
  <si>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</si>
  <si>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>198"</t>
  </si>
  <si>
    <t xml:space="preserve"> レーザーテク</t>
  </si>
  <si>
    <t xml:space="preserve"> 日新製糖</t>
  </si>
  <si>
    <t>150"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</si>
  <si>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</si>
  <si>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</si>
  <si>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</si>
  <si>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</si>
  <si>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</si>
  <si>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</si>
  <si>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</si>
  <si>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>070"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</si>
  <si>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</si>
  <si>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</si>
  <si>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</si>
  <si>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</si>
  <si>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</si>
  <si>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</si>
  <si>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</si>
  <si>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</si>
  <si>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</si>
  <si>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>429"</t>
  </si>
  <si>
    <t xml:space="preserve"> 博　展</t>
  </si>
  <si>
    <t xml:space="preserve"> エヌアイデイ</t>
  </si>
  <si>
    <t xml:space="preserve"> ユビテック</t>
  </si>
  <si>
    <t>229"</t>
  </si>
  <si>
    <t>641"</t>
  </si>
  <si>
    <t xml:space="preserve"> カナディアン</t>
  </si>
  <si>
    <t>354"</t>
  </si>
  <si>
    <t xml:space="preserve"> アイリック</t>
  </si>
  <si>
    <t xml:space="preserve"> 保険業</t>
  </si>
  <si>
    <t xml:space="preserve"> 穴吹興産</t>
  </si>
  <si>
    <t>217"</t>
  </si>
  <si>
    <t>`</t>
    <phoneticPr fontId="1" type="noConversion"/>
  </si>
  <si>
    <t>単に運がよかった</t>
    <phoneticPr fontId="1" type="noConversion"/>
  </si>
  <si>
    <t>Setup</t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</si>
  <si>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</si>
  <si>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</si>
  <si>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</si>
  <si>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</si>
  <si>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</si>
  <si>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</si>
  <si>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</si>
  <si>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</si>
  <si>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</si>
  <si>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</si>
  <si>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</si>
  <si>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</si>
  <si>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</si>
  <si>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</si>
  <si>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</si>
  <si>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>塩野義製薬</t>
  </si>
  <si>
    <t>556"</t>
  </si>
  <si>
    <t>012"</t>
  </si>
  <si>
    <t>605"</t>
  </si>
  <si>
    <t>107"</t>
  </si>
  <si>
    <t>562"</t>
  </si>
  <si>
    <t>091"</t>
  </si>
  <si>
    <t>258"</t>
  </si>
  <si>
    <t>346"</t>
  </si>
  <si>
    <t>895"</t>
  </si>
  <si>
    <t>967"</t>
  </si>
  <si>
    <t>105"</t>
  </si>
  <si>
    <t xml:space="preserve"> 12/24</t>
  </si>
  <si>
    <t>282"</t>
  </si>
  <si>
    <t>301"</t>
  </si>
  <si>
    <t xml:space="preserve"> TAKARA&amp;C</t>
  </si>
  <si>
    <t>245"</t>
  </si>
  <si>
    <t>389"</t>
  </si>
  <si>
    <t>670"</t>
  </si>
  <si>
    <t>" 67</t>
  </si>
  <si>
    <t>569"</t>
  </si>
  <si>
    <t xml:space="preserve"> トレファク</t>
  </si>
  <si>
    <t xml:space="preserve"> いちご</t>
  </si>
  <si>
    <t>177"</t>
  </si>
  <si>
    <t xml:space="preserve"> コスモス薬品</t>
  </si>
  <si>
    <t>420"</t>
  </si>
  <si>
    <t xml:space="preserve"> 久光薬</t>
  </si>
  <si>
    <t>488"</t>
  </si>
  <si>
    <t xml:space="preserve"> 佐鳥電機</t>
  </si>
  <si>
    <t xml:space="preserve"> 良品計画</t>
  </si>
  <si>
    <t>952"</t>
  </si>
  <si>
    <t xml:space="preserve"> シグマ光機</t>
  </si>
  <si>
    <t xml:space="preserve"> ＡＩＴ</t>
  </si>
  <si>
    <t xml:space="preserve"> 12:00</t>
  </si>
  <si>
    <t xml:space="preserve"> トウキョベース</t>
  </si>
  <si>
    <t>004"</t>
  </si>
  <si>
    <t>741"</t>
  </si>
  <si>
    <t xml:space="preserve"> プレナス</t>
  </si>
  <si>
    <t>226"</t>
  </si>
  <si>
    <t>412"</t>
  </si>
  <si>
    <t xml:space="preserve"> 阪急神RE</t>
  </si>
  <si>
    <t>183"</t>
  </si>
  <si>
    <t>288"</t>
  </si>
  <si>
    <t>452"</t>
  </si>
  <si>
    <t xml:space="preserve"> 14:00</t>
  </si>
  <si>
    <t xml:space="preserve"> 大豊工業</t>
  </si>
  <si>
    <t xml:space="preserve"> 味の素</t>
  </si>
  <si>
    <t>033"</t>
  </si>
  <si>
    <t>102"</t>
  </si>
  <si>
    <t>850"</t>
  </si>
  <si>
    <t xml:space="preserve"> ヒューリック</t>
  </si>
  <si>
    <t xml:space="preserve"> TOKAI HD</t>
  </si>
  <si>
    <t>528"</t>
  </si>
  <si>
    <t xml:space="preserve"> 明治電機</t>
  </si>
  <si>
    <t xml:space="preserve"> 電　算</t>
  </si>
  <si>
    <t xml:space="preserve"> JR東日本</t>
  </si>
  <si>
    <t>" 37</t>
  </si>
  <si>
    <t>744"</t>
  </si>
  <si>
    <t xml:space="preserve"> トーカロ</t>
  </si>
  <si>
    <t>642"</t>
  </si>
  <si>
    <t>116"</t>
  </si>
  <si>
    <t>929"</t>
  </si>
  <si>
    <t xml:space="preserve"> UNITED</t>
  </si>
  <si>
    <t xml:space="preserve"> ＺＯＺＯ</t>
  </si>
  <si>
    <t>688"</t>
  </si>
  <si>
    <t xml:space="preserve"> ココカラファイン</t>
  </si>
  <si>
    <t>630"</t>
  </si>
  <si>
    <t xml:space="preserve"> ファンデリー</t>
  </si>
  <si>
    <t xml:space="preserve"> イチカワ</t>
  </si>
  <si>
    <t xml:space="preserve"> ワコールHD</t>
  </si>
  <si>
    <t>042"</t>
  </si>
  <si>
    <t xml:space="preserve"> テクノスJPN</t>
  </si>
  <si>
    <t>081"</t>
  </si>
  <si>
    <t xml:space="preserve"> 東映アニメ</t>
  </si>
  <si>
    <t xml:space="preserve"> ＴＯＴＯ</t>
  </si>
  <si>
    <t>726"</t>
  </si>
  <si>
    <t>196"</t>
  </si>
  <si>
    <t>410"</t>
  </si>
  <si>
    <t xml:space="preserve"> 高千穂交</t>
  </si>
  <si>
    <t xml:space="preserve"> クリエイト</t>
  </si>
  <si>
    <t xml:space="preserve"> テンポイノベ</t>
  </si>
  <si>
    <t xml:space="preserve"> 科研薬</t>
  </si>
  <si>
    <t>729"</t>
  </si>
  <si>
    <t>554"</t>
  </si>
  <si>
    <t xml:space="preserve"> 京　王</t>
  </si>
  <si>
    <t>831"</t>
  </si>
  <si>
    <t xml:space="preserve"> 不二製油</t>
  </si>
  <si>
    <t>" 69</t>
  </si>
  <si>
    <t>833"</t>
  </si>
  <si>
    <t xml:space="preserve"> ウェルネット</t>
  </si>
  <si>
    <t xml:space="preserve"> ニチレイ</t>
  </si>
  <si>
    <t>172"</t>
  </si>
  <si>
    <t>336"</t>
  </si>
  <si>
    <t>" 50</t>
  </si>
  <si>
    <t>300"</t>
  </si>
  <si>
    <t xml:space="preserve"> メルカリ</t>
  </si>
  <si>
    <t xml:space="preserve"> ＣＤＧ</t>
  </si>
  <si>
    <t xml:space="preserve"> ソケッツ</t>
  </si>
  <si>
    <t xml:space="preserve"> アドソル</t>
  </si>
  <si>
    <t>214"</t>
  </si>
  <si>
    <t xml:space="preserve"> 極東貿</t>
  </si>
  <si>
    <t>711"</t>
  </si>
  <si>
    <t>189"</t>
  </si>
  <si>
    <t>531"</t>
  </si>
  <si>
    <t xml:space="preserve"> クロスキャット</t>
  </si>
  <si>
    <t xml:space="preserve"> ＷＤＢ</t>
  </si>
  <si>
    <t xml:space="preserve"> シスロケ</t>
  </si>
  <si>
    <t>536"</t>
  </si>
  <si>
    <t xml:space="preserve"> 旭松食</t>
  </si>
  <si>
    <t xml:space="preserve"> ロードスター</t>
  </si>
  <si>
    <t xml:space="preserve"> イルグルム</t>
  </si>
  <si>
    <t>445"</t>
  </si>
  <si>
    <t xml:space="preserve"> 東洋合成</t>
  </si>
  <si>
    <t xml:space="preserve"> 栗本鉄</t>
  </si>
  <si>
    <t xml:space="preserve"> 鉄鋼</t>
  </si>
  <si>
    <t>449"</t>
  </si>
  <si>
    <t>326"</t>
  </si>
  <si>
    <t>008"</t>
  </si>
  <si>
    <t xml:space="preserve"> ハーモニック</t>
  </si>
  <si>
    <t>647"</t>
  </si>
  <si>
    <t>075"</t>
  </si>
  <si>
    <t xml:space="preserve"> ヴィンクス</t>
  </si>
  <si>
    <t>411"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</si>
  <si>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</si>
  <si>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</si>
  <si>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</si>
  <si>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</si>
  <si>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>399"</t>
  </si>
  <si>
    <t xml:space="preserve"> ササクラ</t>
  </si>
  <si>
    <t>629"</t>
  </si>
  <si>
    <t>798"</t>
  </si>
  <si>
    <t xml:space="preserve"> インフォマート</t>
  </si>
  <si>
    <t>545"</t>
  </si>
  <si>
    <t xml:space="preserve"> ＩＣＤＡ</t>
  </si>
  <si>
    <t xml:space="preserve"> フェイスNW</t>
  </si>
  <si>
    <t>151"</t>
  </si>
  <si>
    <t>891"</t>
  </si>
  <si>
    <t xml:space="preserve"> 3/2</t>
  </si>
  <si>
    <t>853"</t>
  </si>
  <si>
    <t xml:space="preserve"> 3/3</t>
  </si>
  <si>
    <t>491"</t>
  </si>
  <si>
    <t xml:space="preserve"> トヨタ紡織</t>
  </si>
  <si>
    <t>211"</t>
  </si>
  <si>
    <t xml:space="preserve"> マクニカ富士</t>
  </si>
  <si>
    <t>191"</t>
  </si>
  <si>
    <t>121"</t>
  </si>
  <si>
    <t xml:space="preserve"> LIXILビ</t>
  </si>
  <si>
    <t xml:space="preserve"> イーブック</t>
  </si>
  <si>
    <t xml:space="preserve"> さくら</t>
  </si>
  <si>
    <t>811"</t>
  </si>
  <si>
    <t>084"</t>
  </si>
  <si>
    <t>" 20</t>
  </si>
  <si>
    <t>984"</t>
  </si>
  <si>
    <t>" 24</t>
  </si>
  <si>
    <t>883"</t>
  </si>
  <si>
    <t>358"</t>
  </si>
  <si>
    <t>206"</t>
  </si>
  <si>
    <t xml:space="preserve"> 西川計測</t>
  </si>
  <si>
    <t>530"</t>
  </si>
  <si>
    <t>331"</t>
  </si>
  <si>
    <t>912"</t>
  </si>
  <si>
    <t>654"</t>
  </si>
  <si>
    <t>736"</t>
  </si>
  <si>
    <t>136"</t>
  </si>
  <si>
    <t>544"</t>
  </si>
  <si>
    <t>789"</t>
  </si>
  <si>
    <t xml:space="preserve"> 技研製</t>
  </si>
  <si>
    <t>659"</t>
  </si>
  <si>
    <t>738"</t>
  </si>
  <si>
    <t>807"</t>
  </si>
  <si>
    <t>639"</t>
  </si>
  <si>
    <t>989"</t>
  </si>
  <si>
    <t xml:space="preserve"> オールアバウト</t>
  </si>
  <si>
    <t xml:space="preserve"> あらた</t>
  </si>
  <si>
    <t xml:space="preserve"> 双  日</t>
  </si>
  <si>
    <t>368"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</si>
  <si>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</si>
  <si>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</si>
  <si>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</si>
  <si>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</si>
  <si>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</si>
  <si>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>320"</t>
  </si>
  <si>
    <t xml:space="preserve"> 帝　人</t>
  </si>
  <si>
    <t>088"</t>
  </si>
  <si>
    <t xml:space="preserve"> ソトー</t>
  </si>
  <si>
    <t xml:space="preserve"> フジックス</t>
  </si>
  <si>
    <t xml:space="preserve"> ネットイヤー</t>
  </si>
  <si>
    <t xml:space="preserve"> ＴＩＳ</t>
  </si>
  <si>
    <t>917"</t>
  </si>
  <si>
    <t xml:space="preserve"> セック</t>
  </si>
  <si>
    <t>061"</t>
  </si>
  <si>
    <t>454"</t>
  </si>
  <si>
    <t>200"</t>
  </si>
  <si>
    <t>577"</t>
  </si>
  <si>
    <t>271"</t>
  </si>
  <si>
    <t xml:space="preserve"> はごろも</t>
  </si>
  <si>
    <t xml:space="preserve"> 飯田GHD</t>
  </si>
  <si>
    <t>712"</t>
  </si>
  <si>
    <t xml:space="preserve"> 関門海</t>
  </si>
  <si>
    <t xml:space="preserve"> ＤＭＰ</t>
  </si>
  <si>
    <t xml:space="preserve"> ジェクシード</t>
  </si>
  <si>
    <t>820"</t>
  </si>
  <si>
    <t xml:space="preserve"> コプロHD</t>
  </si>
  <si>
    <t xml:space="preserve"> ＶＴＨＤ</t>
  </si>
  <si>
    <t xml:space="preserve"> 03月上旬</t>
  </si>
  <si>
    <t>256"</t>
  </si>
  <si>
    <t>702"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</si>
  <si>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</si>
  <si>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</si>
  <si>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</si>
  <si>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</si>
  <si>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</si>
  <si>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</si>
  <si>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</si>
  <si>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</si>
  <si>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</si>
  <si>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</si>
  <si>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</si>
  <si>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</si>
  <si>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</si>
  <si>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</si>
  <si>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</si>
  <si>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</si>
  <si>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</si>
  <si>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</si>
  <si>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</si>
  <si>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</si>
  <si>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</si>
  <si>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</si>
  <si>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</si>
  <si>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</si>
  <si>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</si>
  <si>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</si>
  <si>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</si>
  <si>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</si>
  <si>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</si>
  <si>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</si>
  <si>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</si>
  <si>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</si>
  <si>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</si>
  <si>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</si>
  <si>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</si>
  <si>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</si>
  <si>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ジャストシステム</t>
  </si>
  <si>
    <t>クレディセゾン</t>
  </si>
  <si>
    <t>富士通ゼネラル</t>
  </si>
  <si>
    <t>三井住友フィナンシャルグループ</t>
  </si>
  <si>
    <t>東京電力ホールディングス</t>
  </si>
  <si>
    <t>九州電力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</si>
  <si>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</si>
  <si>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</si>
  <si>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</si>
  <si>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</si>
  <si>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</si>
  <si>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</si>
  <si>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</si>
  <si>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</si>
  <si>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</si>
  <si>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</si>
  <si>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</si>
  <si>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</si>
  <si>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t>日本発條</t>
    <phoneticPr fontId="1" type="noConversion"/>
  </si>
  <si>
    <t>本田技研工業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</si>
  <si>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</si>
  <si>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2/2/12</t>
  </si>
  <si>
    <t>日本精工</t>
    <phoneticPr fontId="1" type="noConversion"/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</si>
  <si>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</si>
  <si>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</si>
  <si>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</si>
  <si>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戸田建設</t>
    <phoneticPr fontId="1" type="noConversion"/>
  </si>
  <si>
    <t>住友ゴム工業</t>
    <phoneticPr fontId="1" type="noConversion"/>
  </si>
  <si>
    <t>ＴＫＣ</t>
  </si>
  <si>
    <t>1/3/9</t>
  </si>
  <si>
    <t>1/2/13</t>
  </si>
  <si>
    <t>OPEN_9072</t>
  </si>
  <si>
    <t>CLOSE_9072</t>
  </si>
  <si>
    <t>OPEN_8002</t>
  </si>
  <si>
    <t>CLOSE_8002</t>
  </si>
  <si>
    <t>日東紡績</t>
  </si>
  <si>
    <t>2/6/12</t>
  </si>
  <si>
    <t>1/4/11</t>
  </si>
  <si>
    <t>0/2/16</t>
  </si>
  <si>
    <t>銘柄１（売り銘柄）</t>
    <phoneticPr fontId="1" type="noConversion"/>
  </si>
  <si>
    <t>逆日歩</t>
    <phoneticPr fontId="1" type="noConversion"/>
  </si>
  <si>
    <t>GRAPH</t>
  </si>
  <si>
    <t>Detail</t>
  </si>
  <si>
    <t>No</t>
    <phoneticPr fontId="1" type="noConversion"/>
  </si>
  <si>
    <t>CLOSE_B_ADJUST</t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</si>
</sst>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43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宋体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9"/>
      <name val="Microsoft YaHei"/>
      <family val="2"/>
    </font>
  </fonts>
  <fills count="26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39" fillId="25" borderId="0" applyNumberFormat="0" applyBorder="0" applyAlignment="0" applyProtection="0">
      <alignment vertical="center"/>
    </xf>
  </cellStyleXfs>
  <cellXfs count="298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4" borderId="1" xfId="0" applyFill="1" applyBorder="1"/>
    <xf numFmtId="0" fontId="0" fillId="15" borderId="1" xfId="0" applyFill="1" applyBorder="1"/>
    <xf numFmtId="181" fontId="0" fillId="15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5" borderId="1" xfId="0" applyNumberFormat="1" applyFill="1" applyBorder="1"/>
    <xf numFmtId="0" fontId="10" fillId="0" borderId="0" xfId="0" applyFont="1"/>
    <xf numFmtId="0" fontId="16" fillId="4" borderId="6" xfId="0" applyFont="1" applyFill="1" applyBorder="1" applyAlignment="1">
      <alignment horizontal="center"/>
    </xf>
    <xf numFmtId="178" fontId="16" fillId="4" borderId="6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/>
    </xf>
    <xf numFmtId="178" fontId="16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178" fontId="16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79" fontId="16" fillId="4" borderId="6" xfId="0" applyNumberFormat="1" applyFont="1" applyFill="1" applyBorder="1" applyAlignment="1">
      <alignment horizontal="center"/>
    </xf>
    <xf numFmtId="179" fontId="16" fillId="10" borderId="1" xfId="0" applyNumberFormat="1" applyFont="1" applyFill="1" applyBorder="1" applyAlignment="1">
      <alignment horizontal="center"/>
    </xf>
    <xf numFmtId="179" fontId="16" fillId="4" borderId="1" xfId="0" applyNumberFormat="1" applyFont="1" applyFill="1" applyBorder="1" applyAlignment="1">
      <alignment horizontal="center"/>
    </xf>
    <xf numFmtId="180" fontId="16" fillId="4" borderId="6" xfId="0" applyNumberFormat="1" applyFont="1" applyFill="1" applyBorder="1" applyAlignment="1">
      <alignment horizontal="center"/>
    </xf>
    <xf numFmtId="6" fontId="16" fillId="4" borderId="6" xfId="0" applyNumberFormat="1" applyFont="1" applyFill="1" applyBorder="1" applyAlignment="1">
      <alignment horizontal="center"/>
    </xf>
    <xf numFmtId="10" fontId="16" fillId="4" borderId="6" xfId="0" applyNumberFormat="1" applyFont="1" applyFill="1" applyBorder="1" applyAlignment="1">
      <alignment horizontal="center"/>
    </xf>
    <xf numFmtId="180" fontId="16" fillId="10" borderId="1" xfId="0" applyNumberFormat="1" applyFont="1" applyFill="1" applyBorder="1" applyAlignment="1">
      <alignment horizontal="center"/>
    </xf>
    <xf numFmtId="6" fontId="16" fillId="10" borderId="1" xfId="0" applyNumberFormat="1" applyFont="1" applyFill="1" applyBorder="1" applyAlignment="1">
      <alignment horizontal="center"/>
    </xf>
    <xf numFmtId="10" fontId="16" fillId="10" borderId="1" xfId="0" applyNumberFormat="1" applyFont="1" applyFill="1" applyBorder="1" applyAlignment="1">
      <alignment horizontal="center"/>
    </xf>
    <xf numFmtId="180" fontId="16" fillId="4" borderId="1" xfId="0" applyNumberFormat="1" applyFont="1" applyFill="1" applyBorder="1" applyAlignment="1">
      <alignment horizontal="center"/>
    </xf>
    <xf numFmtId="6" fontId="16" fillId="4" borderId="1" xfId="0" applyNumberFormat="1" applyFont="1" applyFill="1" applyBorder="1" applyAlignment="1">
      <alignment horizontal="center"/>
    </xf>
    <xf numFmtId="10" fontId="16" fillId="4" borderId="1" xfId="0" applyNumberFormat="1" applyFont="1" applyFill="1" applyBorder="1" applyAlignment="1">
      <alignment horizontal="center"/>
    </xf>
    <xf numFmtId="0" fontId="17" fillId="4" borderId="6" xfId="0" applyFont="1" applyFill="1" applyBorder="1" applyAlignment="1">
      <alignment horizontal="center" shrinkToFit="1"/>
    </xf>
    <xf numFmtId="0" fontId="10" fillId="4" borderId="6" xfId="0" applyFont="1" applyFill="1" applyBorder="1" applyAlignment="1">
      <alignment horizontal="left" shrinkToFit="1"/>
    </xf>
    <xf numFmtId="0" fontId="17" fillId="10" borderId="6" xfId="0" applyFont="1" applyFill="1" applyBorder="1" applyAlignment="1">
      <alignment horizontal="left" shrinkToFit="1"/>
    </xf>
    <xf numFmtId="0" fontId="17" fillId="4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9" borderId="13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4" fillId="9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6" borderId="22" xfId="0" applyFont="1" applyFill="1" applyBorder="1" applyAlignment="1">
      <alignment horizontal="center" vertical="center" wrapText="1"/>
    </xf>
    <xf numFmtId="0" fontId="23" fillId="16" borderId="23" xfId="0" applyFont="1" applyFill="1" applyBorder="1" applyAlignment="1">
      <alignment horizontal="center" vertical="center" wrapText="1"/>
    </xf>
    <xf numFmtId="0" fontId="22" fillId="17" borderId="24" xfId="0" applyFont="1" applyFill="1" applyBorder="1" applyAlignment="1">
      <alignment horizontal="left" wrapText="1"/>
    </xf>
    <xf numFmtId="0" fontId="22" fillId="15" borderId="24" xfId="0" applyFont="1" applyFill="1" applyBorder="1" applyAlignment="1">
      <alignment horizontal="left" wrapText="1"/>
    </xf>
    <xf numFmtId="0" fontId="24" fillId="15" borderId="21" xfId="0" applyFont="1" applyFill="1" applyBorder="1" applyAlignment="1">
      <alignment horizontal="left" wrapText="1"/>
    </xf>
    <xf numFmtId="0" fontId="22" fillId="18" borderId="24" xfId="0" applyFont="1" applyFill="1" applyBorder="1" applyAlignment="1">
      <alignment horizontal="left" wrapText="1"/>
    </xf>
    <xf numFmtId="0" fontId="24" fillId="18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7" borderId="26" xfId="0" applyFont="1" applyFill="1" applyBorder="1" applyAlignment="1">
      <alignment horizontal="left" wrapText="1"/>
    </xf>
    <xf numFmtId="0" fontId="26" fillId="21" borderId="21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6" fillId="22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6" borderId="24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15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9" borderId="15" xfId="0" applyFont="1" applyFill="1" applyBorder="1" applyAlignment="1">
      <alignment horizontal="center" vertical="center" wrapText="1"/>
    </xf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10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2" borderId="11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29" fillId="0" borderId="0" xfId="1" applyAlignment="1" applyProtection="1"/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4" borderId="39" xfId="0" applyFont="1" applyFill="1" applyBorder="1" applyAlignment="1">
      <alignment horizontal="center"/>
    </xf>
    <xf numFmtId="0" fontId="16" fillId="10" borderId="39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4" borderId="0" xfId="0" applyFill="1"/>
    <xf numFmtId="0" fontId="16" fillId="10" borderId="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6" fillId="10" borderId="1" xfId="0" applyFont="1" applyFill="1" applyBorder="1" applyAlignment="1">
      <alignment horizontal="center" vertical="center"/>
    </xf>
    <xf numFmtId="9" fontId="0" fillId="15" borderId="0" xfId="0" applyNumberFormat="1" applyFill="1"/>
    <xf numFmtId="0" fontId="0" fillId="0" borderId="0" xfId="0" applyAlignment="1">
      <alignment horizontal="right"/>
    </xf>
    <xf numFmtId="0" fontId="35" fillId="23" borderId="26" xfId="0" applyFont="1" applyFill="1" applyBorder="1" applyAlignment="1">
      <alignment horizontal="left" vertical="center" wrapText="1"/>
    </xf>
    <xf numFmtId="0" fontId="0" fillId="15" borderId="0" xfId="0" applyFill="1"/>
    <xf numFmtId="10" fontId="0" fillId="15" borderId="0" xfId="0" applyNumberFormat="1" applyFill="1"/>
    <xf numFmtId="181" fontId="16" fillId="4" borderId="1" xfId="0" applyNumberFormat="1" applyFont="1" applyFill="1" applyBorder="1" applyAlignment="1">
      <alignment horizontal="center"/>
    </xf>
    <xf numFmtId="0" fontId="17" fillId="10" borderId="6" xfId="0" applyFont="1" applyFill="1" applyBorder="1" applyAlignment="1">
      <alignment horizontal="center" shrinkToFit="1"/>
    </xf>
    <xf numFmtId="181" fontId="10" fillId="10" borderId="1" xfId="0" applyNumberFormat="1" applyFont="1" applyFill="1" applyBorder="1" applyAlignment="1">
      <alignment horizontal="center" vertical="center"/>
    </xf>
    <xf numFmtId="183" fontId="16" fillId="4" borderId="1" xfId="0" applyNumberFormat="1" applyFont="1" applyFill="1" applyBorder="1" applyAlignment="1">
      <alignment horizontal="center"/>
    </xf>
    <xf numFmtId="183" fontId="16" fillId="10" borderId="1" xfId="0" applyNumberFormat="1" applyFont="1" applyFill="1" applyBorder="1" applyAlignment="1">
      <alignment horizontal="center"/>
    </xf>
    <xf numFmtId="0" fontId="8" fillId="5" borderId="12" xfId="0" applyFont="1" applyFill="1" applyBorder="1" applyAlignment="1">
      <alignment horizontal="center" vertical="center" wrapText="1"/>
    </xf>
    <xf numFmtId="179" fontId="37" fillId="15" borderId="1" xfId="0" applyNumberFormat="1" applyFont="1" applyFill="1" applyBorder="1"/>
    <xf numFmtId="0" fontId="20" fillId="0" borderId="0" xfId="0" applyFont="1" applyAlignment="1">
      <alignment horizontal="center" vertical="center" wrapText="1"/>
    </xf>
    <xf numFmtId="0" fontId="13" fillId="9" borderId="45" xfId="0" applyFont="1" applyFill="1" applyBorder="1" applyAlignment="1">
      <alignment horizontal="center" vertical="center"/>
    </xf>
    <xf numFmtId="0" fontId="15" fillId="9" borderId="46" xfId="0" applyFont="1" applyFill="1" applyBorder="1" applyAlignment="1">
      <alignment horizontal="center" vertical="center" wrapText="1"/>
    </xf>
    <xf numFmtId="0" fontId="15" fillId="9" borderId="18" xfId="0" applyFont="1" applyFill="1" applyBorder="1" applyAlignment="1">
      <alignment horizontal="center" vertical="center" wrapText="1"/>
    </xf>
    <xf numFmtId="0" fontId="15" fillId="9" borderId="47" xfId="0" applyFont="1" applyFill="1" applyBorder="1" applyAlignment="1">
      <alignment horizontal="center" vertical="center" wrapText="1"/>
    </xf>
    <xf numFmtId="0" fontId="15" fillId="9" borderId="5" xfId="0" applyFont="1" applyFill="1" applyBorder="1" applyAlignment="1">
      <alignment horizontal="center" vertical="center" wrapText="1"/>
    </xf>
    <xf numFmtId="0" fontId="13" fillId="9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83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8" fillId="0" borderId="0" xfId="0" applyFont="1"/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39" fillId="25" borderId="0" xfId="2" applyAlignment="1"/>
    <xf numFmtId="0" fontId="40" fillId="10" borderId="1" xfId="0" applyFont="1" applyFill="1" applyBorder="1" applyAlignment="1">
      <alignment horizontal="center"/>
    </xf>
    <xf numFmtId="0" fontId="41" fillId="10" borderId="1" xfId="0" applyFont="1" applyFill="1" applyBorder="1" applyAlignment="1">
      <alignment horizontal="center"/>
    </xf>
    <xf numFmtId="0" fontId="39" fillId="25" borderId="0" xfId="2" applyAlignment="1" applyProtection="1"/>
    <xf numFmtId="0" fontId="21" fillId="0" borderId="0" xfId="0" applyFont="1" applyAlignment="1">
      <alignment horizontal="right" vertical="center"/>
    </xf>
    <xf numFmtId="0" fontId="33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8" fillId="4" borderId="1" xfId="0" applyFont="1" applyFill="1" applyBorder="1"/>
    <xf numFmtId="0" fontId="3" fillId="4" borderId="1" xfId="0" applyFont="1" applyFill="1" applyBorder="1"/>
    <xf numFmtId="0" fontId="18" fillId="4" borderId="1" xfId="0" applyFont="1" applyFill="1" applyBorder="1" applyAlignment="1">
      <alignment wrapText="1"/>
    </xf>
    <xf numFmtId="0" fontId="16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left" vertical="center"/>
    </xf>
    <xf numFmtId="177" fontId="16" fillId="10" borderId="6" xfId="0" applyNumberFormat="1" applyFont="1" applyFill="1" applyBorder="1" applyAlignment="1">
      <alignment horizontal="left" vertical="center"/>
    </xf>
    <xf numFmtId="183" fontId="16" fillId="10" borderId="1" xfId="0" applyNumberFormat="1" applyFont="1" applyFill="1" applyBorder="1" applyAlignment="1">
      <alignment horizontal="center" vertical="center"/>
    </xf>
    <xf numFmtId="10" fontId="16" fillId="10" borderId="1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11" fillId="10" borderId="1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6" fillId="10" borderId="6" xfId="0" applyFont="1" applyFill="1" applyBorder="1" applyAlignment="1">
      <alignment horizontal="center" vertical="center"/>
    </xf>
    <xf numFmtId="0" fontId="36" fillId="10" borderId="1" xfId="0" applyFont="1" applyFill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182" fontId="27" fillId="10" borderId="5" xfId="0" applyNumberFormat="1" applyFont="1" applyFill="1" applyBorder="1" applyAlignment="1">
      <alignment horizontal="center" vertical="center"/>
    </xf>
    <xf numFmtId="182" fontId="27" fillId="10" borderId="6" xfId="0" applyNumberFormat="1" applyFont="1" applyFill="1" applyBorder="1" applyAlignment="1">
      <alignment horizontal="center" vertical="center"/>
    </xf>
    <xf numFmtId="182" fontId="32" fillId="10" borderId="5" xfId="0" applyNumberFormat="1" applyFont="1" applyFill="1" applyBorder="1" applyAlignment="1">
      <alignment horizontal="center" vertical="center"/>
    </xf>
    <xf numFmtId="182" fontId="32" fillId="10" borderId="6" xfId="0" applyNumberFormat="1" applyFont="1" applyFill="1" applyBorder="1" applyAlignment="1">
      <alignment horizontal="center" vertical="center"/>
    </xf>
    <xf numFmtId="182" fontId="27" fillId="10" borderId="1" xfId="0" applyNumberFormat="1" applyFont="1" applyFill="1" applyBorder="1" applyAlignment="1">
      <alignment horizontal="center" vertical="center"/>
    </xf>
    <xf numFmtId="0" fontId="31" fillId="10" borderId="6" xfId="0" applyFont="1" applyFill="1" applyBorder="1" applyAlignment="1">
      <alignment horizontal="center" vertical="center"/>
    </xf>
    <xf numFmtId="0" fontId="31" fillId="10" borderId="1" xfId="0" applyFont="1" applyFill="1" applyBorder="1" applyAlignment="1">
      <alignment horizontal="center" vertical="center"/>
    </xf>
    <xf numFmtId="182" fontId="27" fillId="10" borderId="18" xfId="0" applyNumberFormat="1" applyFont="1" applyFill="1" applyBorder="1" applyAlignment="1">
      <alignment horizontal="center" vertical="center"/>
    </xf>
    <xf numFmtId="182" fontId="27" fillId="10" borderId="14" xfId="0" applyNumberFormat="1" applyFont="1" applyFill="1" applyBorder="1" applyAlignment="1">
      <alignment horizontal="center" vertical="center"/>
    </xf>
    <xf numFmtId="10" fontId="16" fillId="10" borderId="6" xfId="0" applyNumberFormat="1" applyFont="1" applyFill="1" applyBorder="1" applyAlignment="1">
      <alignment horizontal="center" vertical="center"/>
    </xf>
    <xf numFmtId="14" fontId="11" fillId="10" borderId="6" xfId="0" applyNumberFormat="1" applyFont="1" applyFill="1" applyBorder="1" applyAlignment="1">
      <alignment horizontal="center" vertical="center"/>
    </xf>
    <xf numFmtId="182" fontId="16" fillId="10" borderId="18" xfId="0" applyNumberFormat="1" applyFont="1" applyFill="1" applyBorder="1" applyAlignment="1">
      <alignment horizontal="center" vertical="center"/>
    </xf>
    <xf numFmtId="182" fontId="16" fillId="10" borderId="14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14" fontId="16" fillId="10" borderId="1" xfId="0" applyNumberFormat="1" applyFont="1" applyFill="1" applyBorder="1" applyAlignment="1">
      <alignment horizontal="center" vertical="center"/>
    </xf>
    <xf numFmtId="182" fontId="16" fillId="10" borderId="1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14" fontId="16" fillId="10" borderId="18" xfId="0" applyNumberFormat="1" applyFont="1" applyFill="1" applyBorder="1" applyAlignment="1">
      <alignment horizontal="center" vertical="center"/>
    </xf>
    <xf numFmtId="14" fontId="16" fillId="10" borderId="14" xfId="0" applyNumberFormat="1" applyFont="1" applyFill="1" applyBorder="1" applyAlignment="1">
      <alignment horizontal="center" vertical="center"/>
    </xf>
    <xf numFmtId="183" fontId="16" fillId="10" borderId="6" xfId="0" applyNumberFormat="1" applyFont="1" applyFill="1" applyBorder="1" applyAlignment="1">
      <alignment horizontal="center" vertical="center"/>
    </xf>
    <xf numFmtId="14" fontId="11" fillId="10" borderId="5" xfId="0" applyNumberFormat="1" applyFont="1" applyFill="1" applyBorder="1" applyAlignment="1">
      <alignment horizontal="center" vertical="center"/>
    </xf>
    <xf numFmtId="182" fontId="32" fillId="10" borderId="1" xfId="0" applyNumberFormat="1" applyFont="1" applyFill="1" applyBorder="1" applyAlignment="1">
      <alignment horizontal="center" vertical="center"/>
    </xf>
    <xf numFmtId="14" fontId="2" fillId="14" borderId="40" xfId="0" applyNumberFormat="1" applyFont="1" applyFill="1" applyBorder="1" applyAlignment="1"/>
    <xf numFmtId="0" fontId="0" fillId="14" borderId="41" xfId="0" applyFill="1" applyBorder="1" applyAlignment="1"/>
    <xf numFmtId="0" fontId="0" fillId="14" borderId="39" xfId="0" applyFill="1" applyBorder="1" applyAlignment="1"/>
    <xf numFmtId="14" fontId="2" fillId="14" borderId="44" xfId="0" applyNumberFormat="1" applyFont="1" applyFill="1" applyBorder="1" applyAlignment="1"/>
    <xf numFmtId="0" fontId="0" fillId="14" borderId="38" xfId="0" applyFill="1" applyBorder="1" applyAlignment="1"/>
    <xf numFmtId="14" fontId="2" fillId="15" borderId="42" xfId="0" applyNumberFormat="1" applyFont="1" applyFill="1" applyBorder="1" applyAlignment="1"/>
    <xf numFmtId="0" fontId="0" fillId="15" borderId="2" xfId="0" applyFill="1" applyBorder="1" applyAlignment="1"/>
    <xf numFmtId="0" fontId="0" fillId="0" borderId="43" xfId="0" applyBorder="1" applyAlignment="1"/>
    <xf numFmtId="0" fontId="0" fillId="15" borderId="38" xfId="0" applyFill="1" applyBorder="1" applyAlignment="1"/>
    <xf numFmtId="0" fontId="0" fillId="0" borderId="3" xfId="0" applyBorder="1" applyAlignment="1"/>
    <xf numFmtId="0" fontId="0" fillId="15" borderId="40" xfId="0" applyFill="1" applyBorder="1" applyAlignment="1"/>
    <xf numFmtId="0" fontId="0" fillId="0" borderId="39" xfId="0" applyBorder="1" applyAlignment="1"/>
    <xf numFmtId="0" fontId="3" fillId="13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2" borderId="7" xfId="0" applyFont="1" applyFill="1" applyBorder="1" applyAlignment="1">
      <alignment horizontal="left"/>
    </xf>
    <xf numFmtId="0" fontId="3" fillId="11" borderId="7" xfId="0" applyFont="1" applyFill="1" applyBorder="1" applyAlignment="1">
      <alignment horizontal="left" vertical="center"/>
    </xf>
    <xf numFmtId="0" fontId="3" fillId="7" borderId="7" xfId="0" applyFont="1" applyFill="1" applyBorder="1" applyAlignment="1">
      <alignment horizontal="left"/>
    </xf>
    <xf numFmtId="0" fontId="2" fillId="2" borderId="0" xfId="0" applyFont="1" applyFill="1" applyAlignment="1"/>
    <xf numFmtId="0" fontId="0" fillId="0" borderId="0" xfId="0" applyAlignment="1"/>
    <xf numFmtId="0" fontId="24" fillId="0" borderId="34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6" fillId="19" borderId="29" xfId="0" applyFont="1" applyFill="1" applyBorder="1" applyAlignment="1">
      <alignment horizontal="left" vertical="center" wrapText="1"/>
    </xf>
    <xf numFmtId="0" fontId="26" fillId="19" borderId="30" xfId="0" applyFont="1" applyFill="1" applyBorder="1" applyAlignment="1">
      <alignment horizontal="left" vertical="center" wrapText="1"/>
    </xf>
    <xf numFmtId="0" fontId="26" fillId="19" borderId="33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16" borderId="34" xfId="0" applyFont="1" applyFill="1" applyBorder="1" applyAlignment="1">
      <alignment horizontal="left" vertical="center" wrapText="1"/>
    </xf>
    <xf numFmtId="0" fontId="26" fillId="16" borderId="31" xfId="0" applyFont="1" applyFill="1" applyBorder="1" applyAlignment="1">
      <alignment horizontal="left" vertical="center" wrapText="1"/>
    </xf>
    <xf numFmtId="0" fontId="26" fillId="16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26" fillId="22" borderId="34" xfId="0" applyFont="1" applyFill="1" applyBorder="1" applyAlignment="1">
      <alignment horizontal="left" vertical="center" wrapText="1"/>
    </xf>
    <xf numFmtId="0" fontId="26" fillId="22" borderId="23" xfId="0" applyFont="1" applyFill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5" borderId="27" xfId="0" applyNumberFormat="1" applyFont="1" applyFill="1" applyBorder="1" applyAlignment="1">
      <alignment horizontal="left" vertical="center" wrapText="1"/>
    </xf>
    <xf numFmtId="10" fontId="24" fillId="15" borderId="26" xfId="0" applyNumberFormat="1" applyFont="1" applyFill="1" applyBorder="1" applyAlignment="1">
      <alignment horizontal="left" vertical="center" wrapText="1"/>
    </xf>
    <xf numFmtId="10" fontId="24" fillId="15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4" fillId="23" borderId="27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15" borderId="27" xfId="0" applyFont="1" applyFill="1" applyBorder="1" applyAlignment="1">
      <alignment horizontal="left" vertical="center" wrapText="1"/>
    </xf>
    <xf numFmtId="0" fontId="24" fillId="15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6" fontId="30" fillId="0" borderId="13" xfId="0" applyNumberFormat="1" applyFont="1" applyBorder="1"/>
    <xf numFmtId="10" fontId="20" fillId="0" borderId="0" xfId="0" applyNumberFormat="1" applyFont="1"/>
    <xf numFmtId="177" fontId="16" fillId="10" borderId="18" xfId="0" applyNumberFormat="1" applyFont="1" applyFill="1" applyBorder="1" applyAlignment="1">
      <alignment horizontal="right" vertical="center"/>
    </xf>
    <xf numFmtId="177" fontId="16" fillId="10" borderId="14" xfId="0" applyNumberFormat="1" applyFont="1" applyFill="1" applyBorder="1" applyAlignment="1">
      <alignment horizontal="right" vertical="center"/>
    </xf>
    <xf numFmtId="177" fontId="16" fillId="10" borderId="5" xfId="0" applyNumberFormat="1" applyFont="1" applyFill="1" applyBorder="1" applyAlignment="1">
      <alignment horizontal="right" vertical="center"/>
    </xf>
    <xf numFmtId="177" fontId="16" fillId="10" borderId="6" xfId="0" applyNumberFormat="1" applyFont="1" applyFill="1" applyBorder="1" applyAlignment="1">
      <alignment horizontal="right" vertical="center"/>
    </xf>
    <xf numFmtId="0" fontId="0" fillId="13" borderId="45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 wrapText="1"/>
    </xf>
    <xf numFmtId="0" fontId="7" fillId="11" borderId="37" xfId="0" applyFont="1" applyFill="1" applyBorder="1" applyAlignment="1">
      <alignment horizontal="center" vertical="center" wrapText="1"/>
    </xf>
    <xf numFmtId="0" fontId="7" fillId="11" borderId="0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 wrapText="1"/>
    </xf>
    <xf numFmtId="0" fontId="7" fillId="13" borderId="11" xfId="0" applyFont="1" applyFill="1" applyBorder="1" applyAlignment="1">
      <alignment horizontal="center" vertical="center" wrapText="1"/>
    </xf>
  </cellXfs>
  <cellStyles count="3">
    <cellStyle name="好" xfId="2" builtinId="26"/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0.14562102722941617"/>
          <c:y val="0.22277006741063837"/>
          <c:w val="0.80864350486994818"/>
          <c:h val="0.54771507728200663"/>
        </c:manualLayout>
      </c:layout>
      <c:lineChart>
        <c:grouping val="standard"/>
        <c:ser>
          <c:idx val="0"/>
          <c:order val="0"/>
          <c:tx>
            <c:strRef>
              <c:f>グラフ!$C$41</c:f>
              <c:strCache>
                <c:ptCount val="1"/>
                <c:pt idx="0">
                  <c:v>CLOSE_8002</c:v>
                </c:pt>
              </c:strCache>
            </c:strRef>
          </c:tx>
          <c:marker>
            <c:symbol val="none"/>
          </c:marker>
          <c:cat>
            <c:numRef>
              <c:f>グラフ!$A$42:$A$200</c:f>
              <c:numCache>
                <c:formatCode>yyyy/mm/dd</c:formatCode>
                <c:ptCount val="159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</c:numCache>
            </c:numRef>
          </c:cat>
          <c:val>
            <c:numRef>
              <c:f>グラフ!$C$42:$C$200</c:f>
              <c:numCache>
                <c:formatCode>General</c:formatCode>
                <c:ptCount val="159"/>
                <c:pt idx="0">
                  <c:v>837.7</c:v>
                </c:pt>
                <c:pt idx="1">
                  <c:v>814.9</c:v>
                </c:pt>
                <c:pt idx="2">
                  <c:v>823.4</c:v>
                </c:pt>
                <c:pt idx="3">
                  <c:v>829.2</c:v>
                </c:pt>
                <c:pt idx="4">
                  <c:v>831</c:v>
                </c:pt>
                <c:pt idx="5">
                  <c:v>824.9</c:v>
                </c:pt>
                <c:pt idx="6">
                  <c:v>826.1</c:v>
                </c:pt>
                <c:pt idx="7">
                  <c:v>813.2</c:v>
                </c:pt>
                <c:pt idx="8">
                  <c:v>815.2</c:v>
                </c:pt>
                <c:pt idx="9">
                  <c:v>825.2</c:v>
                </c:pt>
                <c:pt idx="10">
                  <c:v>808.2</c:v>
                </c:pt>
                <c:pt idx="11">
                  <c:v>811.6</c:v>
                </c:pt>
                <c:pt idx="12">
                  <c:v>809.7</c:v>
                </c:pt>
                <c:pt idx="13">
                  <c:v>804.8</c:v>
                </c:pt>
                <c:pt idx="14">
                  <c:v>805.2</c:v>
                </c:pt>
                <c:pt idx="15">
                  <c:v>796.9</c:v>
                </c:pt>
                <c:pt idx="16">
                  <c:v>797.4</c:v>
                </c:pt>
                <c:pt idx="17">
                  <c:v>793.8</c:v>
                </c:pt>
                <c:pt idx="18">
                  <c:v>805</c:v>
                </c:pt>
                <c:pt idx="19">
                  <c:v>810.6</c:v>
                </c:pt>
                <c:pt idx="20">
                  <c:v>811</c:v>
                </c:pt>
                <c:pt idx="21">
                  <c:v>793.8</c:v>
                </c:pt>
                <c:pt idx="22">
                  <c:v>804.7</c:v>
                </c:pt>
                <c:pt idx="23">
                  <c:v>815.9</c:v>
                </c:pt>
                <c:pt idx="24">
                  <c:v>806.1</c:v>
                </c:pt>
                <c:pt idx="25">
                  <c:v>800.2</c:v>
                </c:pt>
                <c:pt idx="26">
                  <c:v>785.8</c:v>
                </c:pt>
                <c:pt idx="27">
                  <c:v>784.8</c:v>
                </c:pt>
                <c:pt idx="28">
                  <c:v>768.5</c:v>
                </c:pt>
                <c:pt idx="29">
                  <c:v>756.1</c:v>
                </c:pt>
                <c:pt idx="30">
                  <c:v>765.8</c:v>
                </c:pt>
                <c:pt idx="31">
                  <c:v>766.7</c:v>
                </c:pt>
                <c:pt idx="32">
                  <c:v>761.9</c:v>
                </c:pt>
                <c:pt idx="33">
                  <c:v>753.8</c:v>
                </c:pt>
                <c:pt idx="34">
                  <c:v>753.1</c:v>
                </c:pt>
                <c:pt idx="35">
                  <c:v>752.5</c:v>
                </c:pt>
                <c:pt idx="36">
                  <c:v>748.6</c:v>
                </c:pt>
                <c:pt idx="37">
                  <c:v>741.7</c:v>
                </c:pt>
                <c:pt idx="38">
                  <c:v>733.7</c:v>
                </c:pt>
                <c:pt idx="39">
                  <c:v>731.6</c:v>
                </c:pt>
                <c:pt idx="40">
                  <c:v>736</c:v>
                </c:pt>
                <c:pt idx="41">
                  <c:v>746.1</c:v>
                </c:pt>
                <c:pt idx="42">
                  <c:v>734.5</c:v>
                </c:pt>
                <c:pt idx="43">
                  <c:v>717.2</c:v>
                </c:pt>
                <c:pt idx="44">
                  <c:v>711.2</c:v>
                </c:pt>
                <c:pt idx="45">
                  <c:v>722.7</c:v>
                </c:pt>
                <c:pt idx="46">
                  <c:v>694.6</c:v>
                </c:pt>
                <c:pt idx="47">
                  <c:v>694.1</c:v>
                </c:pt>
                <c:pt idx="48">
                  <c:v>699.6</c:v>
                </c:pt>
                <c:pt idx="49">
                  <c:v>712.7</c:v>
                </c:pt>
                <c:pt idx="50">
                  <c:v>729.3</c:v>
                </c:pt>
                <c:pt idx="51">
                  <c:v>717.7</c:v>
                </c:pt>
                <c:pt idx="52">
                  <c:v>727.9</c:v>
                </c:pt>
                <c:pt idx="53">
                  <c:v>755.9</c:v>
                </c:pt>
                <c:pt idx="54">
                  <c:v>752.9</c:v>
                </c:pt>
                <c:pt idx="55">
                  <c:v>752.9</c:v>
                </c:pt>
                <c:pt idx="56">
                  <c:v>754</c:v>
                </c:pt>
                <c:pt idx="57">
                  <c:v>753.2</c:v>
                </c:pt>
                <c:pt idx="58">
                  <c:v>753.8</c:v>
                </c:pt>
                <c:pt idx="59">
                  <c:v>766.7</c:v>
                </c:pt>
                <c:pt idx="60">
                  <c:v>748.8</c:v>
                </c:pt>
                <c:pt idx="61">
                  <c:v>747.5</c:v>
                </c:pt>
                <c:pt idx="62">
                  <c:v>740.5</c:v>
                </c:pt>
                <c:pt idx="63">
                  <c:v>725.4</c:v>
                </c:pt>
                <c:pt idx="64">
                  <c:v>701.4</c:v>
                </c:pt>
                <c:pt idx="65">
                  <c:v>695.7</c:v>
                </c:pt>
                <c:pt idx="66">
                  <c:v>685</c:v>
                </c:pt>
                <c:pt idx="67">
                  <c:v>670.3</c:v>
                </c:pt>
                <c:pt idx="68">
                  <c:v>677.3</c:v>
                </c:pt>
                <c:pt idx="69">
                  <c:v>671.7</c:v>
                </c:pt>
                <c:pt idx="70">
                  <c:v>678.1</c:v>
                </c:pt>
                <c:pt idx="71">
                  <c:v>668.5</c:v>
                </c:pt>
                <c:pt idx="72">
                  <c:v>664.3</c:v>
                </c:pt>
                <c:pt idx="73">
                  <c:v>666.1</c:v>
                </c:pt>
                <c:pt idx="74">
                  <c:v>664.3</c:v>
                </c:pt>
                <c:pt idx="75">
                  <c:v>674.9</c:v>
                </c:pt>
                <c:pt idx="76">
                  <c:v>681.2</c:v>
                </c:pt>
                <c:pt idx="77">
                  <c:v>674.9</c:v>
                </c:pt>
                <c:pt idx="78">
                  <c:v>679.8</c:v>
                </c:pt>
                <c:pt idx="79">
                  <c:v>675.5</c:v>
                </c:pt>
                <c:pt idx="80">
                  <c:v>660.5</c:v>
                </c:pt>
                <c:pt idx="81">
                  <c:v>656.5</c:v>
                </c:pt>
                <c:pt idx="82">
                  <c:v>656.5</c:v>
                </c:pt>
                <c:pt idx="83">
                  <c:v>640.5</c:v>
                </c:pt>
                <c:pt idx="84">
                  <c:v>657.5</c:v>
                </c:pt>
                <c:pt idx="85">
                  <c:v>654.29999999999995</c:v>
                </c:pt>
                <c:pt idx="86">
                  <c:v>664</c:v>
                </c:pt>
                <c:pt idx="87">
                  <c:v>677.3</c:v>
                </c:pt>
                <c:pt idx="88">
                  <c:v>672.7</c:v>
                </c:pt>
                <c:pt idx="89">
                  <c:v>687.2</c:v>
                </c:pt>
                <c:pt idx="90">
                  <c:v>711</c:v>
                </c:pt>
                <c:pt idx="91">
                  <c:v>710</c:v>
                </c:pt>
                <c:pt idx="92">
                  <c:v>717.7</c:v>
                </c:pt>
                <c:pt idx="93">
                  <c:v>713.5</c:v>
                </c:pt>
                <c:pt idx="94">
                  <c:v>714.3</c:v>
                </c:pt>
                <c:pt idx="95">
                  <c:v>722.6</c:v>
                </c:pt>
                <c:pt idx="96">
                  <c:v>725.4</c:v>
                </c:pt>
                <c:pt idx="97">
                  <c:v>721</c:v>
                </c:pt>
                <c:pt idx="98">
                  <c:v>714.6</c:v>
                </c:pt>
                <c:pt idx="99">
                  <c:v>713.7</c:v>
                </c:pt>
                <c:pt idx="100">
                  <c:v>699.7</c:v>
                </c:pt>
                <c:pt idx="101">
                  <c:v>718.5</c:v>
                </c:pt>
                <c:pt idx="102">
                  <c:v>722</c:v>
                </c:pt>
                <c:pt idx="103">
                  <c:v>730</c:v>
                </c:pt>
                <c:pt idx="104">
                  <c:v>722.1</c:v>
                </c:pt>
                <c:pt idx="105">
                  <c:v>725.8</c:v>
                </c:pt>
                <c:pt idx="106">
                  <c:v>733.8</c:v>
                </c:pt>
                <c:pt idx="107">
                  <c:v>734.9</c:v>
                </c:pt>
                <c:pt idx="108">
                  <c:v>734.8</c:v>
                </c:pt>
                <c:pt idx="109">
                  <c:v>737.2</c:v>
                </c:pt>
                <c:pt idx="110">
                  <c:v>729.7</c:v>
                </c:pt>
                <c:pt idx="111">
                  <c:v>745.4</c:v>
                </c:pt>
                <c:pt idx="112">
                  <c:v>741.7</c:v>
                </c:pt>
                <c:pt idx="113">
                  <c:v>713</c:v>
                </c:pt>
                <c:pt idx="114">
                  <c:v>720.9</c:v>
                </c:pt>
                <c:pt idx="115">
                  <c:v>720.3</c:v>
                </c:pt>
                <c:pt idx="116">
                  <c:v>725.6</c:v>
                </c:pt>
                <c:pt idx="117">
                  <c:v>729.2</c:v>
                </c:pt>
                <c:pt idx="118">
                  <c:v>728.5</c:v>
                </c:pt>
                <c:pt idx="119">
                  <c:v>720.7</c:v>
                </c:pt>
                <c:pt idx="120">
                  <c:v>731</c:v>
                </c:pt>
                <c:pt idx="121">
                  <c:v>699.9</c:v>
                </c:pt>
                <c:pt idx="122">
                  <c:v>714.1</c:v>
                </c:pt>
                <c:pt idx="123">
                  <c:v>715.2</c:v>
                </c:pt>
                <c:pt idx="124">
                  <c:v>714.5</c:v>
                </c:pt>
                <c:pt idx="125">
                  <c:v>729.6</c:v>
                </c:pt>
                <c:pt idx="126">
                  <c:v>721.2</c:v>
                </c:pt>
                <c:pt idx="127">
                  <c:v>705.5</c:v>
                </c:pt>
                <c:pt idx="128">
                  <c:v>698.4</c:v>
                </c:pt>
                <c:pt idx="129">
                  <c:v>691.7</c:v>
                </c:pt>
                <c:pt idx="130">
                  <c:v>693</c:v>
                </c:pt>
                <c:pt idx="131">
                  <c:v>683.6</c:v>
                </c:pt>
                <c:pt idx="132">
                  <c:v>672.1</c:v>
                </c:pt>
                <c:pt idx="133">
                  <c:v>683.4</c:v>
                </c:pt>
                <c:pt idx="134">
                  <c:v>697.6</c:v>
                </c:pt>
                <c:pt idx="135">
                  <c:v>685.5</c:v>
                </c:pt>
                <c:pt idx="136">
                  <c:v>694.7</c:v>
                </c:pt>
                <c:pt idx="137">
                  <c:v>696.3</c:v>
                </c:pt>
                <c:pt idx="138">
                  <c:v>692.6</c:v>
                </c:pt>
                <c:pt idx="139">
                  <c:v>699</c:v>
                </c:pt>
                <c:pt idx="140">
                  <c:v>702.8</c:v>
                </c:pt>
                <c:pt idx="141">
                  <c:v>696.4</c:v>
                </c:pt>
                <c:pt idx="142">
                  <c:v>697.2</c:v>
                </c:pt>
                <c:pt idx="143">
                  <c:v>708.2</c:v>
                </c:pt>
                <c:pt idx="144">
                  <c:v>700.5</c:v>
                </c:pt>
                <c:pt idx="145">
                  <c:v>706.1</c:v>
                </c:pt>
                <c:pt idx="146">
                  <c:v>703.2</c:v>
                </c:pt>
                <c:pt idx="147">
                  <c:v>709.6</c:v>
                </c:pt>
                <c:pt idx="148">
                  <c:v>713.9</c:v>
                </c:pt>
                <c:pt idx="149">
                  <c:v>721</c:v>
                </c:pt>
                <c:pt idx="150">
                  <c:v>750.8</c:v>
                </c:pt>
                <c:pt idx="151">
                  <c:v>771.6</c:v>
                </c:pt>
                <c:pt idx="152">
                  <c:v>795.1</c:v>
                </c:pt>
                <c:pt idx="153">
                  <c:v>794.4</c:v>
                </c:pt>
                <c:pt idx="154">
                  <c:v>790.9</c:v>
                </c:pt>
                <c:pt idx="155">
                  <c:v>811.6</c:v>
                </c:pt>
                <c:pt idx="156">
                  <c:v>802.7</c:v>
                </c:pt>
                <c:pt idx="157">
                  <c:v>793.7</c:v>
                </c:pt>
                <c:pt idx="158">
                  <c:v>792.4</c:v>
                </c:pt>
              </c:numCache>
            </c:numRef>
          </c:val>
        </c:ser>
        <c:marker val="1"/>
        <c:axId val="216593152"/>
        <c:axId val="216594688"/>
      </c:lineChart>
      <c:dateAx>
        <c:axId val="216593152"/>
        <c:scaling>
          <c:orientation val="minMax"/>
        </c:scaling>
        <c:axPos val="b"/>
        <c:numFmt formatCode="yyyy/mm/dd" sourceLinked="1"/>
        <c:tickLblPos val="nextTo"/>
        <c:crossAx val="216594688"/>
        <c:crosses val="autoZero"/>
        <c:auto val="1"/>
        <c:lblOffset val="100"/>
      </c:dateAx>
      <c:valAx>
        <c:axId val="216594688"/>
        <c:scaling>
          <c:orientation val="minMax"/>
        </c:scaling>
        <c:axPos val="l"/>
        <c:majorGridlines/>
        <c:numFmt formatCode="General" sourceLinked="1"/>
        <c:tickLblPos val="nextTo"/>
        <c:crossAx val="2165931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8753542063166251"/>
          <c:y val="0.11317621755613894"/>
          <c:w val="0.25559254145364535"/>
          <c:h val="8.4896306975712668E-2"/>
        </c:manualLayout>
      </c:layout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7868241892809341E-2"/>
          <c:y val="8.1284535694720383E-2"/>
          <c:w val="0.90558616623760735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  <c:pt idx="0">
                  <c:v>0.30584154801022201</c:v>
                </c:pt>
                <c:pt idx="1">
                  <c:v>0.30059018812246402</c:v>
                </c:pt>
                <c:pt idx="2">
                  <c:v>0.30260933480338098</c:v>
                </c:pt>
                <c:pt idx="3">
                  <c:v>0.301308139534883</c:v>
                </c:pt>
                <c:pt idx="4">
                  <c:v>0.30207197382769901</c:v>
                </c:pt>
                <c:pt idx="5">
                  <c:v>0.302826725403817</c:v>
                </c:pt>
                <c:pt idx="6">
                  <c:v>0.302600732600732</c:v>
                </c:pt>
                <c:pt idx="7">
                  <c:v>0.30051736881005098</c:v>
                </c:pt>
                <c:pt idx="8">
                  <c:v>0.30361266294227102</c:v>
                </c:pt>
                <c:pt idx="9">
                  <c:v>0.30227106227106199</c:v>
                </c:pt>
                <c:pt idx="10">
                  <c:v>0.29767955801104901</c:v>
                </c:pt>
                <c:pt idx="11">
                  <c:v>0.29761642830949703</c:v>
                </c:pt>
                <c:pt idx="12">
                  <c:v>0.29540313754104303</c:v>
                </c:pt>
                <c:pt idx="13">
                  <c:v>0.29533944954128399</c:v>
                </c:pt>
                <c:pt idx="14">
                  <c:v>0.29195068890500298</c:v>
                </c:pt>
                <c:pt idx="15">
                  <c:v>0.29351749539594801</c:v>
                </c:pt>
                <c:pt idx="16">
                  <c:v>0.29456963428149202</c:v>
                </c:pt>
                <c:pt idx="17">
                  <c:v>0.29465478841870801</c:v>
                </c:pt>
                <c:pt idx="18">
                  <c:v>0.29326047358834201</c:v>
                </c:pt>
                <c:pt idx="19">
                  <c:v>0.29551585854903301</c:v>
                </c:pt>
                <c:pt idx="20">
                  <c:v>0.29448075526506901</c:v>
                </c:pt>
                <c:pt idx="21">
                  <c:v>0.29345656192236502</c:v>
                </c:pt>
                <c:pt idx="22">
                  <c:v>0.29325801749271102</c:v>
                </c:pt>
                <c:pt idx="23">
                  <c:v>0.29518813314037601</c:v>
                </c:pt>
                <c:pt idx="24">
                  <c:v>0.295816513761467</c:v>
                </c:pt>
                <c:pt idx="25">
                  <c:v>0.29571322985957099</c:v>
                </c:pt>
                <c:pt idx="26">
                  <c:v>0.29585843373493897</c:v>
                </c:pt>
                <c:pt idx="27">
                  <c:v>0.28927386656837401</c:v>
                </c:pt>
                <c:pt idx="28">
                  <c:v>0.28473508706928402</c:v>
                </c:pt>
                <c:pt idx="29">
                  <c:v>0.28836765827612498</c:v>
                </c:pt>
                <c:pt idx="30">
                  <c:v>0.28876319758672597</c:v>
                </c:pt>
                <c:pt idx="31">
                  <c:v>0.291631799163179</c:v>
                </c:pt>
                <c:pt idx="32">
                  <c:v>0.29002664636467401</c:v>
                </c:pt>
                <c:pt idx="33">
                  <c:v>0.29048169556839998</c:v>
                </c:pt>
                <c:pt idx="34">
                  <c:v>0.29032382420971398</c:v>
                </c:pt>
                <c:pt idx="35">
                  <c:v>0.29020439645198598</c:v>
                </c:pt>
                <c:pt idx="36">
                  <c:v>0.29299412915851197</c:v>
                </c:pt>
                <c:pt idx="37">
                  <c:v>0.288150738150738</c:v>
                </c:pt>
                <c:pt idx="38">
                  <c:v>0.285708722741433</c:v>
                </c:pt>
                <c:pt idx="39">
                  <c:v>0.28433734939758998</c:v>
                </c:pt>
                <c:pt idx="40">
                  <c:v>0.28416988416988398</c:v>
                </c:pt>
                <c:pt idx="41">
                  <c:v>0.29110417479516099</c:v>
                </c:pt>
                <c:pt idx="42">
                  <c:v>0.29333067092651699</c:v>
                </c:pt>
                <c:pt idx="43">
                  <c:v>0.28872785829307501</c:v>
                </c:pt>
                <c:pt idx="44">
                  <c:v>0.28642770841723703</c:v>
                </c:pt>
                <c:pt idx="45">
                  <c:v>0.293661113368549</c:v>
                </c:pt>
                <c:pt idx="46">
                  <c:v>0.28702479338842901</c:v>
                </c:pt>
                <c:pt idx="47">
                  <c:v>0.28646306231943802</c:v>
                </c:pt>
                <c:pt idx="48">
                  <c:v>0.28956953642384098</c:v>
                </c:pt>
                <c:pt idx="49">
                  <c:v>0.28542250700840999</c:v>
                </c:pt>
                <c:pt idx="50">
                  <c:v>0.29218749999999999</c:v>
                </c:pt>
                <c:pt idx="51">
                  <c:v>0.29174796747967402</c:v>
                </c:pt>
                <c:pt idx="52">
                  <c:v>0.29115999999999997</c:v>
                </c:pt>
                <c:pt idx="53">
                  <c:v>0.29162808641975302</c:v>
                </c:pt>
                <c:pt idx="54">
                  <c:v>0.29688485804416398</c:v>
                </c:pt>
                <c:pt idx="55">
                  <c:v>0.30115999999999998</c:v>
                </c:pt>
                <c:pt idx="56">
                  <c:v>0.29980119284294199</c:v>
                </c:pt>
                <c:pt idx="57">
                  <c:v>0.29375975039001501</c:v>
                </c:pt>
                <c:pt idx="58">
                  <c:v>0.30248796147672502</c:v>
                </c:pt>
                <c:pt idx="59">
                  <c:v>0.30316330565440802</c:v>
                </c:pt>
                <c:pt idx="60">
                  <c:v>0.29726081778483499</c:v>
                </c:pt>
                <c:pt idx="61">
                  <c:v>0.29971932638331999</c:v>
                </c:pt>
                <c:pt idx="62">
                  <c:v>0.30016214025131699</c:v>
                </c:pt>
                <c:pt idx="63">
                  <c:v>0.29938093272802302</c:v>
                </c:pt>
                <c:pt idx="64">
                  <c:v>0.28887973640856601</c:v>
                </c:pt>
                <c:pt idx="65">
                  <c:v>0.28903199002908098</c:v>
                </c:pt>
                <c:pt idx="66">
                  <c:v>0.28376139188069499</c:v>
                </c:pt>
                <c:pt idx="67">
                  <c:v>0.28792955326460401</c:v>
                </c:pt>
                <c:pt idx="68">
                  <c:v>0.28858116744780499</c:v>
                </c:pt>
                <c:pt idx="69">
                  <c:v>0.28815958815958798</c:v>
                </c:pt>
                <c:pt idx="70">
                  <c:v>0.28635979729729699</c:v>
                </c:pt>
                <c:pt idx="71">
                  <c:v>0.28715635738831602</c:v>
                </c:pt>
                <c:pt idx="72">
                  <c:v>0.28670694864048302</c:v>
                </c:pt>
                <c:pt idx="73">
                  <c:v>0.28380911802300801</c:v>
                </c:pt>
                <c:pt idx="74">
                  <c:v>0.28413173652694601</c:v>
                </c:pt>
                <c:pt idx="75">
                  <c:v>0.281913116123642</c:v>
                </c:pt>
                <c:pt idx="76">
                  <c:v>0.28621848739495798</c:v>
                </c:pt>
                <c:pt idx="77">
                  <c:v>0.28392932267564103</c:v>
                </c:pt>
                <c:pt idx="78">
                  <c:v>0.27998352553542</c:v>
                </c:pt>
                <c:pt idx="79">
                  <c:v>0.28134110787172001</c:v>
                </c:pt>
                <c:pt idx="80">
                  <c:v>0.27963590177815401</c:v>
                </c:pt>
                <c:pt idx="81">
                  <c:v>0.28103595890410898</c:v>
                </c:pt>
                <c:pt idx="82">
                  <c:v>0.27712114816378203</c:v>
                </c:pt>
                <c:pt idx="83">
                  <c:v>0.27643504531722002</c:v>
                </c:pt>
                <c:pt idx="84">
                  <c:v>0.27836579170194697</c:v>
                </c:pt>
                <c:pt idx="85">
                  <c:v>0.27724576271186402</c:v>
                </c:pt>
                <c:pt idx="86">
                  <c:v>0.28219294517637</c:v>
                </c:pt>
                <c:pt idx="87">
                  <c:v>0.29168819982773397</c:v>
                </c:pt>
                <c:pt idx="88">
                  <c:v>0.28288477712363302</c:v>
                </c:pt>
                <c:pt idx="89">
                  <c:v>0.281754817548175</c:v>
                </c:pt>
                <c:pt idx="90">
                  <c:v>0.28091663374160403</c:v>
                </c:pt>
                <c:pt idx="91">
                  <c:v>0.27766914352757099</c:v>
                </c:pt>
                <c:pt idx="92">
                  <c:v>0.27498084291187702</c:v>
                </c:pt>
                <c:pt idx="93">
                  <c:v>0.27719502719502698</c:v>
                </c:pt>
                <c:pt idx="94">
                  <c:v>0.27611132586006898</c:v>
                </c:pt>
                <c:pt idx="95">
                  <c:v>0.27921174652241099</c:v>
                </c:pt>
                <c:pt idx="96">
                  <c:v>0.28247663551401803</c:v>
                </c:pt>
                <c:pt idx="97">
                  <c:v>0.28043562816024797</c:v>
                </c:pt>
                <c:pt idx="98">
                  <c:v>0.28144938952343401</c:v>
                </c:pt>
                <c:pt idx="99">
                  <c:v>0.27770428015564202</c:v>
                </c:pt>
                <c:pt idx="100">
                  <c:v>0.28044088176352699</c:v>
                </c:pt>
                <c:pt idx="101">
                  <c:v>0.276027660391855</c:v>
                </c:pt>
                <c:pt idx="102">
                  <c:v>0.27737226277372201</c:v>
                </c:pt>
                <c:pt idx="103">
                  <c:v>0.28120184899845901</c:v>
                </c:pt>
                <c:pt idx="104">
                  <c:v>0.279992245056223</c:v>
                </c:pt>
                <c:pt idx="105">
                  <c:v>0.28507462686567098</c:v>
                </c:pt>
                <c:pt idx="106">
                  <c:v>0.28697692608525599</c:v>
                </c:pt>
                <c:pt idx="107">
                  <c:v>0.28429400386847098</c:v>
                </c:pt>
                <c:pt idx="108">
                  <c:v>0.28077951853267002</c:v>
                </c:pt>
                <c:pt idx="109">
                  <c:v>0.28126669210225103</c:v>
                </c:pt>
                <c:pt idx="110">
                  <c:v>0.28271987601704701</c:v>
                </c:pt>
                <c:pt idx="111">
                  <c:v>0.28735543562066301</c:v>
                </c:pt>
                <c:pt idx="112">
                  <c:v>0.28950039032006197</c:v>
                </c:pt>
                <c:pt idx="113">
                  <c:v>0.288430420711974</c:v>
                </c:pt>
                <c:pt idx="114">
                  <c:v>0.28789936102236402</c:v>
                </c:pt>
                <c:pt idx="115">
                  <c:v>0.29173754556500597</c:v>
                </c:pt>
                <c:pt idx="116">
                  <c:v>0.28896853843090398</c:v>
                </c:pt>
                <c:pt idx="117">
                  <c:v>0.28947995236204799</c:v>
                </c:pt>
                <c:pt idx="118">
                  <c:v>0.28931691818903799</c:v>
                </c:pt>
                <c:pt idx="119">
                  <c:v>0.28251666013328097</c:v>
                </c:pt>
                <c:pt idx="120">
                  <c:v>0.28499025341130602</c:v>
                </c:pt>
                <c:pt idx="121">
                  <c:v>0.27773809523809501</c:v>
                </c:pt>
                <c:pt idx="122">
                  <c:v>0.27992943943551502</c:v>
                </c:pt>
                <c:pt idx="123">
                  <c:v>0.27753201396973198</c:v>
                </c:pt>
                <c:pt idx="124">
                  <c:v>0.27910156250000001</c:v>
                </c:pt>
                <c:pt idx="125">
                  <c:v>0.28072335513659102</c:v>
                </c:pt>
                <c:pt idx="126">
                  <c:v>0.27824074074074001</c:v>
                </c:pt>
                <c:pt idx="127">
                  <c:v>0.27155504234026101</c:v>
                </c:pt>
                <c:pt idx="128">
                  <c:v>0.27780429594271999</c:v>
                </c:pt>
                <c:pt idx="129">
                  <c:v>0.27612774451097799</c:v>
                </c:pt>
                <c:pt idx="130">
                  <c:v>0.27478191911181599</c:v>
                </c:pt>
                <c:pt idx="131">
                  <c:v>0.28039376538145999</c:v>
                </c:pt>
                <c:pt idx="132">
                  <c:v>0.27365635179152997</c:v>
                </c:pt>
                <c:pt idx="133">
                  <c:v>0.27701661937576</c:v>
                </c:pt>
                <c:pt idx="134">
                  <c:v>0.27837190742218598</c:v>
                </c:pt>
                <c:pt idx="135">
                  <c:v>0.27354349561053398</c:v>
                </c:pt>
                <c:pt idx="136">
                  <c:v>0.27644249900517298</c:v>
                </c:pt>
                <c:pt idx="137">
                  <c:v>0.27510865270644003</c:v>
                </c:pt>
                <c:pt idx="138">
                  <c:v>0.27659744408945602</c:v>
                </c:pt>
                <c:pt idx="139">
                  <c:v>0.28027265437048898</c:v>
                </c:pt>
                <c:pt idx="140">
                  <c:v>0.27944333996023801</c:v>
                </c:pt>
                <c:pt idx="141">
                  <c:v>0.272670321064996</c:v>
                </c:pt>
                <c:pt idx="142">
                  <c:v>0.26856702619414402</c:v>
                </c:pt>
                <c:pt idx="143">
                  <c:v>0.27524290711232002</c:v>
                </c:pt>
                <c:pt idx="144">
                  <c:v>0.27535377358490498</c:v>
                </c:pt>
                <c:pt idx="145">
                  <c:v>0.279090909090909</c:v>
                </c:pt>
                <c:pt idx="146">
                  <c:v>0.27706855791962098</c:v>
                </c:pt>
                <c:pt idx="147">
                  <c:v>0.28147560491868301</c:v>
                </c:pt>
                <c:pt idx="148">
                  <c:v>0.29366515837104001</c:v>
                </c:pt>
                <c:pt idx="149">
                  <c:v>0.29573420836751402</c:v>
                </c:pt>
                <c:pt idx="150">
                  <c:v>0.29841017488076299</c:v>
                </c:pt>
                <c:pt idx="151">
                  <c:v>0.29918573090345002</c:v>
                </c:pt>
                <c:pt idx="152">
                  <c:v>0.30382116927779901</c:v>
                </c:pt>
                <c:pt idx="153">
                  <c:v>0.29553571428571401</c:v>
                </c:pt>
                <c:pt idx="154">
                  <c:v>0.29890400604686301</c:v>
                </c:pt>
                <c:pt idx="155">
                  <c:v>0.30148588410103999</c:v>
                </c:pt>
                <c:pt idx="156">
                  <c:v>0.305093120486507</c:v>
                </c:pt>
                <c:pt idx="157">
                  <c:v>0.302361904761904</c:v>
                </c:pt>
                <c:pt idx="158">
                  <c:v>0.30094948727686999</c:v>
                </c:pt>
                <c:pt idx="159">
                  <c:v>0.297994056463595</c:v>
                </c:pt>
                <c:pt idx="160">
                  <c:v>0.29425500370644903</c:v>
                </c:pt>
                <c:pt idx="161">
                  <c:v>0.29409824046920802</c:v>
                </c:pt>
                <c:pt idx="162">
                  <c:v>0.29668174962292598</c:v>
                </c:pt>
                <c:pt idx="163">
                  <c:v>0.29479638009049702</c:v>
                </c:pt>
                <c:pt idx="164">
                  <c:v>0.29781049452623598</c:v>
                </c:pt>
                <c:pt idx="165">
                  <c:v>0.29817232375979102</c:v>
                </c:pt>
                <c:pt idx="166">
                  <c:v>0.299442793462109</c:v>
                </c:pt>
                <c:pt idx="167">
                  <c:v>0.296671597633136</c:v>
                </c:pt>
                <c:pt idx="168">
                  <c:v>0.29443413729127998</c:v>
                </c:pt>
                <c:pt idx="169">
                  <c:v>0.28953530918404602</c:v>
                </c:pt>
                <c:pt idx="170">
                  <c:v>0.28964497041420101</c:v>
                </c:pt>
                <c:pt idx="171">
                  <c:v>0.28757267441860401</c:v>
                </c:pt>
                <c:pt idx="172">
                  <c:v>0.292096219931271</c:v>
                </c:pt>
                <c:pt idx="173">
                  <c:v>0.29000378644452801</c:v>
                </c:pt>
                <c:pt idx="174">
                  <c:v>0.28810751104565502</c:v>
                </c:pt>
                <c:pt idx="175">
                  <c:v>0.29230210602759599</c:v>
                </c:pt>
                <c:pt idx="176">
                  <c:v>0.29965661961083501</c:v>
                </c:pt>
                <c:pt idx="177">
                  <c:v>0.29992556754744998</c:v>
                </c:pt>
                <c:pt idx="178">
                  <c:v>0.292617201919527</c:v>
                </c:pt>
                <c:pt idx="179">
                  <c:v>0.29283849309958898</c:v>
                </c:pt>
                <c:pt idx="180">
                  <c:v>0.28916512059369198</c:v>
                </c:pt>
                <c:pt idx="181">
                  <c:v>0.29024208566108001</c:v>
                </c:pt>
                <c:pt idx="182">
                  <c:v>0.29310086239220101</c:v>
                </c:pt>
                <c:pt idx="183">
                  <c:v>0.28917410714285702</c:v>
                </c:pt>
                <c:pt idx="184">
                  <c:v>0.28833271991166698</c:v>
                </c:pt>
                <c:pt idx="185">
                  <c:v>0.28598962194217897</c:v>
                </c:pt>
                <c:pt idx="186">
                  <c:v>0.28401335311572701</c:v>
                </c:pt>
                <c:pt idx="187">
                  <c:v>0.28666666666666601</c:v>
                </c:pt>
                <c:pt idx="188">
                  <c:v>0.29102658788774</c:v>
                </c:pt>
                <c:pt idx="189">
                  <c:v>0.291262848751835</c:v>
                </c:pt>
                <c:pt idx="190">
                  <c:v>0.28857142857142798</c:v>
                </c:pt>
                <c:pt idx="191">
                  <c:v>0.28721560130010798</c:v>
                </c:pt>
                <c:pt idx="192">
                  <c:v>0.28230905861456401</c:v>
                </c:pt>
                <c:pt idx="193">
                  <c:v>0.28797127468581601</c:v>
                </c:pt>
                <c:pt idx="194">
                  <c:v>0.28818247126436702</c:v>
                </c:pt>
                <c:pt idx="195">
                  <c:v>0.28457183297947602</c:v>
                </c:pt>
                <c:pt idx="196">
                  <c:v>0.284255019373018</c:v>
                </c:pt>
                <c:pt idx="197">
                  <c:v>0.28296475466482301</c:v>
                </c:pt>
                <c:pt idx="198">
                  <c:v>0.28583362339018398</c:v>
                </c:pt>
                <c:pt idx="199">
                  <c:v>0.283035401331931</c:v>
                </c:pt>
                <c:pt idx="200">
                  <c:v>0.28294138294138199</c:v>
                </c:pt>
                <c:pt idx="201">
                  <c:v>0.28443481401227799</c:v>
                </c:pt>
                <c:pt idx="202">
                  <c:v>0.286836363636363</c:v>
                </c:pt>
                <c:pt idx="203">
                  <c:v>0.28779599271402501</c:v>
                </c:pt>
                <c:pt idx="204">
                  <c:v>0.284788937409024</c:v>
                </c:pt>
                <c:pt idx="205">
                  <c:v>0.28348691485440403</c:v>
                </c:pt>
                <c:pt idx="206">
                  <c:v>0.30644567219152802</c:v>
                </c:pt>
                <c:pt idx="207">
                  <c:v>0.309886488465763</c:v>
                </c:pt>
                <c:pt idx="208">
                  <c:v>0.309591539022611</c:v>
                </c:pt>
                <c:pt idx="209">
                  <c:v>0.30469822912902</c:v>
                </c:pt>
                <c:pt idx="210">
                  <c:v>0.303208166241341</c:v>
                </c:pt>
                <c:pt idx="211">
                  <c:v>0.30920379839298701</c:v>
                </c:pt>
                <c:pt idx="212">
                  <c:v>0.309117647058823</c:v>
                </c:pt>
                <c:pt idx="213">
                  <c:v>0.301392451447416</c:v>
                </c:pt>
                <c:pt idx="214">
                  <c:v>0.30280857354028001</c:v>
                </c:pt>
                <c:pt idx="215">
                  <c:v>0.30361445783132501</c:v>
                </c:pt>
                <c:pt idx="216">
                  <c:v>0.30065502183406101</c:v>
                </c:pt>
                <c:pt idx="217">
                  <c:v>0.29798755945847</c:v>
                </c:pt>
                <c:pt idx="218">
                  <c:v>0.29458483754512599</c:v>
                </c:pt>
                <c:pt idx="219">
                  <c:v>0.29913513513513501</c:v>
                </c:pt>
                <c:pt idx="220">
                  <c:v>0.29886861313868601</c:v>
                </c:pt>
                <c:pt idx="221">
                  <c:v>0.29645756457564498</c:v>
                </c:pt>
                <c:pt idx="222">
                  <c:v>0.29417007055328598</c:v>
                </c:pt>
                <c:pt idx="223">
                  <c:v>0.29535055350553502</c:v>
                </c:pt>
                <c:pt idx="224">
                  <c:v>0.29210429673154598</c:v>
                </c:pt>
                <c:pt idx="225">
                  <c:v>0.29113785557986799</c:v>
                </c:pt>
                <c:pt idx="226">
                  <c:v>0.29514705882352898</c:v>
                </c:pt>
                <c:pt idx="227">
                  <c:v>0.296556886227544</c:v>
                </c:pt>
                <c:pt idx="228">
                  <c:v>0.29628935532233802</c:v>
                </c:pt>
                <c:pt idx="229">
                  <c:v>0.28955960516324902</c:v>
                </c:pt>
                <c:pt idx="230">
                  <c:v>0.29402360106585401</c:v>
                </c:pt>
                <c:pt idx="231">
                  <c:v>0.29704073789392699</c:v>
                </c:pt>
                <c:pt idx="232">
                  <c:v>0.29433808553971402</c:v>
                </c:pt>
                <c:pt idx="233">
                  <c:v>0.29530730897009899</c:v>
                </c:pt>
                <c:pt idx="234">
                  <c:v>0.303211736716891</c:v>
                </c:pt>
                <c:pt idx="235">
                  <c:v>0.29942418426103601</c:v>
                </c:pt>
                <c:pt idx="236">
                  <c:v>0.29869060980172002</c:v>
                </c:pt>
                <c:pt idx="237">
                  <c:v>0.30278706800445898</c:v>
                </c:pt>
                <c:pt idx="238">
                  <c:v>0.30094752186588902</c:v>
                </c:pt>
                <c:pt idx="239">
                  <c:v>0.303362573099415</c:v>
                </c:pt>
                <c:pt idx="240">
                  <c:v>0.30057824358510998</c:v>
                </c:pt>
                <c:pt idx="241">
                  <c:v>0.29875776397515502</c:v>
                </c:pt>
                <c:pt idx="242">
                  <c:v>0.29196296296296198</c:v>
                </c:pt>
                <c:pt idx="243">
                  <c:v>0.29524680073126103</c:v>
                </c:pt>
                <c:pt idx="244">
                  <c:v>0.29841612670986301</c:v>
                </c:pt>
                <c:pt idx="245">
                  <c:v>0.30010917030567602</c:v>
                </c:pt>
                <c:pt idx="246">
                  <c:v>0.29860962566844901</c:v>
                </c:pt>
                <c:pt idx="247">
                  <c:v>0.29756956674885499</c:v>
                </c:pt>
                <c:pt idx="248">
                  <c:v>0.29986249570299001</c:v>
                </c:pt>
                <c:pt idx="249">
                  <c:v>0.29153766769865802</c:v>
                </c:pt>
                <c:pt idx="250">
                  <c:v>0.29375862068965503</c:v>
                </c:pt>
                <c:pt idx="251">
                  <c:v>0.29056280027453601</c:v>
                </c:pt>
                <c:pt idx="252">
                  <c:v>0.28972439605307898</c:v>
                </c:pt>
                <c:pt idx="253">
                  <c:v>0.293186510667584</c:v>
                </c:pt>
                <c:pt idx="254">
                  <c:v>0.29098668487538398</c:v>
                </c:pt>
                <c:pt idx="255">
                  <c:v>0.29061533172911602</c:v>
                </c:pt>
                <c:pt idx="256">
                  <c:v>0.29625085207907298</c:v>
                </c:pt>
                <c:pt idx="257">
                  <c:v>0.29323359401563998</c:v>
                </c:pt>
                <c:pt idx="258">
                  <c:v>0.29304940374786997</c:v>
                </c:pt>
                <c:pt idx="259">
                  <c:v>0.29429945054945</c:v>
                </c:pt>
                <c:pt idx="260">
                  <c:v>0.294342876854087</c:v>
                </c:pt>
                <c:pt idx="261">
                  <c:v>0.30113871635610701</c:v>
                </c:pt>
                <c:pt idx="262">
                  <c:v>0.30364317330609403</c:v>
                </c:pt>
                <c:pt idx="263">
                  <c:v>0.30194207836456499</c:v>
                </c:pt>
                <c:pt idx="264">
                  <c:v>0.30584615384615299</c:v>
                </c:pt>
                <c:pt idx="265">
                  <c:v>0.30230125523012502</c:v>
                </c:pt>
                <c:pt idx="266">
                  <c:v>0.314929577464788</c:v>
                </c:pt>
                <c:pt idx="267">
                  <c:v>0.304537398085785</c:v>
                </c:pt>
                <c:pt idx="268">
                  <c:v>0.325558312655086</c:v>
                </c:pt>
                <c:pt idx="269">
                  <c:v>0.32106571936056799</c:v>
                </c:pt>
                <c:pt idx="270">
                  <c:v>0.33564102564102499</c:v>
                </c:pt>
                <c:pt idx="271">
                  <c:v>0.33392135244395399</c:v>
                </c:pt>
                <c:pt idx="272">
                  <c:v>0.33040238450074499</c:v>
                </c:pt>
                <c:pt idx="273">
                  <c:v>0.33230769230769203</c:v>
                </c:pt>
                <c:pt idx="274">
                  <c:v>0.33191409193669902</c:v>
                </c:pt>
                <c:pt idx="275">
                  <c:v>0.33530275229357798</c:v>
                </c:pt>
                <c:pt idx="276">
                  <c:v>0.34115241635687699</c:v>
                </c:pt>
                <c:pt idx="277">
                  <c:v>0.34306859205776102</c:v>
                </c:pt>
                <c:pt idx="278">
                  <c:v>0.34680928208846901</c:v>
                </c:pt>
                <c:pt idx="279">
                  <c:v>0.34807623157137701</c:v>
                </c:pt>
                <c:pt idx="280">
                  <c:v>0.35516117348786602</c:v>
                </c:pt>
                <c:pt idx="281">
                  <c:v>0.365712160654518</c:v>
                </c:pt>
                <c:pt idx="282">
                  <c:v>0.35979955456570101</c:v>
                </c:pt>
                <c:pt idx="283">
                  <c:v>0.35380986937590703</c:v>
                </c:pt>
                <c:pt idx="284">
                  <c:v>0.35176596503745899</c:v>
                </c:pt>
                <c:pt idx="285">
                  <c:v>0.36149346180316499</c:v>
                </c:pt>
                <c:pt idx="286">
                  <c:v>0.367039888033589</c:v>
                </c:pt>
                <c:pt idx="287">
                  <c:v>0.35965517241379302</c:v>
                </c:pt>
                <c:pt idx="288">
                  <c:v>0.364231564438318</c:v>
                </c:pt>
                <c:pt idx="289">
                  <c:v>0.35830169140490098</c:v>
                </c:pt>
                <c:pt idx="290">
                  <c:v>0.360931655899353</c:v>
                </c:pt>
                <c:pt idx="291">
                  <c:v>0.35900514579759801</c:v>
                </c:pt>
                <c:pt idx="292">
                  <c:v>0.35302104548540297</c:v>
                </c:pt>
                <c:pt idx="293">
                  <c:v>0.338531187122736</c:v>
                </c:pt>
                <c:pt idx="294">
                  <c:v>0.334214876033057</c:v>
                </c:pt>
                <c:pt idx="295">
                  <c:v>0.337335526315789</c:v>
                </c:pt>
                <c:pt idx="296">
                  <c:v>0.343031123139377</c:v>
                </c:pt>
                <c:pt idx="297">
                  <c:v>0.33761872455902298</c:v>
                </c:pt>
                <c:pt idx="298">
                  <c:v>0.33526050420168002</c:v>
                </c:pt>
                <c:pt idx="299">
                  <c:v>0.33334470989761</c:v>
                </c:pt>
                <c:pt idx="300">
                  <c:v>0.33630931458699398</c:v>
                </c:pt>
                <c:pt idx="301">
                  <c:v>0.33417317246273898</c:v>
                </c:pt>
                <c:pt idx="302">
                  <c:v>0.33080534488985103</c:v>
                </c:pt>
                <c:pt idx="303">
                  <c:v>0.32803738317756997</c:v>
                </c:pt>
                <c:pt idx="304">
                  <c:v>0.33059810357403302</c:v>
                </c:pt>
                <c:pt idx="305">
                  <c:v>0.34163234743541698</c:v>
                </c:pt>
                <c:pt idx="306">
                  <c:v>0.33541202672605702</c:v>
                </c:pt>
                <c:pt idx="307">
                  <c:v>0.33123851525174502</c:v>
                </c:pt>
                <c:pt idx="308">
                  <c:v>0.33230152949745001</c:v>
                </c:pt>
                <c:pt idx="309">
                  <c:v>0.33106444605358398</c:v>
                </c:pt>
                <c:pt idx="310">
                  <c:v>0.323606673766418</c:v>
                </c:pt>
                <c:pt idx="311">
                  <c:v>0.32406094968107702</c:v>
                </c:pt>
                <c:pt idx="312">
                  <c:v>0.32963881019829999</c:v>
                </c:pt>
                <c:pt idx="313">
                  <c:v>0.33226848528356001</c:v>
                </c:pt>
                <c:pt idx="314">
                  <c:v>0.32864826102545702</c:v>
                </c:pt>
                <c:pt idx="315">
                  <c:v>0.33265306122448901</c:v>
                </c:pt>
                <c:pt idx="316">
                  <c:v>0.330929721815519</c:v>
                </c:pt>
                <c:pt idx="317">
                  <c:v>0.33578521515262899</c:v>
                </c:pt>
                <c:pt idx="318">
                  <c:v>0.32330909090908999</c:v>
                </c:pt>
                <c:pt idx="319">
                  <c:v>0.32309635510645901</c:v>
                </c:pt>
                <c:pt idx="320">
                  <c:v>0.32152212389380502</c:v>
                </c:pt>
                <c:pt idx="321">
                  <c:v>0.31808131241084098</c:v>
                </c:pt>
                <c:pt idx="322">
                  <c:v>0.31991540359534698</c:v>
                </c:pt>
                <c:pt idx="323">
                  <c:v>0.32160821820758001</c:v>
                </c:pt>
                <c:pt idx="324">
                  <c:v>0.32086044830079502</c:v>
                </c:pt>
                <c:pt idx="325">
                  <c:v>0.31908931698774001</c:v>
                </c:pt>
                <c:pt idx="326">
                  <c:v>0.31288782816229099</c:v>
                </c:pt>
                <c:pt idx="327">
                  <c:v>0.31563036757128099</c:v>
                </c:pt>
                <c:pt idx="328">
                  <c:v>0.31505711318795399</c:v>
                </c:pt>
                <c:pt idx="329">
                  <c:v>0.30947948983109203</c:v>
                </c:pt>
                <c:pt idx="330">
                  <c:v>0.30369623655913902</c:v>
                </c:pt>
                <c:pt idx="331">
                  <c:v>0.29919732441471503</c:v>
                </c:pt>
                <c:pt idx="332">
                  <c:v>0.29049504950494998</c:v>
                </c:pt>
                <c:pt idx="333">
                  <c:v>0.28125619834710702</c:v>
                </c:pt>
                <c:pt idx="334">
                  <c:v>0.28006462035541102</c:v>
                </c:pt>
                <c:pt idx="335">
                  <c:v>0.280873786407767</c:v>
                </c:pt>
                <c:pt idx="336">
                  <c:v>0.28730897009966699</c:v>
                </c:pt>
                <c:pt idx="337">
                  <c:v>0.29129395698190502</c:v>
                </c:pt>
                <c:pt idx="338">
                  <c:v>0.28801229508196702</c:v>
                </c:pt>
                <c:pt idx="339">
                  <c:v>0.28846416382252499</c:v>
                </c:pt>
                <c:pt idx="340">
                  <c:v>0.29236301369862999</c:v>
                </c:pt>
                <c:pt idx="341">
                  <c:v>0.29887063655030799</c:v>
                </c:pt>
                <c:pt idx="342">
                  <c:v>0.29948078920041499</c:v>
                </c:pt>
                <c:pt idx="343">
                  <c:v>0.29712305025996499</c:v>
                </c:pt>
                <c:pt idx="344">
                  <c:v>0.30031802120141299</c:v>
                </c:pt>
                <c:pt idx="345">
                  <c:v>0.30078740157480299</c:v>
                </c:pt>
                <c:pt idx="346">
                  <c:v>0.30211621233859398</c:v>
                </c:pt>
                <c:pt idx="347">
                  <c:v>0.30120781527530999</c:v>
                </c:pt>
                <c:pt idx="348">
                  <c:v>0.291655076495132</c:v>
                </c:pt>
                <c:pt idx="349">
                  <c:v>0.29254462723136099</c:v>
                </c:pt>
                <c:pt idx="350">
                  <c:v>0.290747961715703</c:v>
                </c:pt>
                <c:pt idx="351">
                  <c:v>0.29258608573436401</c:v>
                </c:pt>
                <c:pt idx="352">
                  <c:v>0.29057406094968102</c:v>
                </c:pt>
                <c:pt idx="353">
                  <c:v>0.29116197183098502</c:v>
                </c:pt>
                <c:pt idx="354">
                  <c:v>0.29051220350635898</c:v>
                </c:pt>
                <c:pt idx="355">
                  <c:v>0.28191345503718701</c:v>
                </c:pt>
                <c:pt idx="356">
                  <c:v>0.28030913978494598</c:v>
                </c:pt>
                <c:pt idx="357">
                  <c:v>0.279918864097363</c:v>
                </c:pt>
                <c:pt idx="358">
                  <c:v>0.28007442489851098</c:v>
                </c:pt>
                <c:pt idx="359">
                  <c:v>0.27120915032679699</c:v>
                </c:pt>
                <c:pt idx="360">
                  <c:v>0.278770764119601</c:v>
                </c:pt>
                <c:pt idx="361">
                  <c:v>0.27710526315789402</c:v>
                </c:pt>
                <c:pt idx="362">
                  <c:v>0.27993421052631501</c:v>
                </c:pt>
                <c:pt idx="363">
                  <c:v>0.27970873786407702</c:v>
                </c:pt>
                <c:pt idx="364">
                  <c:v>0.28444805194805101</c:v>
                </c:pt>
                <c:pt idx="365">
                  <c:v>0.28070853462157802</c:v>
                </c:pt>
                <c:pt idx="366">
                  <c:v>0.27863708399366</c:v>
                </c:pt>
                <c:pt idx="367">
                  <c:v>0.282866344605475</c:v>
                </c:pt>
                <c:pt idx="368">
                  <c:v>0.28677524429967399</c:v>
                </c:pt>
                <c:pt idx="369">
                  <c:v>0.29097199341021401</c:v>
                </c:pt>
                <c:pt idx="370">
                  <c:v>0.29432343234323399</c:v>
                </c:pt>
                <c:pt idx="371">
                  <c:v>0.290657894736842</c:v>
                </c:pt>
                <c:pt idx="372">
                  <c:v>0.28870279146141198</c:v>
                </c:pt>
                <c:pt idx="373">
                  <c:v>0.28934210526315701</c:v>
                </c:pt>
                <c:pt idx="374">
                  <c:v>0.28479201331114801</c:v>
                </c:pt>
                <c:pt idx="375">
                  <c:v>0.282329450915141</c:v>
                </c:pt>
                <c:pt idx="376">
                  <c:v>0.27784053156146099</c:v>
                </c:pt>
                <c:pt idx="377">
                  <c:v>0.27822950819672099</c:v>
                </c:pt>
                <c:pt idx="378">
                  <c:v>0.27605220228384902</c:v>
                </c:pt>
                <c:pt idx="379">
                  <c:v>0.27941080196399298</c:v>
                </c:pt>
                <c:pt idx="380">
                  <c:v>0.27967373572593801</c:v>
                </c:pt>
                <c:pt idx="381">
                  <c:v>0.28519607843137201</c:v>
                </c:pt>
                <c:pt idx="382">
                  <c:v>0.29281967213114701</c:v>
                </c:pt>
                <c:pt idx="383">
                  <c:v>0.28666666666666601</c:v>
                </c:pt>
                <c:pt idx="384">
                  <c:v>0.28660162601625999</c:v>
                </c:pt>
                <c:pt idx="385">
                  <c:v>0.287385620915032</c:v>
                </c:pt>
                <c:pt idx="386">
                  <c:v>0.28189542483660102</c:v>
                </c:pt>
                <c:pt idx="387">
                  <c:v>0.27951612903225798</c:v>
                </c:pt>
                <c:pt idx="388">
                  <c:v>0.27652866242038199</c:v>
                </c:pt>
                <c:pt idx="389">
                  <c:v>0.28502431118314397</c:v>
                </c:pt>
                <c:pt idx="390">
                  <c:v>0.28376432078559699</c:v>
                </c:pt>
                <c:pt idx="391">
                  <c:v>0.28775374376039897</c:v>
                </c:pt>
                <c:pt idx="392">
                  <c:v>0.28376237623762302</c:v>
                </c:pt>
                <c:pt idx="393">
                  <c:v>0.27801490514905097</c:v>
                </c:pt>
                <c:pt idx="394">
                  <c:v>0.28469212246302</c:v>
                </c:pt>
                <c:pt idx="395">
                  <c:v>0.28419965576591999</c:v>
                </c:pt>
                <c:pt idx="396">
                  <c:v>0.28235697156560402</c:v>
                </c:pt>
                <c:pt idx="397">
                  <c:v>0.28305785123966898</c:v>
                </c:pt>
                <c:pt idx="398">
                  <c:v>0.28255377261864101</c:v>
                </c:pt>
                <c:pt idx="399">
                  <c:v>0.28223593964334698</c:v>
                </c:pt>
                <c:pt idx="400">
                  <c:v>0.27913793103448198</c:v>
                </c:pt>
                <c:pt idx="401">
                  <c:v>0.27498284145504398</c:v>
                </c:pt>
                <c:pt idx="402">
                  <c:v>0.271384615384615</c:v>
                </c:pt>
                <c:pt idx="403">
                  <c:v>0.26832087015635597</c:v>
                </c:pt>
                <c:pt idx="404">
                  <c:v>0.26946169772256701</c:v>
                </c:pt>
                <c:pt idx="405">
                  <c:v>0.26816939890710301</c:v>
                </c:pt>
                <c:pt idx="406">
                  <c:v>0.27192679558011001</c:v>
                </c:pt>
                <c:pt idx="407">
                  <c:v>0.273733845616486</c:v>
                </c:pt>
                <c:pt idx="408">
                  <c:v>0.27311418685121103</c:v>
                </c:pt>
                <c:pt idx="409">
                  <c:v>0.271369294605809</c:v>
                </c:pt>
                <c:pt idx="410">
                  <c:v>0.26489655172413701</c:v>
                </c:pt>
                <c:pt idx="411">
                  <c:v>0.26417962003454198</c:v>
                </c:pt>
                <c:pt idx="412">
                  <c:v>0.26161512027491401</c:v>
                </c:pt>
                <c:pt idx="413">
                  <c:v>0.266584852734922</c:v>
                </c:pt>
                <c:pt idx="414">
                  <c:v>0.27217048710601699</c:v>
                </c:pt>
                <c:pt idx="415">
                  <c:v>0.27260127931769701</c:v>
                </c:pt>
                <c:pt idx="416">
                  <c:v>0.27594982078852998</c:v>
                </c:pt>
                <c:pt idx="417">
                  <c:v>0.27618876080691601</c:v>
                </c:pt>
                <c:pt idx="418">
                  <c:v>0.27614249730118701</c:v>
                </c:pt>
                <c:pt idx="419">
                  <c:v>0.276680972818311</c:v>
                </c:pt>
                <c:pt idx="420">
                  <c:v>0.27798369162342401</c:v>
                </c:pt>
                <c:pt idx="421">
                  <c:v>0.28107806691449799</c:v>
                </c:pt>
                <c:pt idx="422">
                  <c:v>0.27795889440113303</c:v>
                </c:pt>
                <c:pt idx="423">
                  <c:v>0.27625311055812302</c:v>
                </c:pt>
                <c:pt idx="424">
                  <c:v>0.27370858567866002</c:v>
                </c:pt>
                <c:pt idx="425">
                  <c:v>0.27601842012043898</c:v>
                </c:pt>
                <c:pt idx="426">
                  <c:v>0.27719049308265298</c:v>
                </c:pt>
                <c:pt idx="427">
                  <c:v>0.278271692745376</c:v>
                </c:pt>
                <c:pt idx="428">
                  <c:v>0.278855721393034</c:v>
                </c:pt>
                <c:pt idx="429">
                  <c:v>0.28221584797418398</c:v>
                </c:pt>
                <c:pt idx="430">
                  <c:v>0.27887836853605202</c:v>
                </c:pt>
                <c:pt idx="431">
                  <c:v>0.28158765159867699</c:v>
                </c:pt>
                <c:pt idx="432">
                  <c:v>0.28114035087719302</c:v>
                </c:pt>
                <c:pt idx="433">
                  <c:v>0.28347985347985299</c:v>
                </c:pt>
                <c:pt idx="434">
                  <c:v>0.28499999999999998</c:v>
                </c:pt>
                <c:pt idx="435">
                  <c:v>0.29723170269245303</c:v>
                </c:pt>
                <c:pt idx="436">
                  <c:v>0.29754829123328302</c:v>
                </c:pt>
                <c:pt idx="437">
                  <c:v>0.29818115678428497</c:v>
                </c:pt>
                <c:pt idx="438">
                  <c:v>0.30094134685010798</c:v>
                </c:pt>
                <c:pt idx="439">
                  <c:v>0.300871776244097</c:v>
                </c:pt>
                <c:pt idx="440">
                  <c:v>0.29900881057268702</c:v>
                </c:pt>
                <c:pt idx="441">
                  <c:v>0.29581636430951402</c:v>
                </c:pt>
                <c:pt idx="442">
                  <c:v>0.29466958744067101</c:v>
                </c:pt>
                <c:pt idx="443">
                  <c:v>0.30141316474525798</c:v>
                </c:pt>
                <c:pt idx="444">
                  <c:v>0.29959439528023601</c:v>
                </c:pt>
                <c:pt idx="445">
                  <c:v>0.29424812030075098</c:v>
                </c:pt>
                <c:pt idx="446">
                  <c:v>0.29044394281414598</c:v>
                </c:pt>
                <c:pt idx="447">
                  <c:v>0.29042232277526397</c:v>
                </c:pt>
                <c:pt idx="448">
                  <c:v>0.29179716629380997</c:v>
                </c:pt>
                <c:pt idx="449">
                  <c:v>0.28747268754552002</c:v>
                </c:pt>
                <c:pt idx="450">
                  <c:v>0.28570919458303601</c:v>
                </c:pt>
                <c:pt idx="451">
                  <c:v>0.27990021382751201</c:v>
                </c:pt>
                <c:pt idx="452">
                  <c:v>0.28892045454545401</c:v>
                </c:pt>
                <c:pt idx="453">
                  <c:v>0.27582380632145198</c:v>
                </c:pt>
                <c:pt idx="454">
                  <c:v>0.26522979397781299</c:v>
                </c:pt>
                <c:pt idx="455">
                  <c:v>0.27337704918032701</c:v>
                </c:pt>
                <c:pt idx="456">
                  <c:v>0.275395489734096</c:v>
                </c:pt>
                <c:pt idx="457">
                  <c:v>0.27779999999999999</c:v>
                </c:pt>
                <c:pt idx="458">
                  <c:v>0.280696517412935</c:v>
                </c:pt>
                <c:pt idx="459">
                  <c:v>0.27877483443708601</c:v>
                </c:pt>
                <c:pt idx="460">
                  <c:v>0.27753694581280702</c:v>
                </c:pt>
                <c:pt idx="461">
                  <c:v>0.27512987012987</c:v>
                </c:pt>
                <c:pt idx="462">
                  <c:v>0.27579804560260501</c:v>
                </c:pt>
                <c:pt idx="463">
                  <c:v>0.27918166939443501</c:v>
                </c:pt>
                <c:pt idx="464">
                  <c:v>0.28003252032520298</c:v>
                </c:pt>
                <c:pt idx="465">
                  <c:v>0.27551554828150498</c:v>
                </c:pt>
                <c:pt idx="466">
                  <c:v>0.27243941841680103</c:v>
                </c:pt>
                <c:pt idx="467">
                  <c:v>0.27351437699680498</c:v>
                </c:pt>
                <c:pt idx="468">
                  <c:v>0.27331220285261398</c:v>
                </c:pt>
                <c:pt idx="469">
                  <c:v>0.27345047923322602</c:v>
                </c:pt>
                <c:pt idx="470">
                  <c:v>0.26718750000000002</c:v>
                </c:pt>
                <c:pt idx="471">
                  <c:v>0.26504672897196202</c:v>
                </c:pt>
                <c:pt idx="472">
                  <c:v>0.26102643856920599</c:v>
                </c:pt>
                <c:pt idx="473">
                  <c:v>0.26024653312788898</c:v>
                </c:pt>
                <c:pt idx="474">
                  <c:v>0.25642526964560802</c:v>
                </c:pt>
                <c:pt idx="475">
                  <c:v>0.25703937007874</c:v>
                </c:pt>
                <c:pt idx="476">
                  <c:v>0.25675078864353301</c:v>
                </c:pt>
                <c:pt idx="477">
                  <c:v>0.25467289719626102</c:v>
                </c:pt>
                <c:pt idx="478">
                  <c:v>0.25078125000000001</c:v>
                </c:pt>
                <c:pt idx="479">
                  <c:v>0.25562893081761001</c:v>
                </c:pt>
                <c:pt idx="480">
                  <c:v>0.259108280254777</c:v>
                </c:pt>
                <c:pt idx="481">
                  <c:v>0.25497599999999998</c:v>
                </c:pt>
                <c:pt idx="482">
                  <c:v>0.255673076923076</c:v>
                </c:pt>
                <c:pt idx="483">
                  <c:v>0.25118971061093198</c:v>
                </c:pt>
                <c:pt idx="484">
                  <c:v>0.25153970826580202</c:v>
                </c:pt>
                <c:pt idx="485">
                  <c:v>0.249147540983606</c:v>
                </c:pt>
                <c:pt idx="486">
                  <c:v>0.25093596059113299</c:v>
                </c:pt>
                <c:pt idx="487">
                  <c:v>0.25052459016393402</c:v>
                </c:pt>
                <c:pt idx="488">
                  <c:v>0.25106732348111599</c:v>
                </c:pt>
                <c:pt idx="489">
                  <c:v>0.24573770491803201</c:v>
                </c:pt>
                <c:pt idx="490">
                  <c:v>0.241463414634146</c:v>
                </c:pt>
                <c:pt idx="491">
                  <c:v>0.24408637873754099</c:v>
                </c:pt>
                <c:pt idx="492">
                  <c:v>0.24598713173044301</c:v>
                </c:pt>
                <c:pt idx="493">
                  <c:v>0.24754966887417201</c:v>
                </c:pt>
                <c:pt idx="494">
                  <c:v>0.249093959731543</c:v>
                </c:pt>
                <c:pt idx="495">
                  <c:v>0.24906666666666599</c:v>
                </c:pt>
                <c:pt idx="496">
                  <c:v>0.24654545454545401</c:v>
                </c:pt>
                <c:pt idx="497">
                  <c:v>0.24797570850202399</c:v>
                </c:pt>
                <c:pt idx="498">
                  <c:v>0.24681213774292499</c:v>
                </c:pt>
                <c:pt idx="499">
                  <c:v>0.24561820652173899</c:v>
                </c:pt>
                <c:pt idx="500">
                  <c:v>0.24693042291950801</c:v>
                </c:pt>
                <c:pt idx="501">
                  <c:v>0.248992142125042</c:v>
                </c:pt>
                <c:pt idx="502">
                  <c:v>0.25157821713492801</c:v>
                </c:pt>
                <c:pt idx="503">
                  <c:v>0.25162303664921398</c:v>
                </c:pt>
                <c:pt idx="504">
                  <c:v>0.25599858856739499</c:v>
                </c:pt>
                <c:pt idx="505">
                  <c:v>0.252570828961175</c:v>
                </c:pt>
                <c:pt idx="506">
                  <c:v>0.25610955056179702</c:v>
                </c:pt>
                <c:pt idx="507">
                  <c:v>0.25681585240860899</c:v>
                </c:pt>
                <c:pt idx="508">
                  <c:v>0.25553679945982399</c:v>
                </c:pt>
                <c:pt idx="509">
                  <c:v>0.26445969125214402</c:v>
                </c:pt>
                <c:pt idx="510">
                  <c:v>0.26449643947100698</c:v>
                </c:pt>
                <c:pt idx="511">
                  <c:v>0.266734693877551</c:v>
                </c:pt>
                <c:pt idx="512">
                  <c:v>0.27051765512512799</c:v>
                </c:pt>
                <c:pt idx="513">
                  <c:v>0.27079889807162499</c:v>
                </c:pt>
                <c:pt idx="514">
                  <c:v>0.26416464891041103</c:v>
                </c:pt>
                <c:pt idx="515">
                  <c:v>0.26880638445523902</c:v>
                </c:pt>
                <c:pt idx="516">
                  <c:v>0.26129143646408798</c:v>
                </c:pt>
                <c:pt idx="517">
                  <c:v>0.26584860006913202</c:v>
                </c:pt>
                <c:pt idx="518">
                  <c:v>0.26447413497773198</c:v>
                </c:pt>
                <c:pt idx="519">
                  <c:v>0.26420689655172402</c:v>
                </c:pt>
                <c:pt idx="520">
                  <c:v>0.26646977067407901</c:v>
                </c:pt>
                <c:pt idx="521">
                  <c:v>0.26448275862068898</c:v>
                </c:pt>
                <c:pt idx="522">
                  <c:v>0.26355695317959399</c:v>
                </c:pt>
                <c:pt idx="523">
                  <c:v>0.261025280898876</c:v>
                </c:pt>
                <c:pt idx="524">
                  <c:v>0.26161971830985897</c:v>
                </c:pt>
                <c:pt idx="525">
                  <c:v>0.26287128712871199</c:v>
                </c:pt>
                <c:pt idx="526">
                  <c:v>0.26291739894551802</c:v>
                </c:pt>
                <c:pt idx="527">
                  <c:v>0.26213832039520102</c:v>
                </c:pt>
                <c:pt idx="528">
                  <c:v>0.26108339272986397</c:v>
                </c:pt>
                <c:pt idx="529">
                  <c:v>0.26341812970261502</c:v>
                </c:pt>
                <c:pt idx="530">
                  <c:v>0.26398702235039601</c:v>
                </c:pt>
                <c:pt idx="531">
                  <c:v>0.26591651542649702</c:v>
                </c:pt>
                <c:pt idx="532">
                  <c:v>0.27445045045045002</c:v>
                </c:pt>
                <c:pt idx="533">
                  <c:v>0.272681883024251</c:v>
                </c:pt>
                <c:pt idx="534">
                  <c:v>0.27028169014084502</c:v>
                </c:pt>
                <c:pt idx="535">
                  <c:v>0.27341592920353902</c:v>
                </c:pt>
                <c:pt idx="536">
                  <c:v>0.27457990704326002</c:v>
                </c:pt>
                <c:pt idx="537">
                  <c:v>0.27624011502516099</c:v>
                </c:pt>
                <c:pt idx="538">
                  <c:v>0.27732033224990899</c:v>
                </c:pt>
                <c:pt idx="539">
                  <c:v>0.27406601378309697</c:v>
                </c:pt>
                <c:pt idx="540">
                  <c:v>0.27633093525179803</c:v>
                </c:pt>
                <c:pt idx="541">
                  <c:v>0.28013848396501401</c:v>
                </c:pt>
                <c:pt idx="542">
                  <c:v>0.28052805280527998</c:v>
                </c:pt>
                <c:pt idx="543">
                  <c:v>0.28091743119265999</c:v>
                </c:pt>
                <c:pt idx="544">
                  <c:v>0.28017176997759502</c:v>
                </c:pt>
                <c:pt idx="545">
                  <c:v>0.278239700374531</c:v>
                </c:pt>
                <c:pt idx="546">
                  <c:v>0.28217973231357502</c:v>
                </c:pt>
                <c:pt idx="547">
                  <c:v>0.27967137944210901</c:v>
                </c:pt>
                <c:pt idx="548">
                  <c:v>0.28000764525993799</c:v>
                </c:pt>
                <c:pt idx="549">
                  <c:v>0.281414913957935</c:v>
                </c:pt>
                <c:pt idx="550">
                  <c:v>0.27931167826759401</c:v>
                </c:pt>
                <c:pt idx="551">
                  <c:v>0.27742060418280401</c:v>
                </c:pt>
                <c:pt idx="552">
                  <c:v>0.28173640985529902</c:v>
                </c:pt>
                <c:pt idx="553">
                  <c:v>0.28506158124751602</c:v>
                </c:pt>
                <c:pt idx="554">
                  <c:v>0.28380534503390498</c:v>
                </c:pt>
                <c:pt idx="555">
                  <c:v>0.28361111111111098</c:v>
                </c:pt>
                <c:pt idx="556">
                  <c:v>0.27887981330221701</c:v>
                </c:pt>
                <c:pt idx="557">
                  <c:v>0.27664346481051799</c:v>
                </c:pt>
                <c:pt idx="558">
                  <c:v>0.27232728676186801</c:v>
                </c:pt>
                <c:pt idx="559">
                  <c:v>0.27232142857142799</c:v>
                </c:pt>
                <c:pt idx="560">
                  <c:v>0.27181467181467101</c:v>
                </c:pt>
                <c:pt idx="561">
                  <c:v>0.27040062232594297</c:v>
                </c:pt>
                <c:pt idx="562">
                  <c:v>0.268525741029641</c:v>
                </c:pt>
                <c:pt idx="563">
                  <c:v>0.26859344894026899</c:v>
                </c:pt>
                <c:pt idx="564">
                  <c:v>0.26943585780525497</c:v>
                </c:pt>
                <c:pt idx="565">
                  <c:v>0.27146207974980402</c:v>
                </c:pt>
                <c:pt idx="566">
                  <c:v>0.27183705444575001</c:v>
                </c:pt>
                <c:pt idx="567">
                  <c:v>0.272887323943662</c:v>
                </c:pt>
                <c:pt idx="568">
                  <c:v>0.26919191919191898</c:v>
                </c:pt>
                <c:pt idx="569">
                  <c:v>0.270347249317206</c:v>
                </c:pt>
                <c:pt idx="570">
                  <c:v>0.26988523941432502</c:v>
                </c:pt>
                <c:pt idx="571">
                  <c:v>0.269024485036921</c:v>
                </c:pt>
                <c:pt idx="572">
                  <c:v>0.27220259128386298</c:v>
                </c:pt>
                <c:pt idx="573">
                  <c:v>0.27109041521148602</c:v>
                </c:pt>
                <c:pt idx="574">
                  <c:v>0.268475750577367</c:v>
                </c:pt>
                <c:pt idx="575">
                  <c:v>0.26080420894400602</c:v>
                </c:pt>
                <c:pt idx="576">
                  <c:v>0.26345291479820598</c:v>
                </c:pt>
                <c:pt idx="577">
                  <c:v>0.270506042296072</c:v>
                </c:pt>
                <c:pt idx="578">
                  <c:v>0.28000755857898701</c:v>
                </c:pt>
                <c:pt idx="579">
                  <c:v>0.28019157088122598</c:v>
                </c:pt>
                <c:pt idx="580">
                  <c:v>0.28125</c:v>
                </c:pt>
                <c:pt idx="581">
                  <c:v>0.28366951124903</c:v>
                </c:pt>
                <c:pt idx="582">
                  <c:v>0.286202876020209</c:v>
                </c:pt>
                <c:pt idx="583">
                  <c:v>0.28570309439874603</c:v>
                </c:pt>
                <c:pt idx="584">
                  <c:v>0.28411214953271002</c:v>
                </c:pt>
                <c:pt idx="585">
                  <c:v>0.28433501357115099</c:v>
                </c:pt>
                <c:pt idx="586">
                  <c:v>0.28611326609775001</c:v>
                </c:pt>
                <c:pt idx="587">
                  <c:v>0.28521264143581698</c:v>
                </c:pt>
                <c:pt idx="588">
                  <c:v>0.290102523659306</c:v>
                </c:pt>
                <c:pt idx="589">
                  <c:v>0.29044435705859201</c:v>
                </c:pt>
                <c:pt idx="590">
                  <c:v>0.28973549151204098</c:v>
                </c:pt>
                <c:pt idx="591">
                  <c:v>0.29314851485148502</c:v>
                </c:pt>
                <c:pt idx="592">
                  <c:v>0.290176125244618</c:v>
                </c:pt>
                <c:pt idx="593">
                  <c:v>0.29122047244094401</c:v>
                </c:pt>
                <c:pt idx="594">
                  <c:v>0.29137115839243499</c:v>
                </c:pt>
                <c:pt idx="595">
                  <c:v>0.28879781420764999</c:v>
                </c:pt>
                <c:pt idx="596">
                  <c:v>0.291888714733542</c:v>
                </c:pt>
                <c:pt idx="597">
                  <c:v>0.28834115805946697</c:v>
                </c:pt>
                <c:pt idx="598">
                  <c:v>0.28335282651072102</c:v>
                </c:pt>
                <c:pt idx="599">
                  <c:v>0.279583975346687</c:v>
                </c:pt>
                <c:pt idx="600">
                  <c:v>0.27730769230769198</c:v>
                </c:pt>
                <c:pt idx="601">
                  <c:v>0.277583527583527</c:v>
                </c:pt>
                <c:pt idx="602">
                  <c:v>0.27091541135573499</c:v>
                </c:pt>
                <c:pt idx="603">
                  <c:v>0.26613960663324299</c:v>
                </c:pt>
                <c:pt idx="604">
                  <c:v>0.266487110427087</c:v>
                </c:pt>
                <c:pt idx="605">
                  <c:v>0.265847099500576</c:v>
                </c:pt>
                <c:pt idx="606">
                  <c:v>0.26804163454124902</c:v>
                </c:pt>
                <c:pt idx="607">
                  <c:v>0.26610429447852701</c:v>
                </c:pt>
                <c:pt idx="608">
                  <c:v>0.26557692307692299</c:v>
                </c:pt>
                <c:pt idx="609">
                  <c:v>0.270672889926098</c:v>
                </c:pt>
                <c:pt idx="610">
                  <c:v>0.27346534653465299</c:v>
                </c:pt>
                <c:pt idx="611">
                  <c:v>0.27949125596184399</c:v>
                </c:pt>
                <c:pt idx="612">
                  <c:v>0.28038125496425698</c:v>
                </c:pt>
                <c:pt idx="613">
                  <c:v>0.27913008778930498</c:v>
                </c:pt>
                <c:pt idx="614">
                  <c:v>0.27397205588822299</c:v>
                </c:pt>
                <c:pt idx="615">
                  <c:v>0.26759332803812502</c:v>
                </c:pt>
                <c:pt idx="616">
                  <c:v>0.26573892591140702</c:v>
                </c:pt>
                <c:pt idx="617">
                  <c:v>0.26520031421838097</c:v>
                </c:pt>
                <c:pt idx="618">
                  <c:v>0.266446087971973</c:v>
                </c:pt>
                <c:pt idx="619">
                  <c:v>0.273964034401876</c:v>
                </c:pt>
                <c:pt idx="620">
                  <c:v>0.27526062550120201</c:v>
                </c:pt>
                <c:pt idx="621">
                  <c:v>0.28044280442804398</c:v>
                </c:pt>
                <c:pt idx="622">
                  <c:v>0.28015580155801501</c:v>
                </c:pt>
                <c:pt idx="623">
                  <c:v>0.28006576243321002</c:v>
                </c:pt>
                <c:pt idx="624">
                  <c:v>0.28270738753611202</c:v>
                </c:pt>
                <c:pt idx="625">
                  <c:v>0.28290983606557302</c:v>
                </c:pt>
                <c:pt idx="626">
                  <c:v>0.28493377483443699</c:v>
                </c:pt>
                <c:pt idx="627">
                  <c:v>0.28377138089278198</c:v>
                </c:pt>
                <c:pt idx="628">
                  <c:v>0.28456431535269699</c:v>
                </c:pt>
                <c:pt idx="629">
                  <c:v>0.28726513569937301</c:v>
                </c:pt>
                <c:pt idx="630">
                  <c:v>0.28748440748440701</c:v>
                </c:pt>
                <c:pt idx="631">
                  <c:v>0.29136868064118299</c:v>
                </c:pt>
                <c:pt idx="632">
                  <c:v>0.29388843314191898</c:v>
                </c:pt>
                <c:pt idx="633">
                  <c:v>0.29245982694684702</c:v>
                </c:pt>
                <c:pt idx="634">
                  <c:v>0.30033500837520899</c:v>
                </c:pt>
                <c:pt idx="635">
                  <c:v>0.29589995899958998</c:v>
                </c:pt>
                <c:pt idx="636">
                  <c:v>0.29587080948487299</c:v>
                </c:pt>
                <c:pt idx="637">
                  <c:v>0.284496753246753</c:v>
                </c:pt>
                <c:pt idx="638">
                  <c:v>0.28404858299595098</c:v>
                </c:pt>
                <c:pt idx="639">
                  <c:v>0.28899082568807299</c:v>
                </c:pt>
                <c:pt idx="640">
                  <c:v>0.29124947412704999</c:v>
                </c:pt>
                <c:pt idx="641">
                  <c:v>0.294465894465894</c:v>
                </c:pt>
                <c:pt idx="642">
                  <c:v>0.29072164948453599</c:v>
                </c:pt>
                <c:pt idx="643">
                  <c:v>0.28772979905942703</c:v>
                </c:pt>
                <c:pt idx="644">
                  <c:v>0.28457583547557802</c:v>
                </c:pt>
                <c:pt idx="645">
                  <c:v>0.28357111975789001</c:v>
                </c:pt>
                <c:pt idx="646">
                  <c:v>0.28756022777047702</c:v>
                </c:pt>
                <c:pt idx="647">
                  <c:v>0.28605472197705201</c:v>
                </c:pt>
                <c:pt idx="648">
                  <c:v>0.285569731632204</c:v>
                </c:pt>
                <c:pt idx="649">
                  <c:v>0.28468899521531099</c:v>
                </c:pt>
                <c:pt idx="650">
                  <c:v>0.28606378331148902</c:v>
                </c:pt>
                <c:pt idx="651">
                  <c:v>0.28723684210526301</c:v>
                </c:pt>
                <c:pt idx="652">
                  <c:v>0.28736383442265701</c:v>
                </c:pt>
                <c:pt idx="653">
                  <c:v>0.29179620034542297</c:v>
                </c:pt>
                <c:pt idx="654">
                  <c:v>0.29622155431515601</c:v>
                </c:pt>
                <c:pt idx="655">
                  <c:v>0.29537869062901101</c:v>
                </c:pt>
                <c:pt idx="656">
                  <c:v>0.29258147512864402</c:v>
                </c:pt>
                <c:pt idx="657">
                  <c:v>0.29379878577623503</c:v>
                </c:pt>
                <c:pt idx="658">
                  <c:v>0.28976982097186699</c:v>
                </c:pt>
                <c:pt idx="659">
                  <c:v>0.28451776649746102</c:v>
                </c:pt>
                <c:pt idx="660">
                  <c:v>0.28500837520937999</c:v>
                </c:pt>
                <c:pt idx="661">
                  <c:v>0.28863157894736802</c:v>
                </c:pt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  <c:pt idx="0">
                  <c:v>0.30491348031702653</c:v>
                </c:pt>
                <c:pt idx="1">
                  <c:v>0.30450759522273163</c:v>
                </c:pt>
                <c:pt idx="2">
                  <c:v>0.30427796404974738</c:v>
                </c:pt>
                <c:pt idx="3">
                  <c:v>0.30397190719530365</c:v>
                </c:pt>
                <c:pt idx="4">
                  <c:v>0.3038545147002098</c:v>
                </c:pt>
                <c:pt idx="5">
                  <c:v>0.30361193340882653</c:v>
                </c:pt>
                <c:pt idx="6">
                  <c:v>0.3033596794505638</c:v>
                </c:pt>
                <c:pt idx="7">
                  <c:v>0.30303822149162674</c:v>
                </c:pt>
                <c:pt idx="8">
                  <c:v>0.30297442870744284</c:v>
                </c:pt>
                <c:pt idx="9">
                  <c:v>0.3027100467548921</c:v>
                </c:pt>
                <c:pt idx="10">
                  <c:v>0.30240996576461721</c:v>
                </c:pt>
                <c:pt idx="11">
                  <c:v>0.3023820483644018</c:v>
                </c:pt>
                <c:pt idx="12">
                  <c:v>0.302180116831825</c:v>
                </c:pt>
                <c:pt idx="13">
                  <c:v>0.30207074040886567</c:v>
                </c:pt>
                <c:pt idx="14">
                  <c:v>0.30193782898843607</c:v>
                </c:pt>
                <c:pt idx="15">
                  <c:v>0.30192164364975216</c:v>
                </c:pt>
                <c:pt idx="16">
                  <c:v>0.3018724123737711</c:v>
                </c:pt>
                <c:pt idx="17">
                  <c:v>0.30186846392070932</c:v>
                </c:pt>
                <c:pt idx="18">
                  <c:v>0.30194416085908538</c:v>
                </c:pt>
                <c:pt idx="19">
                  <c:v>0.30195800903058123</c:v>
                </c:pt>
                <c:pt idx="20">
                  <c:v>0.30190687950626699</c:v>
                </c:pt>
                <c:pt idx="21">
                  <c:v>0.30178905215162471</c:v>
                </c:pt>
                <c:pt idx="22">
                  <c:v>0.30164841430585199</c:v>
                </c:pt>
                <c:pt idx="23">
                  <c:v>0.30153231797562918</c:v>
                </c:pt>
                <c:pt idx="24">
                  <c:v>0.30131942315222882</c:v>
                </c:pt>
                <c:pt idx="25">
                  <c:v>0.30113388188305201</c:v>
                </c:pt>
                <c:pt idx="26">
                  <c:v>0.3008857645803733</c:v>
                </c:pt>
                <c:pt idx="27">
                  <c:v>0.30071034023173693</c:v>
                </c:pt>
                <c:pt idx="28">
                  <c:v>0.30071512253986876</c:v>
                </c:pt>
                <c:pt idx="29">
                  <c:v>0.30071957128744287</c:v>
                </c:pt>
                <c:pt idx="30">
                  <c:v>0.30068835924631365</c:v>
                </c:pt>
                <c:pt idx="31">
                  <c:v>0.30063501289327788</c:v>
                </c:pt>
                <c:pt idx="32">
                  <c:v>0.30052443659555955</c:v>
                </c:pt>
                <c:pt idx="33">
                  <c:v>0.30043349148413689</c:v>
                </c:pt>
                <c:pt idx="34">
                  <c:v>0.30033236142112674</c:v>
                </c:pt>
                <c:pt idx="35">
                  <c:v>0.30022792505697865</c:v>
                </c:pt>
                <c:pt idx="36">
                  <c:v>0.3001194839242366</c:v>
                </c:pt>
                <c:pt idx="37">
                  <c:v>0.29995593942184606</c:v>
                </c:pt>
                <c:pt idx="38">
                  <c:v>0.29998831655194658</c:v>
                </c:pt>
                <c:pt idx="39">
                  <c:v>0.30003501722873505</c:v>
                </c:pt>
                <c:pt idx="40">
                  <c:v>0.30008260450115143</c:v>
                </c:pt>
                <c:pt idx="41">
                  <c:v>0.3002345767883931</c:v>
                </c:pt>
                <c:pt idx="42">
                  <c:v>0.30017503008713536</c:v>
                </c:pt>
                <c:pt idx="43">
                  <c:v>0.30004667265727086</c:v>
                </c:pt>
                <c:pt idx="44">
                  <c:v>0.30006099876862402</c:v>
                </c:pt>
                <c:pt idx="45">
                  <c:v>0.30003383382896709</c:v>
                </c:pt>
                <c:pt idx="46">
                  <c:v>0.29980912501998391</c:v>
                </c:pt>
                <c:pt idx="47">
                  <c:v>0.29981212348662734</c:v>
                </c:pt>
                <c:pt idx="48">
                  <c:v>0.29979066755301376</c:v>
                </c:pt>
                <c:pt idx="49">
                  <c:v>0.29972858106268518</c:v>
                </c:pt>
                <c:pt idx="50">
                  <c:v>0.29972345593926653</c:v>
                </c:pt>
                <c:pt idx="51">
                  <c:v>0.29952780639249132</c:v>
                </c:pt>
                <c:pt idx="52">
                  <c:v>0.29936315990918655</c:v>
                </c:pt>
                <c:pt idx="53">
                  <c:v>0.2993738878527879</c:v>
                </c:pt>
                <c:pt idx="54">
                  <c:v>0.29919661979747619</c:v>
                </c:pt>
                <c:pt idx="55">
                  <c:v>0.29877473944514299</c:v>
                </c:pt>
                <c:pt idx="56">
                  <c:v>0.29805787724663929</c:v>
                </c:pt>
                <c:pt idx="57">
                  <c:v>0.2973385489400161</c:v>
                </c:pt>
                <c:pt idx="58">
                  <c:v>0.29707310757360028</c:v>
                </c:pt>
                <c:pt idx="59">
                  <c:v>0.2960805747837682</c:v>
                </c:pt>
                <c:pt idx="60">
                  <c:v>0.29493294882029075</c:v>
                </c:pt>
                <c:pt idx="61">
                  <c:v>0.29433680262878309</c:v>
                </c:pt>
                <c:pt idx="62">
                  <c:v>0.29341549217267388</c:v>
                </c:pt>
                <c:pt idx="63">
                  <c:v>0.29239968271502587</c:v>
                </c:pt>
                <c:pt idx="64">
                  <c:v>0.29135057118133112</c:v>
                </c:pt>
                <c:pt idx="65">
                  <c:v>0.29109431618036957</c:v>
                </c:pt>
                <c:pt idx="66">
                  <c:v>0.29081816311879721</c:v>
                </c:pt>
                <c:pt idx="67">
                  <c:v>0.29086605797354131</c:v>
                </c:pt>
                <c:pt idx="68">
                  <c:v>0.29091586372218459</c:v>
                </c:pt>
                <c:pt idx="69">
                  <c:v>0.29066747747163557</c:v>
                </c:pt>
                <c:pt idx="70">
                  <c:v>0.29042720028654223</c:v>
                </c:pt>
                <c:pt idx="71">
                  <c:v>0.29024648567587463</c:v>
                </c:pt>
                <c:pt idx="72">
                  <c:v>0.29002243686496021</c:v>
                </c:pt>
                <c:pt idx="73">
                  <c:v>0.28984481346986346</c:v>
                </c:pt>
                <c:pt idx="74">
                  <c:v>0.29042607563300382</c:v>
                </c:pt>
                <c:pt idx="75">
                  <c:v>0.29114778952144682</c:v>
                </c:pt>
                <c:pt idx="76">
                  <c:v>0.2921280784687888</c:v>
                </c:pt>
                <c:pt idx="77">
                  <c:v>0.29300077132790103</c:v>
                </c:pt>
                <c:pt idx="78">
                  <c:v>0.29434412403531623</c:v>
                </c:pt>
                <c:pt idx="79">
                  <c:v>0.29494899772601291</c:v>
                </c:pt>
                <c:pt idx="80">
                  <c:v>0.29576240806030851</c:v>
                </c:pt>
                <c:pt idx="81">
                  <c:v>0.29675644669451928</c:v>
                </c:pt>
                <c:pt idx="82">
                  <c:v>0.29799548054919617</c:v>
                </c:pt>
                <c:pt idx="83">
                  <c:v>0.2989406746828791</c:v>
                </c:pt>
                <c:pt idx="84">
                  <c:v>0.2997297782214699</c:v>
                </c:pt>
                <c:pt idx="85">
                  <c:v>0.30030298995202681</c:v>
                </c:pt>
                <c:pt idx="86">
                  <c:v>0.30065416363443498</c:v>
                </c:pt>
                <c:pt idx="87">
                  <c:v>0.3009804590414315</c:v>
                </c:pt>
                <c:pt idx="88">
                  <c:v>0.30120748306235834</c:v>
                </c:pt>
                <c:pt idx="89">
                  <c:v>0.30154775200618023</c:v>
                </c:pt>
                <c:pt idx="90">
                  <c:v>0.30203963624084634</c:v>
                </c:pt>
                <c:pt idx="91">
                  <c:v>0.30254028717631964</c:v>
                </c:pt>
                <c:pt idx="92">
                  <c:v>0.3030879362579515</c:v>
                </c:pt>
                <c:pt idx="93">
                  <c:v>0.30344222759202982</c:v>
                </c:pt>
                <c:pt idx="94">
                  <c:v>0.303710207949491</c:v>
                </c:pt>
                <c:pt idx="95">
                  <c:v>0.3037952691621979</c:v>
                </c:pt>
                <c:pt idx="96">
                  <c:v>0.30390476778916597</c:v>
                </c:pt>
                <c:pt idx="97">
                  <c:v>0.30396550728294713</c:v>
                </c:pt>
                <c:pt idx="98">
                  <c:v>0.30414261322129299</c:v>
                </c:pt>
                <c:pt idx="99">
                  <c:v>0.30425585326557736</c:v>
                </c:pt>
                <c:pt idx="100">
                  <c:v>0.30430467005174316</c:v>
                </c:pt>
                <c:pt idx="101">
                  <c:v>0.30447443451362022</c:v>
                </c:pt>
                <c:pt idx="102">
                  <c:v>0.30489700277797949</c:v>
                </c:pt>
                <c:pt idx="103">
                  <c:v>0.30533204021548299</c:v>
                </c:pt>
                <c:pt idx="104">
                  <c:v>0.30548765148122525</c:v>
                </c:pt>
                <c:pt idx="105">
                  <c:v>0.30563860467745485</c:v>
                </c:pt>
                <c:pt idx="106">
                  <c:v>0.30569361165467618</c:v>
                </c:pt>
                <c:pt idx="107">
                  <c:v>0.30575101224812112</c:v>
                </c:pt>
                <c:pt idx="108">
                  <c:v>0.30590597061149294</c:v>
                </c:pt>
                <c:pt idx="109">
                  <c:v>0.30596142241840629</c:v>
                </c:pt>
                <c:pt idx="110">
                  <c:v>0.30600226688414789</c:v>
                </c:pt>
                <c:pt idx="111">
                  <c:v>0.30601627157754063</c:v>
                </c:pt>
                <c:pt idx="112">
                  <c:v>0.30598915623507772</c:v>
                </c:pt>
                <c:pt idx="113">
                  <c:v>0.30594623897428513</c:v>
                </c:pt>
                <c:pt idx="114">
                  <c:v>0.30599786780659188</c:v>
                </c:pt>
                <c:pt idx="115">
                  <c:v>0.30606292304280774</c:v>
                </c:pt>
                <c:pt idx="116">
                  <c:v>0.30599647168317234</c:v>
                </c:pt>
                <c:pt idx="117">
                  <c:v>0.30596991519593675</c:v>
                </c:pt>
                <c:pt idx="118">
                  <c:v>0.30590540252378856</c:v>
                </c:pt>
                <c:pt idx="119">
                  <c:v>0.30588243426956546</c:v>
                </c:pt>
                <c:pt idx="120">
                  <c:v>0.30592496819440135</c:v>
                </c:pt>
                <c:pt idx="121">
                  <c:v>0.30592255641995719</c:v>
                </c:pt>
                <c:pt idx="122">
                  <c:v>0.30588792470164855</c:v>
                </c:pt>
                <c:pt idx="123">
                  <c:v>0.30587493452443565</c:v>
                </c:pt>
                <c:pt idx="124">
                  <c:v>0.30584250051658274</c:v>
                </c:pt>
                <c:pt idx="125">
                  <c:v>0.30581868177262828</c:v>
                </c:pt>
                <c:pt idx="126">
                  <c:v>0.30580983942371776</c:v>
                </c:pt>
                <c:pt idx="127">
                  <c:v>0.30577458879469827</c:v>
                </c:pt>
                <c:pt idx="128">
                  <c:v>0.30557855343744827</c:v>
                </c:pt>
                <c:pt idx="129">
                  <c:v>0.30555089825152076</c:v>
                </c:pt>
                <c:pt idx="130">
                  <c:v>0.30545960187065269</c:v>
                </c:pt>
                <c:pt idx="131">
                  <c:v>0.30532591691597361</c:v>
                </c:pt>
                <c:pt idx="132">
                  <c:v>0.30606782597338822</c:v>
                </c:pt>
                <c:pt idx="133">
                  <c:v>0.3068606809475552</c:v>
                </c:pt>
                <c:pt idx="134">
                  <c:v>0.30767275406386074</c:v>
                </c:pt>
                <c:pt idx="135">
                  <c:v>0.30815703138533529</c:v>
                </c:pt>
                <c:pt idx="136">
                  <c:v>0.30839378697450209</c:v>
                </c:pt>
                <c:pt idx="137">
                  <c:v>0.30904440454977433</c:v>
                </c:pt>
                <c:pt idx="138">
                  <c:v>0.30960319373203754</c:v>
                </c:pt>
                <c:pt idx="139">
                  <c:v>0.30975619091552836</c:v>
                </c:pt>
                <c:pt idx="140">
                  <c:v>0.31004216025432807</c:v>
                </c:pt>
                <c:pt idx="141">
                  <c:v>0.3103258615468405</c:v>
                </c:pt>
                <c:pt idx="142">
                  <c:v>0.31021779021875268</c:v>
                </c:pt>
                <c:pt idx="143">
                  <c:v>0.30974007951632487</c:v>
                </c:pt>
                <c:pt idx="144">
                  <c:v>0.30948407761538838</c:v>
                </c:pt>
                <c:pt idx="145">
                  <c:v>0.30931160568249172</c:v>
                </c:pt>
                <c:pt idx="146">
                  <c:v>0.30925542309499343</c:v>
                </c:pt>
                <c:pt idx="147">
                  <c:v>0.30902310656778503</c:v>
                </c:pt>
                <c:pt idx="148">
                  <c:v>0.30890124441511113</c:v>
                </c:pt>
                <c:pt idx="149">
                  <c:v>0.30892514493002371</c:v>
                </c:pt>
                <c:pt idx="150">
                  <c:v>0.30888128154083888</c:v>
                </c:pt>
                <c:pt idx="151">
                  <c:v>0.3087688288329119</c:v>
                </c:pt>
                <c:pt idx="152">
                  <c:v>0.30866996601715063</c:v>
                </c:pt>
                <c:pt idx="153">
                  <c:v>0.30840878642979003</c:v>
                </c:pt>
                <c:pt idx="154">
                  <c:v>0.3084241783655437</c:v>
                </c:pt>
                <c:pt idx="155">
                  <c:v>0.30828943589745206</c:v>
                </c:pt>
                <c:pt idx="156">
                  <c:v>0.30808104948415693</c:v>
                </c:pt>
                <c:pt idx="157">
                  <c:v>0.30775146638037104</c:v>
                </c:pt>
                <c:pt idx="158">
                  <c:v>0.30749986784980893</c:v>
                </c:pt>
                <c:pt idx="159">
                  <c:v>0.30732488185967732</c:v>
                </c:pt>
                <c:pt idx="160">
                  <c:v>0.30753612736255326</c:v>
                </c:pt>
                <c:pt idx="161">
                  <c:v>0.30766897184826886</c:v>
                </c:pt>
                <c:pt idx="162">
                  <c:v>0.30777788365776176</c:v>
                </c:pt>
                <c:pt idx="163">
                  <c:v>0.30799742270078123</c:v>
                </c:pt>
                <c:pt idx="164">
                  <c:v>0.30817280501408023</c:v>
                </c:pt>
                <c:pt idx="165">
                  <c:v>0.3083846768853753</c:v>
                </c:pt>
                <c:pt idx="166">
                  <c:v>0.30846490525213882</c:v>
                </c:pt>
                <c:pt idx="167">
                  <c:v>0.30844280042860134</c:v>
                </c:pt>
                <c:pt idx="168">
                  <c:v>0.30837305631455691</c:v>
                </c:pt>
                <c:pt idx="169">
                  <c:v>0.30838673621774204</c:v>
                </c:pt>
                <c:pt idx="170">
                  <c:v>0.30850585241038836</c:v>
                </c:pt>
                <c:pt idx="171">
                  <c:v>0.30867591763753566</c:v>
                </c:pt>
                <c:pt idx="172">
                  <c:v>0.30877698890556748</c:v>
                </c:pt>
                <c:pt idx="173">
                  <c:v>0.30885997233281726</c:v>
                </c:pt>
                <c:pt idx="174">
                  <c:v>0.30900935517796818</c:v>
                </c:pt>
                <c:pt idx="175">
                  <c:v>0.30899563075747405</c:v>
                </c:pt>
                <c:pt idx="176">
                  <c:v>0.30900682349136482</c:v>
                </c:pt>
                <c:pt idx="177">
                  <c:v>0.30886537762678734</c:v>
                </c:pt>
                <c:pt idx="178">
                  <c:v>0.3087125729237245</c:v>
                </c:pt>
                <c:pt idx="179">
                  <c:v>0.30871718136243759</c:v>
                </c:pt>
                <c:pt idx="180">
                  <c:v>0.30870891057529248</c:v>
                </c:pt>
                <c:pt idx="181">
                  <c:v>0.30870453777102763</c:v>
                </c:pt>
                <c:pt idx="182">
                  <c:v>0.30875995432157743</c:v>
                </c:pt>
                <c:pt idx="183">
                  <c:v>0.30876111874748502</c:v>
                </c:pt>
                <c:pt idx="184">
                  <c:v>0.30876507712902318</c:v>
                </c:pt>
                <c:pt idx="185">
                  <c:v>0.30877395820742543</c:v>
                </c:pt>
                <c:pt idx="186">
                  <c:v>0.30874652690915605</c:v>
                </c:pt>
                <c:pt idx="187">
                  <c:v>0.30883319611072557</c:v>
                </c:pt>
                <c:pt idx="188">
                  <c:v>0.30907084734845525</c:v>
                </c:pt>
                <c:pt idx="189">
                  <c:v>0.30927116767128005</c:v>
                </c:pt>
                <c:pt idx="190">
                  <c:v>0.30964286248541079</c:v>
                </c:pt>
                <c:pt idx="191">
                  <c:v>0.30982134293062746</c:v>
                </c:pt>
                <c:pt idx="192">
                  <c:v>0.31072914903637372</c:v>
                </c:pt>
                <c:pt idx="193">
                  <c:v>0.3108058682091191</c:v>
                </c:pt>
                <c:pt idx="194">
                  <c:v>0.31265658713393568</c:v>
                </c:pt>
                <c:pt idx="195">
                  <c:v>0.31391585038887049</c:v>
                </c:pt>
                <c:pt idx="196">
                  <c:v>0.31653128587189344</c:v>
                </c:pt>
                <c:pt idx="197">
                  <c:v>0.31867776597693959</c:v>
                </c:pt>
                <c:pt idx="198">
                  <c:v>0.32026885150789403</c:v>
                </c:pt>
                <c:pt idx="199">
                  <c:v>0.32198488471065739</c:v>
                </c:pt>
                <c:pt idx="200">
                  <c:v>0.32348261263615241</c:v>
                </c:pt>
                <c:pt idx="201">
                  <c:v>0.32516725084988718</c:v>
                </c:pt>
                <c:pt idx="202">
                  <c:v>0.32730162148819864</c:v>
                </c:pt>
                <c:pt idx="203">
                  <c:v>0.32950512837502199</c:v>
                </c:pt>
                <c:pt idx="204">
                  <c:v>0.33191287715857937</c:v>
                </c:pt>
                <c:pt idx="205">
                  <c:v>0.33420851441640964</c:v>
                </c:pt>
                <c:pt idx="206">
                  <c:v>0.33696861973050402</c:v>
                </c:pt>
                <c:pt idx="207">
                  <c:v>0.34065901401355203</c:v>
                </c:pt>
                <c:pt idx="208">
                  <c:v>0.34344843570406919</c:v>
                </c:pt>
                <c:pt idx="209">
                  <c:v>0.34559037349231836</c:v>
                </c:pt>
                <c:pt idx="210">
                  <c:v>0.34754645511263982</c:v>
                </c:pt>
                <c:pt idx="211">
                  <c:v>0.35016636503963355</c:v>
                </c:pt>
                <c:pt idx="212">
                  <c:v>0.35304373420345181</c:v>
                </c:pt>
                <c:pt idx="213">
                  <c:v>0.35521204755858704</c:v>
                </c:pt>
                <c:pt idx="214">
                  <c:v>0.3576747196845132</c:v>
                </c:pt>
                <c:pt idx="215">
                  <c:v>0.35961597190973243</c:v>
                </c:pt>
                <c:pt idx="216">
                  <c:v>0.36165028511682318</c:v>
                </c:pt>
                <c:pt idx="217">
                  <c:v>0.3634896061134868</c:v>
                </c:pt>
                <c:pt idx="218">
                  <c:v>0.36491204886685941</c:v>
                </c:pt>
                <c:pt idx="219">
                  <c:v>0.36560179137145843</c:v>
                </c:pt>
                <c:pt idx="220">
                  <c:v>0.36613720934726118</c:v>
                </c:pt>
                <c:pt idx="221">
                  <c:v>0.36676178136651016</c:v>
                </c:pt>
                <c:pt idx="222">
                  <c:v>0.367569671694574</c:v>
                </c:pt>
                <c:pt idx="223">
                  <c:v>0.36812230509375177</c:v>
                </c:pt>
                <c:pt idx="224">
                  <c:v>0.36858242414948084</c:v>
                </c:pt>
                <c:pt idx="225">
                  <c:v>0.36892348189175056</c:v>
                </c:pt>
                <c:pt idx="226">
                  <c:v>0.36931610732235698</c:v>
                </c:pt>
                <c:pt idx="227">
                  <c:v>0.36967002869619803</c:v>
                </c:pt>
                <c:pt idx="228">
                  <c:v>0.36992710924580063</c:v>
                </c:pt>
                <c:pt idx="229">
                  <c:v>0.37009877450518719</c:v>
                </c:pt>
                <c:pt idx="230">
                  <c:v>0.37020597811138756</c:v>
                </c:pt>
                <c:pt idx="231">
                  <c:v>0.37069284876260977</c:v>
                </c:pt>
                <c:pt idx="232">
                  <c:v>0.37099499432557725</c:v>
                </c:pt>
                <c:pt idx="233">
                  <c:v>0.37112699237882818</c:v>
                </c:pt>
                <c:pt idx="234">
                  <c:v>0.3712778516861836</c:v>
                </c:pt>
                <c:pt idx="235">
                  <c:v>0.37147865703774263</c:v>
                </c:pt>
                <c:pt idx="236">
                  <c:v>0.37149324453384358</c:v>
                </c:pt>
                <c:pt idx="237">
                  <c:v>0.37149315488828122</c:v>
                </c:pt>
                <c:pt idx="238">
                  <c:v>0.37162541223610079</c:v>
                </c:pt>
                <c:pt idx="239">
                  <c:v>0.37177858003317155</c:v>
                </c:pt>
                <c:pt idx="240">
                  <c:v>0.3718731563698176</c:v>
                </c:pt>
                <c:pt idx="241">
                  <c:v>0.3719996332836602</c:v>
                </c:pt>
                <c:pt idx="242">
                  <c:v>0.37204342563473281</c:v>
                </c:pt>
                <c:pt idx="243">
                  <c:v>0.3720227726711558</c:v>
                </c:pt>
                <c:pt idx="244">
                  <c:v>0.37183809328080597</c:v>
                </c:pt>
                <c:pt idx="245">
                  <c:v>0.37170297565147919</c:v>
                </c:pt>
                <c:pt idx="246">
                  <c:v>0.37157545345058463</c:v>
                </c:pt>
                <c:pt idx="247">
                  <c:v>0.37139147322262744</c:v>
                </c:pt>
                <c:pt idx="248">
                  <c:v>0.37117800133514978</c:v>
                </c:pt>
                <c:pt idx="249">
                  <c:v>0.3710102180140214</c:v>
                </c:pt>
                <c:pt idx="250">
                  <c:v>0.37059599988397296</c:v>
                </c:pt>
                <c:pt idx="251">
                  <c:v>0.37022107475138721</c:v>
                </c:pt>
                <c:pt idx="252">
                  <c:v>0.36973402029266939</c:v>
                </c:pt>
                <c:pt idx="253">
                  <c:v>0.36917133476317082</c:v>
                </c:pt>
                <c:pt idx="254">
                  <c:v>0.368713477093908</c:v>
                </c:pt>
                <c:pt idx="255">
                  <c:v>0.36820811740102122</c:v>
                </c:pt>
                <c:pt idx="256">
                  <c:v>0.36778088353544042</c:v>
                </c:pt>
                <c:pt idx="257">
                  <c:v>0.36768524927603718</c:v>
                </c:pt>
                <c:pt idx="258">
                  <c:v>0.36779683509894878</c:v>
                </c:pt>
                <c:pt idx="259">
                  <c:v>0.3683463870228334</c:v>
                </c:pt>
                <c:pt idx="260">
                  <c:v>0.36898886715669982</c:v>
                </c:pt>
                <c:pt idx="261">
                  <c:v>0.36956991019861918</c:v>
                </c:pt>
                <c:pt idx="262">
                  <c:v>0.37002873754667776</c:v>
                </c:pt>
                <c:pt idx="263">
                  <c:v>0.3703753510890998</c:v>
                </c:pt>
                <c:pt idx="264">
                  <c:v>0.37079999107167483</c:v>
                </c:pt>
                <c:pt idx="265">
                  <c:v>0.37126557949898659</c:v>
                </c:pt>
                <c:pt idx="266">
                  <c:v>0.3715222528043548</c:v>
                </c:pt>
                <c:pt idx="267">
                  <c:v>0.37173752254988379</c:v>
                </c:pt>
                <c:pt idx="268">
                  <c:v>0.37183389276296486</c:v>
                </c:pt>
                <c:pt idx="269">
                  <c:v>0.37203702179276082</c:v>
                </c:pt>
                <c:pt idx="270">
                  <c:v>0.3721884067401286</c:v>
                </c:pt>
                <c:pt idx="271">
                  <c:v>0.372107915418113</c:v>
                </c:pt>
                <c:pt idx="272">
                  <c:v>0.37202227982139718</c:v>
                </c:pt>
                <c:pt idx="273">
                  <c:v>0.37200320793419739</c:v>
                </c:pt>
                <c:pt idx="274">
                  <c:v>0.37212934173035639</c:v>
                </c:pt>
                <c:pt idx="275">
                  <c:v>0.37220742544913404</c:v>
                </c:pt>
                <c:pt idx="276">
                  <c:v>0.37221876741825582</c:v>
                </c:pt>
                <c:pt idx="277">
                  <c:v>0.37198154685618484</c:v>
                </c:pt>
                <c:pt idx="278">
                  <c:v>0.37168494896778159</c:v>
                </c:pt>
                <c:pt idx="279">
                  <c:v>0.37119077869689199</c:v>
                </c:pt>
                <c:pt idx="280">
                  <c:v>0.37061130637461881</c:v>
                </c:pt>
                <c:pt idx="281">
                  <c:v>0.36986371821190139</c:v>
                </c:pt>
                <c:pt idx="282">
                  <c:v>0.36847616236256159</c:v>
                </c:pt>
                <c:pt idx="283">
                  <c:v>0.36735699058142901</c:v>
                </c:pt>
                <c:pt idx="284">
                  <c:v>0.3664767998516702</c:v>
                </c:pt>
                <c:pt idx="285">
                  <c:v>0.36590255306637404</c:v>
                </c:pt>
                <c:pt idx="286">
                  <c:v>0.36443704665291521</c:v>
                </c:pt>
                <c:pt idx="287">
                  <c:v>0.36253393321726241</c:v>
                </c:pt>
                <c:pt idx="288">
                  <c:v>0.36094067203499258</c:v>
                </c:pt>
                <c:pt idx="289">
                  <c:v>0.35893076867017359</c:v>
                </c:pt>
                <c:pt idx="290">
                  <c:v>0.35712123109261124</c:v>
                </c:pt>
                <c:pt idx="291">
                  <c:v>0.35509361142411155</c:v>
                </c:pt>
                <c:pt idx="292">
                  <c:v>0.3531317523575454</c:v>
                </c:pt>
                <c:pt idx="293">
                  <c:v>0.35139335899705759</c:v>
                </c:pt>
                <c:pt idx="294">
                  <c:v>0.35038972815728203</c:v>
                </c:pt>
                <c:pt idx="295">
                  <c:v>0.34951843838486563</c:v>
                </c:pt>
                <c:pt idx="296">
                  <c:v>0.34844303083458378</c:v>
                </c:pt>
                <c:pt idx="297">
                  <c:v>0.3470142983423396</c:v>
                </c:pt>
                <c:pt idx="298">
                  <c:v>0.3458601633720928</c:v>
                </c:pt>
                <c:pt idx="299">
                  <c:v>0.344784835495487</c:v>
                </c:pt>
                <c:pt idx="300">
                  <c:v>0.34381017496872401</c:v>
                </c:pt>
                <c:pt idx="301">
                  <c:v>0.3426557407508084</c:v>
                </c:pt>
                <c:pt idx="302">
                  <c:v>0.34164253676365863</c:v>
                </c:pt>
                <c:pt idx="303">
                  <c:v>0.34074986290035797</c:v>
                </c:pt>
                <c:pt idx="304">
                  <c:v>0.33999204757845319</c:v>
                </c:pt>
                <c:pt idx="305">
                  <c:v>0.33899055357877761</c:v>
                </c:pt>
                <c:pt idx="306">
                  <c:v>0.33722124874301956</c:v>
                </c:pt>
                <c:pt idx="307">
                  <c:v>0.33574096032025441</c:v>
                </c:pt>
                <c:pt idx="308">
                  <c:v>0.33446604778511124</c:v>
                </c:pt>
                <c:pt idx="309">
                  <c:v>0.3330663694846982</c:v>
                </c:pt>
                <c:pt idx="310">
                  <c:v>0.33168877420380483</c:v>
                </c:pt>
                <c:pt idx="311">
                  <c:v>0.33071119599658561</c:v>
                </c:pt>
                <c:pt idx="312">
                  <c:v>0.32969686261271181</c:v>
                </c:pt>
                <c:pt idx="313">
                  <c:v>0.32830490579564681</c:v>
                </c:pt>
                <c:pt idx="314">
                  <c:v>0.32668940176831718</c:v>
                </c:pt>
                <c:pt idx="315">
                  <c:v>0.32517882523263764</c:v>
                </c:pt>
                <c:pt idx="316">
                  <c:v>0.32328012916766319</c:v>
                </c:pt>
                <c:pt idx="317">
                  <c:v>0.32141929619661663</c:v>
                </c:pt>
                <c:pt idx="318">
                  <c:v>0.31898735951038282</c:v>
                </c:pt>
                <c:pt idx="319">
                  <c:v>0.317564585118496</c:v>
                </c:pt>
                <c:pt idx="320">
                  <c:v>0.31603165122757904</c:v>
                </c:pt>
                <c:pt idx="321">
                  <c:v>0.3145441025457254</c:v>
                </c:pt>
                <c:pt idx="322">
                  <c:v>0.31325678152960301</c:v>
                </c:pt>
                <c:pt idx="323">
                  <c:v>0.31174486820751679</c:v>
                </c:pt>
                <c:pt idx="324">
                  <c:v>0.30998136582194136</c:v>
                </c:pt>
                <c:pt idx="325">
                  <c:v>0.30816243306093355</c:v>
                </c:pt>
                <c:pt idx="326">
                  <c:v>0.3064039834364925</c:v>
                </c:pt>
                <c:pt idx="327">
                  <c:v>0.30518963735585725</c:v>
                </c:pt>
                <c:pt idx="328">
                  <c:v>0.30371831047275694</c:v>
                </c:pt>
                <c:pt idx="329">
                  <c:v>0.30229882909684608</c:v>
                </c:pt>
                <c:pt idx="330">
                  <c:v>0.30127486904399625</c:v>
                </c:pt>
                <c:pt idx="331">
                  <c:v>0.3007239813005978</c:v>
                </c:pt>
                <c:pt idx="332">
                  <c:v>0.30029639559587495</c:v>
                </c:pt>
                <c:pt idx="333">
                  <c:v>0.30021356796291676</c:v>
                </c:pt>
                <c:pt idx="334">
                  <c:v>0.30030315250376838</c:v>
                </c:pt>
                <c:pt idx="335">
                  <c:v>0.30043502764885061</c:v>
                </c:pt>
                <c:pt idx="336">
                  <c:v>0.30080378599052338</c:v>
                </c:pt>
                <c:pt idx="337">
                  <c:v>0.30108325128357627</c:v>
                </c:pt>
                <c:pt idx="338">
                  <c:v>0.30132067660712791</c:v>
                </c:pt>
                <c:pt idx="339">
                  <c:v>0.30140499955687111</c:v>
                </c:pt>
                <c:pt idx="340">
                  <c:v>0.3013111160621143</c:v>
                </c:pt>
                <c:pt idx="341">
                  <c:v>0.30105962276907877</c:v>
                </c:pt>
                <c:pt idx="342">
                  <c:v>0.30042045019466013</c:v>
                </c:pt>
                <c:pt idx="343">
                  <c:v>0.29971338468362735</c:v>
                </c:pt>
                <c:pt idx="344">
                  <c:v>0.29912696401056638</c:v>
                </c:pt>
                <c:pt idx="345">
                  <c:v>0.29829950413278022</c:v>
                </c:pt>
                <c:pt idx="346">
                  <c:v>0.29739740469753739</c:v>
                </c:pt>
                <c:pt idx="347">
                  <c:v>0.29636600550805509</c:v>
                </c:pt>
                <c:pt idx="348">
                  <c:v>0.29532574973509723</c:v>
                </c:pt>
                <c:pt idx="349">
                  <c:v>0.29492009619669657</c:v>
                </c:pt>
                <c:pt idx="350">
                  <c:v>0.29446189792591948</c:v>
                </c:pt>
                <c:pt idx="351">
                  <c:v>0.29407508955373457</c:v>
                </c:pt>
                <c:pt idx="352">
                  <c:v>0.29356813328064413</c:v>
                </c:pt>
                <c:pt idx="353">
                  <c:v>0.29317168216293971</c:v>
                </c:pt>
                <c:pt idx="354">
                  <c:v>0.29273459594645818</c:v>
                </c:pt>
                <c:pt idx="355">
                  <c:v>0.29238693506320096</c:v>
                </c:pt>
                <c:pt idx="356">
                  <c:v>0.29233106748246129</c:v>
                </c:pt>
                <c:pt idx="357">
                  <c:v>0.29235751335689403</c:v>
                </c:pt>
                <c:pt idx="358">
                  <c:v>0.29238062928702763</c:v>
                </c:pt>
                <c:pt idx="359">
                  <c:v>0.29246172554569849</c:v>
                </c:pt>
                <c:pt idx="360">
                  <c:v>0.29257979066274348</c:v>
                </c:pt>
                <c:pt idx="361">
                  <c:v>0.29344527720881836</c:v>
                </c:pt>
                <c:pt idx="362">
                  <c:v>0.29430228162981231</c:v>
                </c:pt>
                <c:pt idx="363">
                  <c:v>0.29514374255964448</c:v>
                </c:pt>
                <c:pt idx="364">
                  <c:v>0.29616657379924072</c:v>
                </c:pt>
                <c:pt idx="365">
                  <c:v>0.29704639028448526</c:v>
                </c:pt>
                <c:pt idx="366">
                  <c:v>0.29782279107214626</c:v>
                </c:pt>
                <c:pt idx="367">
                  <c:v>0.29838529374666134</c:v>
                </c:pt>
                <c:pt idx="368">
                  <c:v>0.29881652816268706</c:v>
                </c:pt>
                <c:pt idx="369">
                  <c:v>0.29956902431163573</c:v>
                </c:pt>
                <c:pt idx="370">
                  <c:v>0.30003018351816119</c:v>
                </c:pt>
                <c:pt idx="371">
                  <c:v>0.30002641331940794</c:v>
                </c:pt>
                <c:pt idx="372">
                  <c:v>0.30001801091750757</c:v>
                </c:pt>
                <c:pt idx="373">
                  <c:v>0.30008053892476177</c:v>
                </c:pt>
                <c:pt idx="374">
                  <c:v>0.30017658390722562</c:v>
                </c:pt>
                <c:pt idx="375">
                  <c:v>0.30024682257440333</c:v>
                </c:pt>
                <c:pt idx="376">
                  <c:v>0.3003144260468667</c:v>
                </c:pt>
                <c:pt idx="377">
                  <c:v>0.30032498002504071</c:v>
                </c:pt>
                <c:pt idx="378">
                  <c:v>0.30052141197258792</c:v>
                </c:pt>
                <c:pt idx="379">
                  <c:v>0.3005222547830676</c:v>
                </c:pt>
                <c:pt idx="380">
                  <c:v>0.30071358737953863</c:v>
                </c:pt>
                <c:pt idx="381">
                  <c:v>0.30071997405998546</c:v>
                </c:pt>
                <c:pt idx="382">
                  <c:v>0.30062347871453848</c:v>
                </c:pt>
                <c:pt idx="383">
                  <c:v>0.30025809167854617</c:v>
                </c:pt>
                <c:pt idx="384">
                  <c:v>0.30013749607738466</c:v>
                </c:pt>
                <c:pt idx="385">
                  <c:v>0.29999917803752191</c:v>
                </c:pt>
                <c:pt idx="386">
                  <c:v>0.29982808023520635</c:v>
                </c:pt>
                <c:pt idx="387">
                  <c:v>0.29978387579027088</c:v>
                </c:pt>
                <c:pt idx="388">
                  <c:v>0.29976776186553838</c:v>
                </c:pt>
                <c:pt idx="389">
                  <c:v>0.29978080039265637</c:v>
                </c:pt>
                <c:pt idx="390">
                  <c:v>0.29969029815475134</c:v>
                </c:pt>
                <c:pt idx="391">
                  <c:v>0.29960589880308386</c:v>
                </c:pt>
                <c:pt idx="392">
                  <c:v>0.29942267015858531</c:v>
                </c:pt>
                <c:pt idx="393">
                  <c:v>0.29933713878424878</c:v>
                </c:pt>
                <c:pt idx="394">
                  <c:v>0.29933572567404215</c:v>
                </c:pt>
                <c:pt idx="395">
                  <c:v>0.29922150962889038</c:v>
                </c:pt>
                <c:pt idx="396">
                  <c:v>0.29919910187270427</c:v>
                </c:pt>
                <c:pt idx="397">
                  <c:v>0.29925738541147184</c:v>
                </c:pt>
                <c:pt idx="398">
                  <c:v>0.29940765974603961</c:v>
                </c:pt>
                <c:pt idx="399">
                  <c:v>0.29957012871321359</c:v>
                </c:pt>
                <c:pt idx="400">
                  <c:v>0.29985983537796962</c:v>
                </c:pt>
                <c:pt idx="401">
                  <c:v>0.3001433005699134</c:v>
                </c:pt>
                <c:pt idx="402">
                  <c:v>0.30045132997318796</c:v>
                </c:pt>
                <c:pt idx="403">
                  <c:v>0.30082380509692064</c:v>
                </c:pt>
                <c:pt idx="404">
                  <c:v>0.30132772607296676</c:v>
                </c:pt>
                <c:pt idx="405">
                  <c:v>0.30161119662737079</c:v>
                </c:pt>
                <c:pt idx="406">
                  <c:v>0.30176726999035064</c:v>
                </c:pt>
                <c:pt idx="407">
                  <c:v>0.30205146312382236</c:v>
                </c:pt>
                <c:pt idx="408">
                  <c:v>0.30228651862045158</c:v>
                </c:pt>
                <c:pt idx="409">
                  <c:v>0.3026631340697602</c:v>
                </c:pt>
                <c:pt idx="410">
                  <c:v>0.30300593857655261</c:v>
                </c:pt>
                <c:pt idx="411">
                  <c:v>0.30339838838849897</c:v>
                </c:pt>
                <c:pt idx="412">
                  <c:v>0.30369966124300501</c:v>
                </c:pt>
                <c:pt idx="413">
                  <c:v>0.30397362120061178</c:v>
                </c:pt>
                <c:pt idx="414">
                  <c:v>0.30426172311638722</c:v>
                </c:pt>
                <c:pt idx="415">
                  <c:v>0.30471375764190983</c:v>
                </c:pt>
                <c:pt idx="416">
                  <c:v>0.30530301827474682</c:v>
                </c:pt>
                <c:pt idx="417">
                  <c:v>0.30568784125441939</c:v>
                </c:pt>
                <c:pt idx="418">
                  <c:v>0.30595878992173858</c:v>
                </c:pt>
                <c:pt idx="419">
                  <c:v>0.30614844258688401</c:v>
                </c:pt>
                <c:pt idx="420">
                  <c:v>0.30625885852383739</c:v>
                </c:pt>
                <c:pt idx="421">
                  <c:v>0.30632041263474902</c:v>
                </c:pt>
                <c:pt idx="422">
                  <c:v>0.3063476265570354</c:v>
                </c:pt>
                <c:pt idx="423">
                  <c:v>0.30638495199144961</c:v>
                </c:pt>
                <c:pt idx="424">
                  <c:v>0.30646317662419842</c:v>
                </c:pt>
                <c:pt idx="425">
                  <c:v>0.30659509452957262</c:v>
                </c:pt>
                <c:pt idx="426">
                  <c:v>0.30662901017692601</c:v>
                </c:pt>
                <c:pt idx="427">
                  <c:v>0.30657383037585922</c:v>
                </c:pt>
                <c:pt idx="428">
                  <c:v>0.30643266943273395</c:v>
                </c:pt>
                <c:pt idx="429">
                  <c:v>0.30626049219901957</c:v>
                </c:pt>
                <c:pt idx="430">
                  <c:v>0.30593210079831124</c:v>
                </c:pt>
                <c:pt idx="431">
                  <c:v>0.30571904700776936</c:v>
                </c:pt>
                <c:pt idx="432">
                  <c:v>0.30538360777427281</c:v>
                </c:pt>
                <c:pt idx="433">
                  <c:v>0.30504699106858701</c:v>
                </c:pt>
                <c:pt idx="434">
                  <c:v>0.30462446198495119</c:v>
                </c:pt>
                <c:pt idx="435">
                  <c:v>0.30414698828422138</c:v>
                </c:pt>
                <c:pt idx="436">
                  <c:v>0.30306752766285217</c:v>
                </c:pt>
                <c:pt idx="437">
                  <c:v>0.3019608486135516</c:v>
                </c:pt>
                <c:pt idx="438">
                  <c:v>0.30084353557936117</c:v>
                </c:pt>
                <c:pt idx="439">
                  <c:v>0.2995151479913814</c:v>
                </c:pt>
                <c:pt idx="440">
                  <c:v>0.29803792180458083</c:v>
                </c:pt>
                <c:pt idx="441">
                  <c:v>0.29670519916806015</c:v>
                </c:pt>
                <c:pt idx="442">
                  <c:v>0.29544450071544881</c:v>
                </c:pt>
                <c:pt idx="443">
                  <c:v>0.29426614153875558</c:v>
                </c:pt>
                <c:pt idx="444">
                  <c:v>0.29250900405255165</c:v>
                </c:pt>
                <c:pt idx="445">
                  <c:v>0.29080950891846979</c:v>
                </c:pt>
                <c:pt idx="446">
                  <c:v>0.28949837555612223</c:v>
                </c:pt>
                <c:pt idx="447">
                  <c:v>0.288379246441541</c:v>
                </c:pt>
                <c:pt idx="448">
                  <c:v>0.28720278305264457</c:v>
                </c:pt>
                <c:pt idx="449">
                  <c:v>0.28583409548743821</c:v>
                </c:pt>
                <c:pt idx="450">
                  <c:v>0.28474239958009961</c:v>
                </c:pt>
                <c:pt idx="451">
                  <c:v>0.28375356221969661</c:v>
                </c:pt>
                <c:pt idx="452">
                  <c:v>0.28311247216753599</c:v>
                </c:pt>
                <c:pt idx="453">
                  <c:v>0.28178707742401299</c:v>
                </c:pt>
                <c:pt idx="454">
                  <c:v>0.2812977900160748</c:v>
                </c:pt>
                <c:pt idx="455">
                  <c:v>0.28125614607431199</c:v>
                </c:pt>
                <c:pt idx="456">
                  <c:v>0.28093201665327777</c:v>
                </c:pt>
                <c:pt idx="457">
                  <c:v>0.28055045128643358</c:v>
                </c:pt>
                <c:pt idx="458">
                  <c:v>0.28036552907692597</c:v>
                </c:pt>
                <c:pt idx="459">
                  <c:v>0.27990516923878905</c:v>
                </c:pt>
                <c:pt idx="460">
                  <c:v>0.27945820360799872</c:v>
                </c:pt>
                <c:pt idx="461">
                  <c:v>0.27922745077794869</c:v>
                </c:pt>
                <c:pt idx="462">
                  <c:v>0.27919743584313</c:v>
                </c:pt>
                <c:pt idx="463">
                  <c:v>0.27922299271938295</c:v>
                </c:pt>
                <c:pt idx="464">
                  <c:v>0.27910362469709582</c:v>
                </c:pt>
                <c:pt idx="465">
                  <c:v>0.27873720822606446</c:v>
                </c:pt>
                <c:pt idx="466">
                  <c:v>0.27878502639509589</c:v>
                </c:pt>
                <c:pt idx="467">
                  <c:v>0.27923963263389273</c:v>
                </c:pt>
                <c:pt idx="468">
                  <c:v>0.27966038374867536</c:v>
                </c:pt>
                <c:pt idx="469">
                  <c:v>0.28011046779307214</c:v>
                </c:pt>
                <c:pt idx="470">
                  <c:v>0.28049615486585477</c:v>
                </c:pt>
                <c:pt idx="471">
                  <c:v>0.2810006739980716</c:v>
                </c:pt>
                <c:pt idx="472">
                  <c:v>0.28180161969247858</c:v>
                </c:pt>
                <c:pt idx="473">
                  <c:v>0.28249535122526537</c:v>
                </c:pt>
                <c:pt idx="474">
                  <c:v>0.28319794867939302</c:v>
                </c:pt>
                <c:pt idx="475">
                  <c:v>0.2839851331536084</c:v>
                </c:pt>
                <c:pt idx="476">
                  <c:v>0.28462403556087462</c:v>
                </c:pt>
                <c:pt idx="477">
                  <c:v>0.2851467752082012</c:v>
                </c:pt>
                <c:pt idx="478">
                  <c:v>0.2858766315665518</c:v>
                </c:pt>
                <c:pt idx="479">
                  <c:v>0.28673991314804559</c:v>
                </c:pt>
                <c:pt idx="480">
                  <c:v>0.287529973191813</c:v>
                </c:pt>
                <c:pt idx="481">
                  <c:v>0.28827983011879738</c:v>
                </c:pt>
                <c:pt idx="482">
                  <c:v>0.28876167519270901</c:v>
                </c:pt>
                <c:pt idx="483">
                  <c:v>0.28913562303257301</c:v>
                </c:pt>
                <c:pt idx="484">
                  <c:v>0.28930050598372303</c:v>
                </c:pt>
                <c:pt idx="485">
                  <c:v>0.2894572547964952</c:v>
                </c:pt>
                <c:pt idx="486">
                  <c:v>0.2895418258228028</c:v>
                </c:pt>
                <c:pt idx="487">
                  <c:v>0.28960888818190722</c:v>
                </c:pt>
                <c:pt idx="488">
                  <c:v>0.28961401235008</c:v>
                </c:pt>
                <c:pt idx="489">
                  <c:v>0.28961945877978801</c:v>
                </c:pt>
                <c:pt idx="490">
                  <c:v>0.28948754282170963</c:v>
                </c:pt>
                <c:pt idx="491">
                  <c:v>0.28920370090228059</c:v>
                </c:pt>
                <c:pt idx="492">
                  <c:v>0.28899691657060023</c:v>
                </c:pt>
                <c:pt idx="493">
                  <c:v>0.28885560389381043</c:v>
                </c:pt>
                <c:pt idx="494">
                  <c:v>0.28865756527994557</c:v>
                </c:pt>
                <c:pt idx="495">
                  <c:v>0.2885102603416238</c:v>
                </c:pt>
                <c:pt idx="496">
                  <c:v>0.28832831307209122</c:v>
                </c:pt>
                <c:pt idx="497">
                  <c:v>0.28799920082094649</c:v>
                </c:pt>
                <c:pt idx="498">
                  <c:v>0.28775677170860736</c:v>
                </c:pt>
                <c:pt idx="499">
                  <c:v>0.28739369789730945</c:v>
                </c:pt>
                <c:pt idx="500">
                  <c:v>0.28687395909426505</c:v>
                </c:pt>
                <c:pt idx="501">
                  <c:v>0.28638944718710174</c:v>
                </c:pt>
                <c:pt idx="502">
                  <c:v>0.28595809639504521</c:v>
                </c:pt>
                <c:pt idx="503">
                  <c:v>0.28565398325628849</c:v>
                </c:pt>
                <c:pt idx="504">
                  <c:v>0.28560759891704945</c:v>
                </c:pt>
                <c:pt idx="505">
                  <c:v>0.28572476081664178</c:v>
                </c:pt>
                <c:pt idx="506">
                  <c:v>0.28570032278728696</c:v>
                </c:pt>
                <c:pt idx="507">
                  <c:v>0.28593209223655353</c:v>
                </c:pt>
                <c:pt idx="508">
                  <c:v>0.28631247986264635</c:v>
                </c:pt>
                <c:pt idx="509">
                  <c:v>0.28655939235179528</c:v>
                </c:pt>
                <c:pt idx="510">
                  <c:v>0.28696258011911197</c:v>
                </c:pt>
                <c:pt idx="511">
                  <c:v>0.28735854797539856</c:v>
                </c:pt>
                <c:pt idx="512">
                  <c:v>0.28786613069264155</c:v>
                </c:pt>
                <c:pt idx="513">
                  <c:v>0.28831135719164791</c:v>
                </c:pt>
                <c:pt idx="514">
                  <c:v>0.28904661166567608</c:v>
                </c:pt>
                <c:pt idx="515">
                  <c:v>0.28972410564618822</c:v>
                </c:pt>
                <c:pt idx="516">
                  <c:v>0.29037249429686957</c:v>
                </c:pt>
                <c:pt idx="517">
                  <c:v>0.29109965796846882</c:v>
                </c:pt>
                <c:pt idx="518">
                  <c:v>0.29168349024421031</c:v>
                </c:pt>
                <c:pt idx="519">
                  <c:v>0.29227869635760834</c:v>
                </c:pt>
                <c:pt idx="520">
                  <c:v>0.29284489025010424</c:v>
                </c:pt>
                <c:pt idx="521">
                  <c:v>0.29327537751659027</c:v>
                </c:pt>
                <c:pt idx="522">
                  <c:v>0.29382070060463727</c:v>
                </c:pt>
                <c:pt idx="523">
                  <c:v>0.29411897602206405</c:v>
                </c:pt>
                <c:pt idx="524">
                  <c:v>0.29410894598274895</c:v>
                </c:pt>
                <c:pt idx="525">
                  <c:v>0.29399202741706343</c:v>
                </c:pt>
                <c:pt idx="526">
                  <c:v>0.29385875443856696</c:v>
                </c:pt>
                <c:pt idx="527">
                  <c:v>0.29371508380559208</c:v>
                </c:pt>
                <c:pt idx="528">
                  <c:v>0.29351204448643442</c:v>
                </c:pt>
                <c:pt idx="529">
                  <c:v>0.29334051289543273</c:v>
                </c:pt>
                <c:pt idx="530">
                  <c:v>0.29324815444424868</c:v>
                </c:pt>
                <c:pt idx="531">
                  <c:v>0.29319117957459728</c:v>
                </c:pt>
                <c:pt idx="532">
                  <c:v>0.29314054745172902</c:v>
                </c:pt>
                <c:pt idx="533">
                  <c:v>0.29324215207501458</c:v>
                </c:pt>
                <c:pt idx="534">
                  <c:v>0.293351448049956</c:v>
                </c:pt>
                <c:pt idx="535">
                  <c:v>0.29334733763627063</c:v>
                </c:pt>
                <c:pt idx="536">
                  <c:v>0.29334731180470941</c:v>
                </c:pt>
                <c:pt idx="537">
                  <c:v>0.29340378644937726</c:v>
                </c:pt>
                <c:pt idx="538">
                  <c:v>0.29346838861887775</c:v>
                </c:pt>
                <c:pt idx="539">
                  <c:v>0.29349585496377201</c:v>
                </c:pt>
                <c:pt idx="540">
                  <c:v>0.29349576619596884</c:v>
                </c:pt>
                <c:pt idx="541">
                  <c:v>0.29354554018820495</c:v>
                </c:pt>
                <c:pt idx="542">
                  <c:v>0.29357029857547406</c:v>
                </c:pt>
                <c:pt idx="543">
                  <c:v>0.29358734972762807</c:v>
                </c:pt>
                <c:pt idx="544">
                  <c:v>0.29355347190894887</c:v>
                </c:pt>
                <c:pt idx="545">
                  <c:v>0.2934681977599285</c:v>
                </c:pt>
                <c:pt idx="546">
                  <c:v>0.29342973467187788</c:v>
                </c:pt>
                <c:pt idx="547">
                  <c:v>0.29338161246412908</c:v>
                </c:pt>
                <c:pt idx="548">
                  <c:v>0.29339286838138556</c:v>
                </c:pt>
                <c:pt idx="549">
                  <c:v>0.29339424106658751</c:v>
                </c:pt>
                <c:pt idx="550">
                  <c:v>0.29343314903894108</c:v>
                </c:pt>
                <c:pt idx="551">
                  <c:v>0.2935299705912966</c:v>
                </c:pt>
                <c:pt idx="552">
                  <c:v>0.29373149662957676</c:v>
                </c:pt>
                <c:pt idx="553">
                  <c:v>0.29379577735713158</c:v>
                </c:pt>
                <c:pt idx="554">
                  <c:v>0.2937768327992526</c:v>
                </c:pt>
                <c:pt idx="555">
                  <c:v>0.2939161556552084</c:v>
                </c:pt>
                <c:pt idx="556">
                  <c:v>0.29407107843737768</c:v>
                </c:pt>
                <c:pt idx="557">
                  <c:v>0.29454584562841757</c:v>
                </c:pt>
                <c:pt idx="558">
                  <c:v>0.29518963592104464</c:v>
                </c:pt>
                <c:pt idx="559">
                  <c:v>0.29574350857134662</c:v>
                </c:pt>
                <c:pt idx="560">
                  <c:v>0.29679888267722104</c:v>
                </c:pt>
                <c:pt idx="561">
                  <c:v>0.29749740882750475</c:v>
                </c:pt>
                <c:pt idx="562">
                  <c:v>0.29815431363081119</c:v>
                </c:pt>
                <c:pt idx="563">
                  <c:v>0.29826014524538508</c:v>
                </c:pt>
                <c:pt idx="564">
                  <c:v>0.29834474133824529</c:v>
                </c:pt>
                <c:pt idx="565">
                  <c:v>0.29859649479722833</c:v>
                </c:pt>
                <c:pt idx="566">
                  <c:v>0.29895495063542332</c:v>
                </c:pt>
                <c:pt idx="567">
                  <c:v>0.29945873246652094</c:v>
                </c:pt>
                <c:pt idx="568">
                  <c:v>0.29977545583814913</c:v>
                </c:pt>
                <c:pt idx="569">
                  <c:v>0.29992208913853224</c:v>
                </c:pt>
                <c:pt idx="570">
                  <c:v>0.29998630501040902</c:v>
                </c:pt>
                <c:pt idx="571">
                  <c:v>0.30001215477126902</c:v>
                </c:pt>
                <c:pt idx="572">
                  <c:v>0.30011566203418188</c:v>
                </c:pt>
                <c:pt idx="573">
                  <c:v>0.30021662460964538</c:v>
                </c:pt>
                <c:pt idx="574">
                  <c:v>0.30028108072836202</c:v>
                </c:pt>
                <c:pt idx="575">
                  <c:v>0.30026111747370121</c:v>
                </c:pt>
                <c:pt idx="576">
                  <c:v>0.29996736955817899</c:v>
                </c:pt>
                <c:pt idx="577">
                  <c:v>0.29978584340282005</c:v>
                </c:pt>
                <c:pt idx="578">
                  <c:v>0.29982298761562876</c:v>
                </c:pt>
                <c:pt idx="579">
                  <c:v>0.30009594127103045</c:v>
                </c:pt>
                <c:pt idx="580">
                  <c:v>0.30056941986815733</c:v>
                </c:pt>
                <c:pt idx="581">
                  <c:v>0.30097963795968863</c:v>
                </c:pt>
                <c:pt idx="582">
                  <c:v>0.30122788677959172</c:v>
                </c:pt>
                <c:pt idx="583">
                  <c:v>0.30147840895488331</c:v>
                </c:pt>
                <c:pt idx="584">
                  <c:v>0.30158398523170382</c:v>
                </c:pt>
                <c:pt idx="585">
                  <c:v>0.30159038314357595</c:v>
                </c:pt>
                <c:pt idx="586">
                  <c:v>0.30160169757889926</c:v>
                </c:pt>
                <c:pt idx="587">
                  <c:v>0.3016638686900931</c:v>
                </c:pt>
                <c:pt idx="588">
                  <c:v>0.30195185620202736</c:v>
                </c:pt>
                <c:pt idx="589">
                  <c:v>0.30188998486491486</c:v>
                </c:pt>
                <c:pt idx="590">
                  <c:v>0.30182418932694527</c:v>
                </c:pt>
                <c:pt idx="591">
                  <c:v>0.30178339742402904</c:v>
                </c:pt>
                <c:pt idx="592">
                  <c:v>0.30158552453023019</c:v>
                </c:pt>
                <c:pt idx="593">
                  <c:v>0.30154075795822433</c:v>
                </c:pt>
                <c:pt idx="594">
                  <c:v>0.30143368224793554</c:v>
                </c:pt>
                <c:pt idx="595">
                  <c:v>0.30130186209123194</c:v>
                </c:pt>
                <c:pt idx="596">
                  <c:v>0.30128692604625817</c:v>
                </c:pt>
                <c:pt idx="597">
                  <c:v>0.30112949308267112</c:v>
                </c:pt>
                <c:pt idx="598">
                  <c:v>0.30115304521399261</c:v>
                </c:pt>
                <c:pt idx="599">
                  <c:v>0.30129818067274594</c:v>
                </c:pt>
                <c:pt idx="600">
                  <c:v>0.30140969453866939</c:v>
                </c:pt>
                <c:pt idx="601">
                  <c:v>0.30152834457010697</c:v>
                </c:pt>
                <c:pt idx="602">
                  <c:v>0.30183780002339328</c:v>
                </c:pt>
                <c:pt idx="603">
                  <c:v>0.30188021760905737</c:v>
                </c:pt>
                <c:pt idx="604">
                  <c:v>0.30173727113938698</c:v>
                </c:pt>
                <c:pt idx="605">
                  <c:v>0.30176601946368242</c:v>
                </c:pt>
                <c:pt idx="606">
                  <c:v>0.30157707149913315</c:v>
                </c:pt>
                <c:pt idx="607">
                  <c:v>0.30157887006953532</c:v>
                </c:pt>
                <c:pt idx="608">
                  <c:v>0.3014516236631084</c:v>
                </c:pt>
                <c:pt idx="609">
                  <c:v>0.30116146649318476</c:v>
                </c:pt>
                <c:pt idx="610">
                  <c:v>0.30112379288746377</c:v>
                </c:pt>
                <c:pt idx="611">
                  <c:v>0.30122334166010079</c:v>
                </c:pt>
                <c:pt idx="612">
                  <c:v>0.30156192585726815</c:v>
                </c:pt>
                <c:pt idx="613">
                  <c:v>0.30190608034186223</c:v>
                </c:pt>
                <c:pt idx="614">
                  <c:v>0.30249323100679926</c:v>
                </c:pt>
                <c:pt idx="615">
                  <c:v>0.3029550542429762</c:v>
                </c:pt>
                <c:pt idx="616">
                  <c:v>0.30339874101748421</c:v>
                </c:pt>
                <c:pt idx="617">
                  <c:v>0.30336699808178025</c:v>
                </c:pt>
                <c:pt idx="618">
                  <c:v>0.3034854403686495</c:v>
                </c:pt>
                <c:pt idx="619">
                  <c:v>0.30344419379863069</c:v>
                </c:pt>
                <c:pt idx="620">
                  <c:v>0.30400832782134224</c:v>
                </c:pt>
                <c:pt idx="621">
                  <c:v>0.30442449667455673</c:v>
                </c:pt>
                <c:pt idx="622">
                  <c:v>0.30522631431825875</c:v>
                </c:pt>
                <c:pt idx="623">
                  <c:v>0.30570447249267085</c:v>
                </c:pt>
                <c:pt idx="624">
                  <c:v>0.30610408261799743</c:v>
                </c:pt>
                <c:pt idx="625">
                  <c:v>0.3064133858321661</c:v>
                </c:pt>
                <c:pt idx="626">
                  <c:v>0.30634553982578</c:v>
                </c:pt>
                <c:pt idx="627">
                  <c:v>0.30640953408263499</c:v>
                </c:pt>
                <c:pt idx="628">
                  <c:v>0.30639094719004778</c:v>
                </c:pt>
                <c:pt idx="629">
                  <c:v>0.30638038254905098</c:v>
                </c:pt>
                <c:pt idx="630">
                  <c:v>0.30640772357484852</c:v>
                </c:pt>
                <c:pt idx="631">
                  <c:v>0.30646646980401426</c:v>
                </c:pt>
                <c:pt idx="632">
                  <c:v>0.30655085666275156</c:v>
                </c:pt>
                <c:pt idx="633">
                  <c:v>0.30655757018558416</c:v>
                </c:pt>
                <c:pt idx="634">
                  <c:v>0.30661675379617986</c:v>
                </c:pt>
                <c:pt idx="635">
                  <c:v>0.30643341323466694</c:v>
                </c:pt>
                <c:pt idx="636">
                  <c:v>0.30637076079029646</c:v>
                </c:pt>
                <c:pt idx="637">
                  <c:v>0.30629393261556259</c:v>
                </c:pt>
                <c:pt idx="638">
                  <c:v>0.30638567342797701</c:v>
                </c:pt>
                <c:pt idx="639">
                  <c:v>0.30651619651501122</c:v>
                </c:pt>
                <c:pt idx="640">
                  <c:v>0.30679139888894563</c:v>
                </c:pt>
                <c:pt idx="641">
                  <c:v>0.30720901488288521</c:v>
                </c:pt>
                <c:pt idx="642">
                  <c:v>0.30752951427568243</c:v>
                </c:pt>
                <c:pt idx="643">
                  <c:v>0.30792326698124739</c:v>
                </c:pt>
                <c:pt idx="644">
                  <c:v>0.30842862514179248</c:v>
                </c:pt>
                <c:pt idx="645">
                  <c:v>0.30898742379277183</c:v>
                </c:pt>
                <c:pt idx="646">
                  <c:v>0.30932779126639692</c:v>
                </c:pt>
                <c:pt idx="647">
                  <c:v>0.30975690930680466</c:v>
                </c:pt>
                <c:pt idx="648">
                  <c:v>0.31005806208687703</c:v>
                </c:pt>
                <c:pt idx="649">
                  <c:v>0.31026869452148054</c:v>
                </c:pt>
                <c:pt idx="650">
                  <c:v>0.31039554343862241</c:v>
                </c:pt>
                <c:pt idx="651">
                  <c:v>0.3104765327626936</c:v>
                </c:pt>
                <c:pt idx="652">
                  <c:v>0.31066235596939501</c:v>
                </c:pt>
                <c:pt idx="653">
                  <c:v>0.31073457685335398</c:v>
                </c:pt>
                <c:pt idx="654">
                  <c:v>0.31080208477607318</c:v>
                </c:pt>
                <c:pt idx="655">
                  <c:v>0.3109264988734628</c:v>
                </c:pt>
                <c:pt idx="656">
                  <c:v>0.31084670450975177</c:v>
                </c:pt>
                <c:pt idx="657">
                  <c:v>0.31085415792944243</c:v>
                </c:pt>
                <c:pt idx="658">
                  <c:v>0.31080494666430819</c:v>
                </c:pt>
                <c:pt idx="659">
                  <c:v>0.31075989039377699</c:v>
                </c:pt>
                <c:pt idx="660">
                  <c:v>0.31075931715991578</c:v>
                </c:pt>
                <c:pt idx="661">
                  <c:v>0.3107615435072284</c:v>
                </c:pt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  <c:pt idx="0">
                  <c:v>0.28157826737319552</c:v>
                </c:pt>
                <c:pt idx="1">
                  <c:v>0.2813460609505144</c:v>
                </c:pt>
                <c:pt idx="2">
                  <c:v>0.2811924467707666</c:v>
                </c:pt>
                <c:pt idx="3">
                  <c:v>0.28100036996847033</c:v>
                </c:pt>
                <c:pt idx="4">
                  <c:v>0.28054910609024425</c:v>
                </c:pt>
                <c:pt idx="5">
                  <c:v>0.28023886428946942</c:v>
                </c:pt>
                <c:pt idx="6">
                  <c:v>0.27987269628438022</c:v>
                </c:pt>
                <c:pt idx="7">
                  <c:v>0.27961909361140724</c:v>
                </c:pt>
                <c:pt idx="8">
                  <c:v>0.2790589871783572</c:v>
                </c:pt>
                <c:pt idx="9">
                  <c:v>0.2785986326609059</c:v>
                </c:pt>
                <c:pt idx="10">
                  <c:v>0.27826123976933881</c:v>
                </c:pt>
                <c:pt idx="11">
                  <c:v>0.2777442559615762</c:v>
                </c:pt>
                <c:pt idx="12">
                  <c:v>0.27753489461060299</c:v>
                </c:pt>
                <c:pt idx="13">
                  <c:v>0.2775452060278743</c:v>
                </c:pt>
                <c:pt idx="14">
                  <c:v>0.27734599285049993</c:v>
                </c:pt>
                <c:pt idx="15">
                  <c:v>0.27709028828633386</c:v>
                </c:pt>
                <c:pt idx="16">
                  <c:v>0.27680349658486686</c:v>
                </c:pt>
                <c:pt idx="17">
                  <c:v>0.27635676528449071</c:v>
                </c:pt>
                <c:pt idx="18">
                  <c:v>0.27575642979926462</c:v>
                </c:pt>
                <c:pt idx="19">
                  <c:v>0.27531416972394673</c:v>
                </c:pt>
                <c:pt idx="20">
                  <c:v>0.27484784504322296</c:v>
                </c:pt>
                <c:pt idx="21">
                  <c:v>0.27455849883139333</c:v>
                </c:pt>
                <c:pt idx="22">
                  <c:v>0.27440633863961006</c:v>
                </c:pt>
                <c:pt idx="23">
                  <c:v>0.27418050458763477</c:v>
                </c:pt>
                <c:pt idx="24">
                  <c:v>0.27402703291458319</c:v>
                </c:pt>
                <c:pt idx="25">
                  <c:v>0.27372958128760394</c:v>
                </c:pt>
                <c:pt idx="26">
                  <c:v>0.27357043597438868</c:v>
                </c:pt>
                <c:pt idx="27">
                  <c:v>0.27321703970054312</c:v>
                </c:pt>
                <c:pt idx="28">
                  <c:v>0.27289488129122119</c:v>
                </c:pt>
                <c:pt idx="29">
                  <c:v>0.27279621286175715</c:v>
                </c:pt>
                <c:pt idx="30">
                  <c:v>0.27260408055035634</c:v>
                </c:pt>
                <c:pt idx="31">
                  <c:v>0.27255906501749616</c:v>
                </c:pt>
                <c:pt idx="32">
                  <c:v>0.27254551136647048</c:v>
                </c:pt>
                <c:pt idx="33">
                  <c:v>0.27248358601132705</c:v>
                </c:pt>
                <c:pt idx="34">
                  <c:v>0.27232599135338531</c:v>
                </c:pt>
                <c:pt idx="35">
                  <c:v>0.2721889041946674</c:v>
                </c:pt>
                <c:pt idx="36">
                  <c:v>0.27209775811581138</c:v>
                </c:pt>
                <c:pt idx="37">
                  <c:v>0.27211093745719195</c:v>
                </c:pt>
                <c:pt idx="38">
                  <c:v>0.27211455105160742</c:v>
                </c:pt>
                <c:pt idx="39">
                  <c:v>0.2721404289873669</c:v>
                </c:pt>
                <c:pt idx="40">
                  <c:v>0.27218782869161062</c:v>
                </c:pt>
                <c:pt idx="41">
                  <c:v>0.2722376607082389</c:v>
                </c:pt>
                <c:pt idx="42">
                  <c:v>0.27224025710645067</c:v>
                </c:pt>
                <c:pt idx="43">
                  <c:v>0.27226592870792915</c:v>
                </c:pt>
                <c:pt idx="44">
                  <c:v>0.27226731086046796</c:v>
                </c:pt>
                <c:pt idx="45">
                  <c:v>0.27219018117921889</c:v>
                </c:pt>
                <c:pt idx="46">
                  <c:v>0.27218366705601005</c:v>
                </c:pt>
                <c:pt idx="47">
                  <c:v>0.27193302330535662</c:v>
                </c:pt>
                <c:pt idx="48">
                  <c:v>0.27178024929540023</c:v>
                </c:pt>
                <c:pt idx="49">
                  <c:v>0.27152133518695276</c:v>
                </c:pt>
                <c:pt idx="50">
                  <c:v>0.27135790179014552</c:v>
                </c:pt>
                <c:pt idx="51">
                  <c:v>0.27124784080723063</c:v>
                </c:pt>
                <c:pt idx="52">
                  <c:v>0.27105229457749741</c:v>
                </c:pt>
                <c:pt idx="53">
                  <c:v>0.27051876776297007</c:v>
                </c:pt>
                <c:pt idx="54">
                  <c:v>0.27032740140555983</c:v>
                </c:pt>
                <c:pt idx="55">
                  <c:v>0.27019575873034096</c:v>
                </c:pt>
                <c:pt idx="56">
                  <c:v>0.27020920543849475</c:v>
                </c:pt>
                <c:pt idx="57">
                  <c:v>0.2704110023461439</c:v>
                </c:pt>
                <c:pt idx="58">
                  <c:v>0.27014035308326767</c:v>
                </c:pt>
                <c:pt idx="59">
                  <c:v>0.27045365008373984</c:v>
                </c:pt>
                <c:pt idx="60">
                  <c:v>0.27094017209435928</c:v>
                </c:pt>
                <c:pt idx="61">
                  <c:v>0.27090385636121889</c:v>
                </c:pt>
                <c:pt idx="62">
                  <c:v>0.27120445142057609</c:v>
                </c:pt>
                <c:pt idx="63">
                  <c:v>0.27155216787702813</c:v>
                </c:pt>
                <c:pt idx="64">
                  <c:v>0.2719937197136949</c:v>
                </c:pt>
                <c:pt idx="65">
                  <c:v>0.27202045252697443</c:v>
                </c:pt>
                <c:pt idx="66">
                  <c:v>0.27204090825337673</c:v>
                </c:pt>
                <c:pt idx="67">
                  <c:v>0.27169725151021468</c:v>
                </c:pt>
                <c:pt idx="68">
                  <c:v>0.2711311117063594</c:v>
                </c:pt>
                <c:pt idx="69">
                  <c:v>0.27102381101462847</c:v>
                </c:pt>
                <c:pt idx="70">
                  <c:v>0.27092259981106381</c:v>
                </c:pt>
                <c:pt idx="71">
                  <c:v>0.27090947740289339</c:v>
                </c:pt>
                <c:pt idx="72">
                  <c:v>0.27086451822797575</c:v>
                </c:pt>
                <c:pt idx="73">
                  <c:v>0.27090263912382451</c:v>
                </c:pt>
                <c:pt idx="74">
                  <c:v>0.27058420470330014</c:v>
                </c:pt>
                <c:pt idx="75">
                  <c:v>0.27017189006393716</c:v>
                </c:pt>
                <c:pt idx="76">
                  <c:v>0.2696315226834532</c:v>
                </c:pt>
                <c:pt idx="77">
                  <c:v>0.26910462298456694</c:v>
                </c:pt>
                <c:pt idx="78">
                  <c:v>0.26829171951987579</c:v>
                </c:pt>
                <c:pt idx="79">
                  <c:v>0.26810157086252107</c:v>
                </c:pt>
                <c:pt idx="80">
                  <c:v>0.26775650447956145</c:v>
                </c:pt>
                <c:pt idx="81">
                  <c:v>0.26734513204062871</c:v>
                </c:pt>
                <c:pt idx="82">
                  <c:v>0.26674762249481582</c:v>
                </c:pt>
                <c:pt idx="83">
                  <c:v>0.2664755152037489</c:v>
                </c:pt>
                <c:pt idx="84">
                  <c:v>0.26634013011741614</c:v>
                </c:pt>
                <c:pt idx="85">
                  <c:v>0.26629033878050318</c:v>
                </c:pt>
                <c:pt idx="86">
                  <c:v>0.26639274485794906</c:v>
                </c:pt>
                <c:pt idx="87">
                  <c:v>0.26638392399209648</c:v>
                </c:pt>
                <c:pt idx="88">
                  <c:v>0.26629006129904165</c:v>
                </c:pt>
                <c:pt idx="89">
                  <c:v>0.26626743510100181</c:v>
                </c:pt>
                <c:pt idx="90">
                  <c:v>0.26620370225241768</c:v>
                </c:pt>
                <c:pt idx="91">
                  <c:v>0.26616320305076235</c:v>
                </c:pt>
                <c:pt idx="92">
                  <c:v>0.26619618463405248</c:v>
                </c:pt>
                <c:pt idx="93">
                  <c:v>0.26642031342587419</c:v>
                </c:pt>
                <c:pt idx="94">
                  <c:v>0.26661204267097904</c:v>
                </c:pt>
                <c:pt idx="95">
                  <c:v>0.26688495434691206</c:v>
                </c:pt>
                <c:pt idx="96">
                  <c:v>0.26705367502372401</c:v>
                </c:pt>
                <c:pt idx="97">
                  <c:v>0.26712882990073283</c:v>
                </c:pt>
                <c:pt idx="98">
                  <c:v>0.26726267307628104</c:v>
                </c:pt>
                <c:pt idx="99">
                  <c:v>0.26737755028322463</c:v>
                </c:pt>
                <c:pt idx="100">
                  <c:v>0.26760615298745888</c:v>
                </c:pt>
                <c:pt idx="101">
                  <c:v>0.26775268783929174</c:v>
                </c:pt>
                <c:pt idx="102">
                  <c:v>0.26796022515410456</c:v>
                </c:pt>
                <c:pt idx="103">
                  <c:v>0.26812660917723496</c:v>
                </c:pt>
                <c:pt idx="104">
                  <c:v>0.2682754073227207</c:v>
                </c:pt>
                <c:pt idx="105">
                  <c:v>0.26846702074098117</c:v>
                </c:pt>
                <c:pt idx="106">
                  <c:v>0.26852109359650583</c:v>
                </c:pt>
                <c:pt idx="107">
                  <c:v>0.26855076392508287</c:v>
                </c:pt>
                <c:pt idx="108">
                  <c:v>0.26863065512234507</c:v>
                </c:pt>
                <c:pt idx="109">
                  <c:v>0.26879905901170176</c:v>
                </c:pt>
                <c:pt idx="110">
                  <c:v>0.26894664195421214</c:v>
                </c:pt>
                <c:pt idx="111">
                  <c:v>0.26901983048548939</c:v>
                </c:pt>
                <c:pt idx="112">
                  <c:v>0.26895782362782028</c:v>
                </c:pt>
                <c:pt idx="113">
                  <c:v>0.26892517492452289</c:v>
                </c:pt>
                <c:pt idx="114">
                  <c:v>0.26894277721690207</c:v>
                </c:pt>
                <c:pt idx="115">
                  <c:v>0.26896741498680626</c:v>
                </c:pt>
                <c:pt idx="116">
                  <c:v>0.26894943655994563</c:v>
                </c:pt>
                <c:pt idx="117">
                  <c:v>0.26892924805702723</c:v>
                </c:pt>
                <c:pt idx="118">
                  <c:v>0.26880253689590944</c:v>
                </c:pt>
                <c:pt idx="119">
                  <c:v>0.26878962132338052</c:v>
                </c:pt>
                <c:pt idx="120">
                  <c:v>0.26889817569537261</c:v>
                </c:pt>
                <c:pt idx="121">
                  <c:v>0.26888942959163481</c:v>
                </c:pt>
                <c:pt idx="122">
                  <c:v>0.26909784595354141</c:v>
                </c:pt>
                <c:pt idx="123">
                  <c:v>0.26919177787020238</c:v>
                </c:pt>
                <c:pt idx="124">
                  <c:v>0.26944558812926728</c:v>
                </c:pt>
                <c:pt idx="125">
                  <c:v>0.26957430924207371</c:v>
                </c:pt>
                <c:pt idx="126">
                  <c:v>0.2696422989991123</c:v>
                </c:pt>
                <c:pt idx="127">
                  <c:v>0.2698427249153717</c:v>
                </c:pt>
                <c:pt idx="128">
                  <c:v>0.27044626217385176</c:v>
                </c:pt>
                <c:pt idx="129">
                  <c:v>0.27074036260701523</c:v>
                </c:pt>
                <c:pt idx="130">
                  <c:v>0.27106262413182936</c:v>
                </c:pt>
                <c:pt idx="131">
                  <c:v>0.27142844230631241</c:v>
                </c:pt>
                <c:pt idx="132">
                  <c:v>0.27138125076383179</c:v>
                </c:pt>
                <c:pt idx="133">
                  <c:v>0.2715545327676448</c:v>
                </c:pt>
                <c:pt idx="134">
                  <c:v>0.27161112417525524</c:v>
                </c:pt>
                <c:pt idx="135">
                  <c:v>0.27182888209929673</c:v>
                </c:pt>
                <c:pt idx="136">
                  <c:v>0.27238318439361792</c:v>
                </c:pt>
                <c:pt idx="137">
                  <c:v>0.27260620146868764</c:v>
                </c:pt>
                <c:pt idx="138">
                  <c:v>0.2729543188024865</c:v>
                </c:pt>
                <c:pt idx="139">
                  <c:v>0.27346252181520964</c:v>
                </c:pt>
                <c:pt idx="140">
                  <c:v>0.27377751032093789</c:v>
                </c:pt>
                <c:pt idx="141">
                  <c:v>0.27413837217165349</c:v>
                </c:pt>
                <c:pt idx="142">
                  <c:v>0.27499270218691735</c:v>
                </c:pt>
                <c:pt idx="143">
                  <c:v>0.27625496044305908</c:v>
                </c:pt>
                <c:pt idx="144">
                  <c:v>0.2770267471555376</c:v>
                </c:pt>
                <c:pt idx="145">
                  <c:v>0.27783338872977426</c:v>
                </c:pt>
                <c:pt idx="146">
                  <c:v>0.2784169767585466</c:v>
                </c:pt>
                <c:pt idx="147">
                  <c:v>0.27916633346324898</c:v>
                </c:pt>
                <c:pt idx="148">
                  <c:v>0.27962671469951084</c:v>
                </c:pt>
                <c:pt idx="149">
                  <c:v>0.27964775805485226</c:v>
                </c:pt>
                <c:pt idx="150">
                  <c:v>0.27959482380041117</c:v>
                </c:pt>
                <c:pt idx="151">
                  <c:v>0.27951334799364813</c:v>
                </c:pt>
                <c:pt idx="152">
                  <c:v>0.27950451288727735</c:v>
                </c:pt>
                <c:pt idx="153">
                  <c:v>0.27957197825996399</c:v>
                </c:pt>
                <c:pt idx="154">
                  <c:v>0.27957668341852027</c:v>
                </c:pt>
                <c:pt idx="155">
                  <c:v>0.27946224186304991</c:v>
                </c:pt>
                <c:pt idx="156">
                  <c:v>0.27947163406207309</c:v>
                </c:pt>
                <c:pt idx="157">
                  <c:v>0.279586486963391</c:v>
                </c:pt>
                <c:pt idx="158">
                  <c:v>0.27962411698136108</c:v>
                </c:pt>
                <c:pt idx="159">
                  <c:v>0.27964864488331265</c:v>
                </c:pt>
                <c:pt idx="160">
                  <c:v>0.27957653752052275</c:v>
                </c:pt>
                <c:pt idx="161">
                  <c:v>0.27958153784959711</c:v>
                </c:pt>
                <c:pt idx="162">
                  <c:v>0.27959508922230419</c:v>
                </c:pt>
                <c:pt idx="163">
                  <c:v>0.27953835866945875</c:v>
                </c:pt>
                <c:pt idx="164">
                  <c:v>0.27952700680350379</c:v>
                </c:pt>
                <c:pt idx="165">
                  <c:v>0.27946319036082667</c:v>
                </c:pt>
                <c:pt idx="166">
                  <c:v>0.27944711985607112</c:v>
                </c:pt>
                <c:pt idx="167">
                  <c:v>0.27945095722662466</c:v>
                </c:pt>
                <c:pt idx="168">
                  <c:v>0.27939513774946312</c:v>
                </c:pt>
                <c:pt idx="169">
                  <c:v>0.279403128871346</c:v>
                </c:pt>
                <c:pt idx="170">
                  <c:v>0.27952083447938764</c:v>
                </c:pt>
                <c:pt idx="171">
                  <c:v>0.27962981458267833</c:v>
                </c:pt>
                <c:pt idx="172">
                  <c:v>0.27982306201464247</c:v>
                </c:pt>
                <c:pt idx="173">
                  <c:v>0.27988603450252869</c:v>
                </c:pt>
                <c:pt idx="174">
                  <c:v>0.27999955057093778</c:v>
                </c:pt>
                <c:pt idx="175">
                  <c:v>0.28010474583551193</c:v>
                </c:pt>
                <c:pt idx="176">
                  <c:v>0.28013239349260916</c:v>
                </c:pt>
                <c:pt idx="177">
                  <c:v>0.28003133750821863</c:v>
                </c:pt>
                <c:pt idx="178">
                  <c:v>0.27991211097143148</c:v>
                </c:pt>
                <c:pt idx="179">
                  <c:v>0.27992268409933246</c:v>
                </c:pt>
                <c:pt idx="180">
                  <c:v>0.27988157333383357</c:v>
                </c:pt>
                <c:pt idx="181">
                  <c:v>0.2799246184350424</c:v>
                </c:pt>
                <c:pt idx="182">
                  <c:v>0.28002943565563854</c:v>
                </c:pt>
                <c:pt idx="183">
                  <c:v>0.28003181073968897</c:v>
                </c:pt>
                <c:pt idx="184">
                  <c:v>0.28013119360095279</c:v>
                </c:pt>
                <c:pt idx="185">
                  <c:v>0.28028142533955652</c:v>
                </c:pt>
                <c:pt idx="186">
                  <c:v>0.280531610102144</c:v>
                </c:pt>
                <c:pt idx="187">
                  <c:v>0.28090161725365048</c:v>
                </c:pt>
                <c:pt idx="188">
                  <c:v>0.2811166728596407</c:v>
                </c:pt>
                <c:pt idx="189">
                  <c:v>0.28120743228286393</c:v>
                </c:pt>
                <c:pt idx="190">
                  <c:v>0.28122462560458122</c:v>
                </c:pt>
                <c:pt idx="191">
                  <c:v>0.28141227387026257</c:v>
                </c:pt>
                <c:pt idx="192">
                  <c:v>0.28124350712890833</c:v>
                </c:pt>
                <c:pt idx="193">
                  <c:v>0.28175954367539485</c:v>
                </c:pt>
                <c:pt idx="194">
                  <c:v>0.28091114576309234</c:v>
                </c:pt>
                <c:pt idx="195">
                  <c:v>0.28052876912405755</c:v>
                </c:pt>
                <c:pt idx="196">
                  <c:v>0.27927517877867453</c:v>
                </c:pt>
                <c:pt idx="197">
                  <c:v>0.27845313422218837</c:v>
                </c:pt>
                <c:pt idx="198">
                  <c:v>0.27812705215352401</c:v>
                </c:pt>
                <c:pt idx="199">
                  <c:v>0.27765032745522861</c:v>
                </c:pt>
                <c:pt idx="200">
                  <c:v>0.2774560312791936</c:v>
                </c:pt>
                <c:pt idx="201">
                  <c:v>0.27716769624818283</c:v>
                </c:pt>
                <c:pt idx="202">
                  <c:v>0.2765457950057274</c:v>
                </c:pt>
                <c:pt idx="203">
                  <c:v>0.27584181421014198</c:v>
                </c:pt>
                <c:pt idx="204">
                  <c:v>0.27500775314323661</c:v>
                </c:pt>
                <c:pt idx="205">
                  <c:v>0.2743997770630684</c:v>
                </c:pt>
                <c:pt idx="206">
                  <c:v>0.27355098531253402</c:v>
                </c:pt>
                <c:pt idx="207">
                  <c:v>0.27144103072183201</c:v>
                </c:pt>
                <c:pt idx="208">
                  <c:v>0.26998262412731283</c:v>
                </c:pt>
                <c:pt idx="209">
                  <c:v>0.26901984181515159</c:v>
                </c:pt>
                <c:pt idx="210">
                  <c:v>0.26831889981905421</c:v>
                </c:pt>
                <c:pt idx="211">
                  <c:v>0.26725326444037639</c:v>
                </c:pt>
                <c:pt idx="212">
                  <c:v>0.26591819100030822</c:v>
                </c:pt>
                <c:pt idx="213">
                  <c:v>0.265097544987971</c:v>
                </c:pt>
                <c:pt idx="214">
                  <c:v>0.26431058254180279</c:v>
                </c:pt>
                <c:pt idx="215">
                  <c:v>0.26384914679297361</c:v>
                </c:pt>
                <c:pt idx="216">
                  <c:v>0.26334329220103081</c:v>
                </c:pt>
                <c:pt idx="217">
                  <c:v>0.26305997451006125</c:v>
                </c:pt>
                <c:pt idx="218">
                  <c:v>0.26310509138407262</c:v>
                </c:pt>
                <c:pt idx="219">
                  <c:v>0.26358725153487761</c:v>
                </c:pt>
                <c:pt idx="220">
                  <c:v>0.26398729331635279</c:v>
                </c:pt>
                <c:pt idx="221">
                  <c:v>0.26438850564849381</c:v>
                </c:pt>
                <c:pt idx="222">
                  <c:v>0.26482257688212796</c:v>
                </c:pt>
                <c:pt idx="223">
                  <c:v>0.26542857425643618</c:v>
                </c:pt>
                <c:pt idx="224">
                  <c:v>0.26603272055260518</c:v>
                </c:pt>
                <c:pt idx="225">
                  <c:v>0.2667914071614314</c:v>
                </c:pt>
                <c:pt idx="226">
                  <c:v>0.26760335397101498</c:v>
                </c:pt>
                <c:pt idx="227">
                  <c:v>0.268290128960886</c:v>
                </c:pt>
                <c:pt idx="228">
                  <c:v>0.2689463406422774</c:v>
                </c:pt>
                <c:pt idx="229">
                  <c:v>0.2696212894590308</c:v>
                </c:pt>
                <c:pt idx="230">
                  <c:v>0.2706084458104504</c:v>
                </c:pt>
                <c:pt idx="231">
                  <c:v>0.27139114172908418</c:v>
                </c:pt>
                <c:pt idx="232">
                  <c:v>0.2721122305349728</c:v>
                </c:pt>
                <c:pt idx="233">
                  <c:v>0.27296424394070984</c:v>
                </c:pt>
                <c:pt idx="234">
                  <c:v>0.27379989718075043</c:v>
                </c:pt>
                <c:pt idx="235">
                  <c:v>0.27434183074483742</c:v>
                </c:pt>
                <c:pt idx="236">
                  <c:v>0.27497210963554641</c:v>
                </c:pt>
                <c:pt idx="237">
                  <c:v>0.27564874167789083</c:v>
                </c:pt>
                <c:pt idx="238">
                  <c:v>0.27623253078857324</c:v>
                </c:pt>
                <c:pt idx="239">
                  <c:v>0.27691458868264041</c:v>
                </c:pt>
                <c:pt idx="240">
                  <c:v>0.27749429735735637</c:v>
                </c:pt>
                <c:pt idx="241">
                  <c:v>0.27822314891389582</c:v>
                </c:pt>
                <c:pt idx="242">
                  <c:v>0.27903727543856716</c:v>
                </c:pt>
                <c:pt idx="243">
                  <c:v>0.2802265217938682</c:v>
                </c:pt>
                <c:pt idx="244">
                  <c:v>0.28115952892229401</c:v>
                </c:pt>
                <c:pt idx="245">
                  <c:v>0.28195278597553081</c:v>
                </c:pt>
                <c:pt idx="246">
                  <c:v>0.28265132027210738</c:v>
                </c:pt>
                <c:pt idx="247">
                  <c:v>0.28335454547986261</c:v>
                </c:pt>
                <c:pt idx="248">
                  <c:v>0.28416390634991218</c:v>
                </c:pt>
                <c:pt idx="249">
                  <c:v>0.28491157560449659</c:v>
                </c:pt>
                <c:pt idx="250">
                  <c:v>0.28610773455060301</c:v>
                </c:pt>
                <c:pt idx="251">
                  <c:v>0.28715814491780278</c:v>
                </c:pt>
                <c:pt idx="252">
                  <c:v>0.28824053345352857</c:v>
                </c:pt>
                <c:pt idx="253">
                  <c:v>0.28949404489017921</c:v>
                </c:pt>
                <c:pt idx="254">
                  <c:v>0.29053511862665204</c:v>
                </c:pt>
                <c:pt idx="255">
                  <c:v>0.29153361978502479</c:v>
                </c:pt>
                <c:pt idx="256">
                  <c:v>0.29230967777940559</c:v>
                </c:pt>
                <c:pt idx="257">
                  <c:v>0.29248388463442676</c:v>
                </c:pt>
                <c:pt idx="258">
                  <c:v>0.29229927095789521</c:v>
                </c:pt>
                <c:pt idx="259">
                  <c:v>0.29143523355665857</c:v>
                </c:pt>
                <c:pt idx="260">
                  <c:v>0.29041315795095018</c:v>
                </c:pt>
                <c:pt idx="261">
                  <c:v>0.2894729391637948</c:v>
                </c:pt>
                <c:pt idx="262">
                  <c:v>0.28864531858223219</c:v>
                </c:pt>
                <c:pt idx="263">
                  <c:v>0.28796939260449816</c:v>
                </c:pt>
                <c:pt idx="264">
                  <c:v>0.28717329173438721</c:v>
                </c:pt>
                <c:pt idx="265">
                  <c:v>0.28624418357311138</c:v>
                </c:pt>
                <c:pt idx="266">
                  <c:v>0.28572249049357124</c:v>
                </c:pt>
                <c:pt idx="267">
                  <c:v>0.28507898232365625</c:v>
                </c:pt>
                <c:pt idx="268">
                  <c:v>0.2848477692069652</c:v>
                </c:pt>
                <c:pt idx="269">
                  <c:v>0.28388636651329918</c:v>
                </c:pt>
                <c:pt idx="270">
                  <c:v>0.28318170961501937</c:v>
                </c:pt>
                <c:pt idx="271">
                  <c:v>0.28233277096193704</c:v>
                </c:pt>
                <c:pt idx="272">
                  <c:v>0.28157026948917679</c:v>
                </c:pt>
                <c:pt idx="273">
                  <c:v>0.28081081953036457</c:v>
                </c:pt>
                <c:pt idx="274">
                  <c:v>0.2796006159792036</c:v>
                </c:pt>
                <c:pt idx="275">
                  <c:v>0.278472679868284</c:v>
                </c:pt>
                <c:pt idx="276">
                  <c:v>0.27727321015041823</c:v>
                </c:pt>
                <c:pt idx="277">
                  <c:v>0.27621532856255521</c:v>
                </c:pt>
                <c:pt idx="278">
                  <c:v>0.27511207228807644</c:v>
                </c:pt>
                <c:pt idx="279">
                  <c:v>0.27412231428543399</c:v>
                </c:pt>
                <c:pt idx="280">
                  <c:v>0.27316674585930723</c:v>
                </c:pt>
                <c:pt idx="281">
                  <c:v>0.2719610615300066</c:v>
                </c:pt>
                <c:pt idx="282">
                  <c:v>0.27107120348949038</c:v>
                </c:pt>
                <c:pt idx="283">
                  <c:v>0.27006022352480097</c:v>
                </c:pt>
                <c:pt idx="284">
                  <c:v>0.26897413573516177</c:v>
                </c:pt>
                <c:pt idx="285">
                  <c:v>0.26740020079484</c:v>
                </c:pt>
                <c:pt idx="286">
                  <c:v>0.26665976860340479</c:v>
                </c:pt>
                <c:pt idx="287">
                  <c:v>0.26616462537570557</c:v>
                </c:pt>
                <c:pt idx="288">
                  <c:v>0.26563199424097539</c:v>
                </c:pt>
                <c:pt idx="289">
                  <c:v>0.26538795556381445</c:v>
                </c:pt>
                <c:pt idx="290">
                  <c:v>0.26522806275586081</c:v>
                </c:pt>
                <c:pt idx="291">
                  <c:v>0.2651163991902864</c:v>
                </c:pt>
                <c:pt idx="292">
                  <c:v>0.26493510994208064</c:v>
                </c:pt>
                <c:pt idx="293">
                  <c:v>0.26480271127910437</c:v>
                </c:pt>
                <c:pt idx="294">
                  <c:v>0.26442618364359799</c:v>
                </c:pt>
                <c:pt idx="295">
                  <c:v>0.26414432987940639</c:v>
                </c:pt>
                <c:pt idx="296">
                  <c:v>0.26407274825708621</c:v>
                </c:pt>
                <c:pt idx="297">
                  <c:v>0.2641048613252624</c:v>
                </c:pt>
                <c:pt idx="298">
                  <c:v>0.26395457141290724</c:v>
                </c:pt>
                <c:pt idx="299">
                  <c:v>0.26380540865115099</c:v>
                </c:pt>
                <c:pt idx="300">
                  <c:v>0.26348533060227597</c:v>
                </c:pt>
                <c:pt idx="301">
                  <c:v>0.2632003017889416</c:v>
                </c:pt>
                <c:pt idx="302">
                  <c:v>0.26271130201872339</c:v>
                </c:pt>
                <c:pt idx="303">
                  <c:v>0.26220195357020798</c:v>
                </c:pt>
                <c:pt idx="304">
                  <c:v>0.26157349740161279</c:v>
                </c:pt>
                <c:pt idx="305">
                  <c:v>0.26120999669168843</c:v>
                </c:pt>
                <c:pt idx="306">
                  <c:v>0.26132707188186038</c:v>
                </c:pt>
                <c:pt idx="307">
                  <c:v>0.26146826835009956</c:v>
                </c:pt>
                <c:pt idx="308">
                  <c:v>0.26171867840202678</c:v>
                </c:pt>
                <c:pt idx="309">
                  <c:v>0.26190142702695379</c:v>
                </c:pt>
                <c:pt idx="310">
                  <c:v>0.26209334710685117</c:v>
                </c:pt>
                <c:pt idx="311">
                  <c:v>0.26210503057136636</c:v>
                </c:pt>
                <c:pt idx="312">
                  <c:v>0.26199494995938821</c:v>
                </c:pt>
                <c:pt idx="313">
                  <c:v>0.26205030194535922</c:v>
                </c:pt>
                <c:pt idx="314">
                  <c:v>0.26217941069633677</c:v>
                </c:pt>
                <c:pt idx="315">
                  <c:v>0.26252668190288841</c:v>
                </c:pt>
                <c:pt idx="316">
                  <c:v>0.26312167822282478</c:v>
                </c:pt>
                <c:pt idx="317">
                  <c:v>0.26383115177906941</c:v>
                </c:pt>
                <c:pt idx="318">
                  <c:v>0.26487581276090122</c:v>
                </c:pt>
                <c:pt idx="319">
                  <c:v>0.26509074219918799</c:v>
                </c:pt>
                <c:pt idx="320">
                  <c:v>0.26559956321961298</c:v>
                </c:pt>
                <c:pt idx="321">
                  <c:v>0.26609184608472258</c:v>
                </c:pt>
                <c:pt idx="322">
                  <c:v>0.26642651801163897</c:v>
                </c:pt>
                <c:pt idx="323">
                  <c:v>0.26695556327090719</c:v>
                </c:pt>
                <c:pt idx="324">
                  <c:v>0.26767761377411059</c:v>
                </c:pt>
                <c:pt idx="325">
                  <c:v>0.26846655963758642</c:v>
                </c:pt>
                <c:pt idx="326">
                  <c:v>0.26915963896994149</c:v>
                </c:pt>
                <c:pt idx="327">
                  <c:v>0.26936318540505078</c:v>
                </c:pt>
                <c:pt idx="328">
                  <c:v>0.26965462556317304</c:v>
                </c:pt>
                <c:pt idx="329">
                  <c:v>0.26982780712490789</c:v>
                </c:pt>
                <c:pt idx="330">
                  <c:v>0.26978462605486375</c:v>
                </c:pt>
                <c:pt idx="331">
                  <c:v>0.2693881314608742</c:v>
                </c:pt>
                <c:pt idx="332">
                  <c:v>0.26908850306334109</c:v>
                </c:pt>
                <c:pt idx="333">
                  <c:v>0.26872436525927323</c:v>
                </c:pt>
                <c:pt idx="334">
                  <c:v>0.26841766041186366</c:v>
                </c:pt>
                <c:pt idx="335">
                  <c:v>0.2680539099134594</c:v>
                </c:pt>
                <c:pt idx="336">
                  <c:v>0.26725909198022257</c:v>
                </c:pt>
                <c:pt idx="337">
                  <c:v>0.26636284401876775</c:v>
                </c:pt>
                <c:pt idx="338">
                  <c:v>0.26533398304969613</c:v>
                </c:pt>
                <c:pt idx="339">
                  <c:v>0.26467826163736491</c:v>
                </c:pt>
                <c:pt idx="340">
                  <c:v>0.26433764708634772</c:v>
                </c:pt>
                <c:pt idx="341">
                  <c:v>0.26406216079589123</c:v>
                </c:pt>
                <c:pt idx="342">
                  <c:v>0.26409011161666185</c:v>
                </c:pt>
                <c:pt idx="343">
                  <c:v>0.26417605637053471</c:v>
                </c:pt>
                <c:pt idx="344">
                  <c:v>0.26420299563136163</c:v>
                </c:pt>
                <c:pt idx="345">
                  <c:v>0.26440013421893177</c:v>
                </c:pt>
                <c:pt idx="346">
                  <c:v>0.26469413472213865</c:v>
                </c:pt>
                <c:pt idx="347">
                  <c:v>0.26516451670031288</c:v>
                </c:pt>
                <c:pt idx="348">
                  <c:v>0.26558480124995881</c:v>
                </c:pt>
                <c:pt idx="349">
                  <c:v>0.26557973569670545</c:v>
                </c:pt>
                <c:pt idx="350">
                  <c:v>0.26553563952607651</c:v>
                </c:pt>
                <c:pt idx="351">
                  <c:v>0.26552966012238938</c:v>
                </c:pt>
                <c:pt idx="352">
                  <c:v>0.2656260672580999</c:v>
                </c:pt>
                <c:pt idx="353">
                  <c:v>0.26569445522369034</c:v>
                </c:pt>
                <c:pt idx="354">
                  <c:v>0.26580337476182586</c:v>
                </c:pt>
                <c:pt idx="355">
                  <c:v>0.26592979949755907</c:v>
                </c:pt>
                <c:pt idx="356">
                  <c:v>0.26590473143826876</c:v>
                </c:pt>
                <c:pt idx="357">
                  <c:v>0.26591237921220195</c:v>
                </c:pt>
                <c:pt idx="358">
                  <c:v>0.26592183626286242</c:v>
                </c:pt>
                <c:pt idx="359">
                  <c:v>0.26593155143302749</c:v>
                </c:pt>
                <c:pt idx="360">
                  <c:v>0.26618124230726853</c:v>
                </c:pt>
                <c:pt idx="361">
                  <c:v>0.26580804745646963</c:v>
                </c:pt>
                <c:pt idx="362">
                  <c:v>0.26549619045081974</c:v>
                </c:pt>
                <c:pt idx="363">
                  <c:v>0.26514131475453351</c:v>
                </c:pt>
                <c:pt idx="364">
                  <c:v>0.26468468642123133</c:v>
                </c:pt>
                <c:pt idx="365">
                  <c:v>0.2642428359172147</c:v>
                </c:pt>
                <c:pt idx="366">
                  <c:v>0.26395444248824973</c:v>
                </c:pt>
                <c:pt idx="367">
                  <c:v>0.26385005395549066</c:v>
                </c:pt>
                <c:pt idx="368">
                  <c:v>0.26373357268173697</c:v>
                </c:pt>
                <c:pt idx="369">
                  <c:v>0.26337142107800432</c:v>
                </c:pt>
                <c:pt idx="370">
                  <c:v>0.26314019258801286</c:v>
                </c:pt>
                <c:pt idx="371">
                  <c:v>0.26314195446563204</c:v>
                </c:pt>
                <c:pt idx="372">
                  <c:v>0.26314465148292843</c:v>
                </c:pt>
                <c:pt idx="373">
                  <c:v>0.26312797764404222</c:v>
                </c:pt>
                <c:pt idx="374">
                  <c:v>0.26309740095573037</c:v>
                </c:pt>
                <c:pt idx="375">
                  <c:v>0.26309864693480273</c:v>
                </c:pt>
                <c:pt idx="376">
                  <c:v>0.26312116996014928</c:v>
                </c:pt>
                <c:pt idx="377">
                  <c:v>0.26316554084240329</c:v>
                </c:pt>
                <c:pt idx="378">
                  <c:v>0.26325420079748812</c:v>
                </c:pt>
                <c:pt idx="379">
                  <c:v>0.26324726742801241</c:v>
                </c:pt>
                <c:pt idx="380">
                  <c:v>0.26267777461857539</c:v>
                </c:pt>
                <c:pt idx="381">
                  <c:v>0.26250347629691256</c:v>
                </c:pt>
                <c:pt idx="382">
                  <c:v>0.26233862261043356</c:v>
                </c:pt>
                <c:pt idx="383">
                  <c:v>0.26230348505626183</c:v>
                </c:pt>
                <c:pt idx="384">
                  <c:v>0.26226487667732329</c:v>
                </c:pt>
                <c:pt idx="385">
                  <c:v>0.26219448027507414</c:v>
                </c:pt>
                <c:pt idx="386">
                  <c:v>0.26210294674133161</c:v>
                </c:pt>
                <c:pt idx="387">
                  <c:v>0.26196673639408707</c:v>
                </c:pt>
                <c:pt idx="388">
                  <c:v>0.26188370142736167</c:v>
                </c:pt>
                <c:pt idx="389">
                  <c:v>0.26194140975288566</c:v>
                </c:pt>
                <c:pt idx="390">
                  <c:v>0.26189879756791268</c:v>
                </c:pt>
                <c:pt idx="391">
                  <c:v>0.26176322965280419</c:v>
                </c:pt>
                <c:pt idx="392">
                  <c:v>0.26153807628813869</c:v>
                </c:pt>
                <c:pt idx="393">
                  <c:v>0.26135032768272121</c:v>
                </c:pt>
                <c:pt idx="394">
                  <c:v>0.26122633539835588</c:v>
                </c:pt>
                <c:pt idx="395">
                  <c:v>0.2610407742907136</c:v>
                </c:pt>
                <c:pt idx="396">
                  <c:v>0.26060952455980768</c:v>
                </c:pt>
                <c:pt idx="397">
                  <c:v>0.26008963455187617</c:v>
                </c:pt>
                <c:pt idx="398">
                  <c:v>0.25935185587943038</c:v>
                </c:pt>
                <c:pt idx="399">
                  <c:v>0.25859452719250237</c:v>
                </c:pt>
                <c:pt idx="400">
                  <c:v>0.25761653599447237</c:v>
                </c:pt>
                <c:pt idx="401">
                  <c:v>0.25674377584371061</c:v>
                </c:pt>
                <c:pt idx="402">
                  <c:v>0.25594955836546202</c:v>
                </c:pt>
                <c:pt idx="403">
                  <c:v>0.25513143742337341</c:v>
                </c:pt>
                <c:pt idx="404">
                  <c:v>0.25415979324315718</c:v>
                </c:pt>
                <c:pt idx="405">
                  <c:v>0.25350744890462118</c:v>
                </c:pt>
                <c:pt idx="406">
                  <c:v>0.25310974571091138</c:v>
                </c:pt>
                <c:pt idx="407">
                  <c:v>0.2523735313619716</c:v>
                </c:pt>
                <c:pt idx="408">
                  <c:v>0.2516568553668504</c:v>
                </c:pt>
                <c:pt idx="409">
                  <c:v>0.25069558721780183</c:v>
                </c:pt>
                <c:pt idx="410">
                  <c:v>0.24982399374194139</c:v>
                </c:pt>
                <c:pt idx="411">
                  <c:v>0.24901157031024898</c:v>
                </c:pt>
                <c:pt idx="412">
                  <c:v>0.248357133203919</c:v>
                </c:pt>
                <c:pt idx="413">
                  <c:v>0.24778742577668419</c:v>
                </c:pt>
                <c:pt idx="414">
                  <c:v>0.24708552308080881</c:v>
                </c:pt>
                <c:pt idx="415">
                  <c:v>0.24592861436360622</c:v>
                </c:pt>
                <c:pt idx="416">
                  <c:v>0.24450901067254119</c:v>
                </c:pt>
                <c:pt idx="417">
                  <c:v>0.2432744959048426</c:v>
                </c:pt>
                <c:pt idx="418">
                  <c:v>0.24219817046214936</c:v>
                </c:pt>
                <c:pt idx="419">
                  <c:v>0.24124604237228398</c:v>
                </c:pt>
                <c:pt idx="420">
                  <c:v>0.24039997275301661</c:v>
                </c:pt>
                <c:pt idx="421">
                  <c:v>0.23956729797659299</c:v>
                </c:pt>
                <c:pt idx="422">
                  <c:v>0.23861921439113062</c:v>
                </c:pt>
                <c:pt idx="423">
                  <c:v>0.2377823373327404</c:v>
                </c:pt>
                <c:pt idx="424">
                  <c:v>0.23691902009158561</c:v>
                </c:pt>
                <c:pt idx="425">
                  <c:v>0.2360380254086954</c:v>
                </c:pt>
                <c:pt idx="426">
                  <c:v>0.23522842983598202</c:v>
                </c:pt>
                <c:pt idx="427">
                  <c:v>0.23453165361151279</c:v>
                </c:pt>
                <c:pt idx="428">
                  <c:v>0.23396098853835998</c:v>
                </c:pt>
                <c:pt idx="429">
                  <c:v>0.23340696084557239</c:v>
                </c:pt>
                <c:pt idx="430">
                  <c:v>0.23303622532876681</c:v>
                </c:pt>
                <c:pt idx="431">
                  <c:v>0.23254774473064457</c:v>
                </c:pt>
                <c:pt idx="432">
                  <c:v>0.2322037679364912</c:v>
                </c:pt>
                <c:pt idx="433">
                  <c:v>0.231891731349681</c:v>
                </c:pt>
                <c:pt idx="434">
                  <c:v>0.23156911232611677</c:v>
                </c:pt>
                <c:pt idx="435">
                  <c:v>0.23149884446023661</c:v>
                </c:pt>
                <c:pt idx="436">
                  <c:v>0.23170536472903377</c:v>
                </c:pt>
                <c:pt idx="437">
                  <c:v>0.23199034784884839</c:v>
                </c:pt>
                <c:pt idx="438">
                  <c:v>0.23236996750546079</c:v>
                </c:pt>
                <c:pt idx="439">
                  <c:v>0.23289455645934859</c:v>
                </c:pt>
                <c:pt idx="440">
                  <c:v>0.23339292591725122</c:v>
                </c:pt>
                <c:pt idx="441">
                  <c:v>0.23392025052397378</c:v>
                </c:pt>
                <c:pt idx="442">
                  <c:v>0.23426028423403922</c:v>
                </c:pt>
                <c:pt idx="443">
                  <c:v>0.23467008374749238</c:v>
                </c:pt>
                <c:pt idx="444">
                  <c:v>0.23544218043989443</c:v>
                </c:pt>
                <c:pt idx="445">
                  <c:v>0.2361980089412162</c:v>
                </c:pt>
                <c:pt idx="446">
                  <c:v>0.23676838631351982</c:v>
                </c:pt>
                <c:pt idx="447">
                  <c:v>0.23719521718294101</c:v>
                </c:pt>
                <c:pt idx="448">
                  <c:v>0.23765527071595338</c:v>
                </c:pt>
                <c:pt idx="449">
                  <c:v>0.2382033746706278</c:v>
                </c:pt>
                <c:pt idx="450">
                  <c:v>0.23860565806501643</c:v>
                </c:pt>
                <c:pt idx="451">
                  <c:v>0.2389854845599714</c:v>
                </c:pt>
                <c:pt idx="452">
                  <c:v>0.23917369954861201</c:v>
                </c:pt>
                <c:pt idx="453">
                  <c:v>0.239784904048127</c:v>
                </c:pt>
                <c:pt idx="454">
                  <c:v>0.2398811137602912</c:v>
                </c:pt>
                <c:pt idx="455">
                  <c:v>0.23987444665471397</c:v>
                </c:pt>
                <c:pt idx="456">
                  <c:v>0.23994817536028418</c:v>
                </c:pt>
                <c:pt idx="457">
                  <c:v>0.24007696807892437</c:v>
                </c:pt>
                <c:pt idx="458">
                  <c:v>0.24017256896711198</c:v>
                </c:pt>
                <c:pt idx="459">
                  <c:v>0.24041920522155091</c:v>
                </c:pt>
                <c:pt idx="460">
                  <c:v>0.24063968700444133</c:v>
                </c:pt>
                <c:pt idx="461">
                  <c:v>0.24076054605824332</c:v>
                </c:pt>
                <c:pt idx="462">
                  <c:v>0.240775895310752</c:v>
                </c:pt>
                <c:pt idx="463">
                  <c:v>0.2407621269524351</c:v>
                </c:pt>
                <c:pt idx="464">
                  <c:v>0.24083185931753417</c:v>
                </c:pt>
                <c:pt idx="465">
                  <c:v>0.24103916894744351</c:v>
                </c:pt>
                <c:pt idx="466">
                  <c:v>0.24101309443095215</c:v>
                </c:pt>
                <c:pt idx="467">
                  <c:v>0.24076379660677527</c:v>
                </c:pt>
                <c:pt idx="468">
                  <c:v>0.2405300768468846</c:v>
                </c:pt>
                <c:pt idx="469">
                  <c:v>0.2402827988915559</c:v>
                </c:pt>
                <c:pt idx="470">
                  <c:v>0.24007634623862317</c:v>
                </c:pt>
                <c:pt idx="471">
                  <c:v>0.23986655244972643</c:v>
                </c:pt>
                <c:pt idx="472">
                  <c:v>0.23952248684442939</c:v>
                </c:pt>
                <c:pt idx="473">
                  <c:v>0.23932595373492058</c:v>
                </c:pt>
                <c:pt idx="474">
                  <c:v>0.23915031927098102</c:v>
                </c:pt>
                <c:pt idx="475">
                  <c:v>0.23902952531176158</c:v>
                </c:pt>
                <c:pt idx="476">
                  <c:v>0.2389845511228634</c:v>
                </c:pt>
                <c:pt idx="477">
                  <c:v>0.23901300655658478</c:v>
                </c:pt>
                <c:pt idx="478">
                  <c:v>0.23900484386914217</c:v>
                </c:pt>
                <c:pt idx="479">
                  <c:v>0.2390557044542484</c:v>
                </c:pt>
                <c:pt idx="480">
                  <c:v>0.23901701545624901</c:v>
                </c:pt>
                <c:pt idx="481">
                  <c:v>0.2389205673521006</c:v>
                </c:pt>
                <c:pt idx="482">
                  <c:v>0.23907615729958098</c:v>
                </c:pt>
                <c:pt idx="483">
                  <c:v>0.239261419803383</c:v>
                </c:pt>
                <c:pt idx="484">
                  <c:v>0.23966020554959103</c:v>
                </c:pt>
                <c:pt idx="485">
                  <c:v>0.24005763594496879</c:v>
                </c:pt>
                <c:pt idx="486">
                  <c:v>0.2405775217408232</c:v>
                </c:pt>
                <c:pt idx="487">
                  <c:v>0.24102951702797881</c:v>
                </c:pt>
                <c:pt idx="488">
                  <c:v>0.24150442354956</c:v>
                </c:pt>
                <c:pt idx="489">
                  <c:v>0.241966340465428</c:v>
                </c:pt>
                <c:pt idx="490">
                  <c:v>0.24273020716716642</c:v>
                </c:pt>
                <c:pt idx="491">
                  <c:v>0.2438140134896794</c:v>
                </c:pt>
                <c:pt idx="492">
                  <c:v>0.24476081584024581</c:v>
                </c:pt>
                <c:pt idx="493">
                  <c:v>0.24561946697605361</c:v>
                </c:pt>
                <c:pt idx="494">
                  <c:v>0.24639463226505839</c:v>
                </c:pt>
                <c:pt idx="495">
                  <c:v>0.24710869159233223</c:v>
                </c:pt>
                <c:pt idx="496">
                  <c:v>0.2478458008018028</c:v>
                </c:pt>
                <c:pt idx="497">
                  <c:v>0.24877435386605143</c:v>
                </c:pt>
                <c:pt idx="498">
                  <c:v>0.24966283318590662</c:v>
                </c:pt>
                <c:pt idx="499">
                  <c:v>0.25067332772970058</c:v>
                </c:pt>
                <c:pt idx="500">
                  <c:v>0.25180260104089491</c:v>
                </c:pt>
                <c:pt idx="501">
                  <c:v>0.25265708057537822</c:v>
                </c:pt>
                <c:pt idx="502">
                  <c:v>0.25347405197205275</c:v>
                </c:pt>
                <c:pt idx="503">
                  <c:v>0.25428290711510554</c:v>
                </c:pt>
                <c:pt idx="504">
                  <c:v>0.2550862120391385</c:v>
                </c:pt>
                <c:pt idx="505">
                  <c:v>0.25561419633458227</c:v>
                </c:pt>
                <c:pt idx="506">
                  <c:v>0.25640341225830499</c:v>
                </c:pt>
                <c:pt idx="507">
                  <c:v>0.25690657509403253</c:v>
                </c:pt>
                <c:pt idx="508">
                  <c:v>0.25730984143091568</c:v>
                </c:pt>
                <c:pt idx="509">
                  <c:v>0.25786736347347072</c:v>
                </c:pt>
                <c:pt idx="510">
                  <c:v>0.25798824126030201</c:v>
                </c:pt>
                <c:pt idx="511">
                  <c:v>0.25812130204668543</c:v>
                </c:pt>
                <c:pt idx="512">
                  <c:v>0.25813048125531446</c:v>
                </c:pt>
                <c:pt idx="513">
                  <c:v>0.25807712105792813</c:v>
                </c:pt>
                <c:pt idx="514">
                  <c:v>0.25785662993290387</c:v>
                </c:pt>
                <c:pt idx="515">
                  <c:v>0.25787992816967575</c:v>
                </c:pt>
                <c:pt idx="516">
                  <c:v>0.25778964904051044</c:v>
                </c:pt>
                <c:pt idx="517">
                  <c:v>0.25791200745924114</c:v>
                </c:pt>
                <c:pt idx="518">
                  <c:v>0.25797690918817967</c:v>
                </c:pt>
                <c:pt idx="519">
                  <c:v>0.25809493874046768</c:v>
                </c:pt>
                <c:pt idx="520">
                  <c:v>0.25825312516372373</c:v>
                </c:pt>
                <c:pt idx="521">
                  <c:v>0.25841805239146576</c:v>
                </c:pt>
                <c:pt idx="522">
                  <c:v>0.25860355479976072</c:v>
                </c:pt>
                <c:pt idx="523">
                  <c:v>0.25896619151246392</c:v>
                </c:pt>
                <c:pt idx="524">
                  <c:v>0.25957162276809509</c:v>
                </c:pt>
                <c:pt idx="525">
                  <c:v>0.2601675881880966</c:v>
                </c:pt>
                <c:pt idx="526">
                  <c:v>0.26068583197136502</c:v>
                </c:pt>
                <c:pt idx="527">
                  <c:v>0.26122059936801989</c:v>
                </c:pt>
                <c:pt idx="528">
                  <c:v>0.26165769444612563</c:v>
                </c:pt>
                <c:pt idx="529">
                  <c:v>0.26196405840788528</c:v>
                </c:pt>
                <c:pt idx="530">
                  <c:v>0.26213825634505528</c:v>
                </c:pt>
                <c:pt idx="531">
                  <c:v>0.26224483327204473</c:v>
                </c:pt>
                <c:pt idx="532">
                  <c:v>0.26235213523797296</c:v>
                </c:pt>
                <c:pt idx="533">
                  <c:v>0.26202796645543547</c:v>
                </c:pt>
                <c:pt idx="534">
                  <c:v>0.26172920488189805</c:v>
                </c:pt>
                <c:pt idx="535">
                  <c:v>0.26174374728985739</c:v>
                </c:pt>
                <c:pt idx="536">
                  <c:v>0.26174509091691456</c:v>
                </c:pt>
                <c:pt idx="537">
                  <c:v>0.26181958557674279</c:v>
                </c:pt>
                <c:pt idx="538">
                  <c:v>0.26186541380561829</c:v>
                </c:pt>
                <c:pt idx="539">
                  <c:v>0.261886207608442</c:v>
                </c:pt>
                <c:pt idx="540">
                  <c:v>0.26188379083238111</c:v>
                </c:pt>
                <c:pt idx="541">
                  <c:v>0.26160101398111307</c:v>
                </c:pt>
                <c:pt idx="542">
                  <c:v>0.26119226737908191</c:v>
                </c:pt>
                <c:pt idx="543">
                  <c:v>0.26076647653127588</c:v>
                </c:pt>
                <c:pt idx="544">
                  <c:v>0.26041445186407108</c:v>
                </c:pt>
                <c:pt idx="545">
                  <c:v>0.26033418639773953</c:v>
                </c:pt>
                <c:pt idx="546">
                  <c:v>0.26029320748916812</c:v>
                </c:pt>
                <c:pt idx="547">
                  <c:v>0.26029501161996893</c:v>
                </c:pt>
                <c:pt idx="548">
                  <c:v>0.26029667362580244</c:v>
                </c:pt>
                <c:pt idx="549">
                  <c:v>0.26029685073188846</c:v>
                </c:pt>
                <c:pt idx="550">
                  <c:v>0.26029240872161891</c:v>
                </c:pt>
                <c:pt idx="551">
                  <c:v>0.26029153804387739</c:v>
                </c:pt>
                <c:pt idx="552">
                  <c:v>0.26029036322297328</c:v>
                </c:pt>
                <c:pt idx="553">
                  <c:v>0.26028034838975245</c:v>
                </c:pt>
                <c:pt idx="554">
                  <c:v>0.26028603252376936</c:v>
                </c:pt>
                <c:pt idx="555">
                  <c:v>0.26023897075222563</c:v>
                </c:pt>
                <c:pt idx="556">
                  <c:v>0.26018733587334431</c:v>
                </c:pt>
                <c:pt idx="557">
                  <c:v>0.26004560514467645</c:v>
                </c:pt>
                <c:pt idx="558">
                  <c:v>0.25986168067422133</c:v>
                </c:pt>
                <c:pt idx="559">
                  <c:v>0.25984467576218534</c:v>
                </c:pt>
                <c:pt idx="560">
                  <c:v>0.25953633045107699</c:v>
                </c:pt>
                <c:pt idx="561">
                  <c:v>0.2594800786257252</c:v>
                </c:pt>
                <c:pt idx="562">
                  <c:v>0.25950237881332278</c:v>
                </c:pt>
                <c:pt idx="563">
                  <c:v>0.25982244085787293</c:v>
                </c:pt>
                <c:pt idx="564">
                  <c:v>0.26014998167316472</c:v>
                </c:pt>
                <c:pt idx="565">
                  <c:v>0.26041969402438964</c:v>
                </c:pt>
                <c:pt idx="566">
                  <c:v>0.26058890203625473</c:v>
                </c:pt>
                <c:pt idx="567">
                  <c:v>0.26068855593902701</c:v>
                </c:pt>
                <c:pt idx="568">
                  <c:v>0.26084741458182292</c:v>
                </c:pt>
                <c:pt idx="569">
                  <c:v>0.26119512474457174</c:v>
                </c:pt>
                <c:pt idx="570">
                  <c:v>0.26151033783691902</c:v>
                </c:pt>
                <c:pt idx="571">
                  <c:v>0.26184944488522094</c:v>
                </c:pt>
                <c:pt idx="572">
                  <c:v>0.26224022409520215</c:v>
                </c:pt>
                <c:pt idx="573">
                  <c:v>0.26250865167155857</c:v>
                </c:pt>
                <c:pt idx="574">
                  <c:v>0.26283031065739404</c:v>
                </c:pt>
                <c:pt idx="575">
                  <c:v>0.2632826271023988</c:v>
                </c:pt>
                <c:pt idx="576">
                  <c:v>0.26424996366772097</c:v>
                </c:pt>
                <c:pt idx="577">
                  <c:v>0.26506572788460198</c:v>
                </c:pt>
                <c:pt idx="578">
                  <c:v>0.26547812479516919</c:v>
                </c:pt>
                <c:pt idx="579">
                  <c:v>0.26551953492020552</c:v>
                </c:pt>
                <c:pt idx="580">
                  <c:v>0.26547352254798262</c:v>
                </c:pt>
                <c:pt idx="581">
                  <c:v>0.26544006953989141</c:v>
                </c:pt>
                <c:pt idx="582">
                  <c:v>0.26542947309011228</c:v>
                </c:pt>
                <c:pt idx="583">
                  <c:v>0.26538150850831466</c:v>
                </c:pt>
                <c:pt idx="584">
                  <c:v>0.26538437827344419</c:v>
                </c:pt>
                <c:pt idx="585">
                  <c:v>0.26538879681396604</c:v>
                </c:pt>
                <c:pt idx="586">
                  <c:v>0.26539543868899479</c:v>
                </c:pt>
                <c:pt idx="587">
                  <c:v>0.26540042258712293</c:v>
                </c:pt>
                <c:pt idx="588">
                  <c:v>0.2653564514845006</c:v>
                </c:pt>
                <c:pt idx="589">
                  <c:v>0.26536159436700718</c:v>
                </c:pt>
                <c:pt idx="590">
                  <c:v>0.2653691254956187</c:v>
                </c:pt>
                <c:pt idx="591">
                  <c:v>0.26537278555716093</c:v>
                </c:pt>
                <c:pt idx="592">
                  <c:v>0.26540920798778583</c:v>
                </c:pt>
                <c:pt idx="593">
                  <c:v>0.26541538237035367</c:v>
                </c:pt>
                <c:pt idx="594">
                  <c:v>0.26543102917742445</c:v>
                </c:pt>
                <c:pt idx="595">
                  <c:v>0.26544794116128606</c:v>
                </c:pt>
                <c:pt idx="596">
                  <c:v>0.26544900247970182</c:v>
                </c:pt>
                <c:pt idx="597">
                  <c:v>0.26547261077219686</c:v>
                </c:pt>
                <c:pt idx="598">
                  <c:v>0.26547029123106941</c:v>
                </c:pt>
                <c:pt idx="599">
                  <c:v>0.26549475822963808</c:v>
                </c:pt>
                <c:pt idx="600">
                  <c:v>0.2655982971826546</c:v>
                </c:pt>
                <c:pt idx="601">
                  <c:v>0.26577024001083299</c:v>
                </c:pt>
                <c:pt idx="602">
                  <c:v>0.26589316582762473</c:v>
                </c:pt>
                <c:pt idx="603">
                  <c:v>0.26635029144247269</c:v>
                </c:pt>
                <c:pt idx="604">
                  <c:v>0.26711977188616898</c:v>
                </c:pt>
                <c:pt idx="605">
                  <c:v>0.26784689951366558</c:v>
                </c:pt>
                <c:pt idx="606">
                  <c:v>0.26870823022523882</c:v>
                </c:pt>
                <c:pt idx="607">
                  <c:v>0.26941221621404066</c:v>
                </c:pt>
                <c:pt idx="608">
                  <c:v>0.27030237893804354</c:v>
                </c:pt>
                <c:pt idx="609">
                  <c:v>0.27131924120517925</c:v>
                </c:pt>
                <c:pt idx="610">
                  <c:v>0.27197480205024221</c:v>
                </c:pt>
                <c:pt idx="611">
                  <c:v>0.27245412319999518</c:v>
                </c:pt>
                <c:pt idx="612">
                  <c:v>0.27259381533493188</c:v>
                </c:pt>
                <c:pt idx="613">
                  <c:v>0.27270936093309778</c:v>
                </c:pt>
                <c:pt idx="614">
                  <c:v>0.27274225939870878</c:v>
                </c:pt>
                <c:pt idx="615">
                  <c:v>0.27305639572335383</c:v>
                </c:pt>
                <c:pt idx="616">
                  <c:v>0.27368184182278377</c:v>
                </c:pt>
                <c:pt idx="617">
                  <c:v>0.27473674120191172</c:v>
                </c:pt>
                <c:pt idx="618">
                  <c:v>0.27575678722928648</c:v>
                </c:pt>
                <c:pt idx="619">
                  <c:v>0.27685287290081134</c:v>
                </c:pt>
                <c:pt idx="620">
                  <c:v>0.27720525351627179</c:v>
                </c:pt>
                <c:pt idx="621">
                  <c:v>0.27761911136065132</c:v>
                </c:pt>
                <c:pt idx="622">
                  <c:v>0.2775879417392173</c:v>
                </c:pt>
                <c:pt idx="623">
                  <c:v>0.2777929851784311</c:v>
                </c:pt>
                <c:pt idx="624">
                  <c:v>0.27806185687161861</c:v>
                </c:pt>
                <c:pt idx="625">
                  <c:v>0.27828857663600987</c:v>
                </c:pt>
                <c:pt idx="626">
                  <c:v>0.27853019687699404</c:v>
                </c:pt>
                <c:pt idx="627">
                  <c:v>0.278764780218757</c:v>
                </c:pt>
                <c:pt idx="628">
                  <c:v>0.27904803423264823</c:v>
                </c:pt>
                <c:pt idx="629">
                  <c:v>0.27929942293790899</c:v>
                </c:pt>
                <c:pt idx="630">
                  <c:v>0.27944769751879345</c:v>
                </c:pt>
                <c:pt idx="631">
                  <c:v>0.27960174521636971</c:v>
                </c:pt>
                <c:pt idx="632">
                  <c:v>0.27965253111474847</c:v>
                </c:pt>
                <c:pt idx="633">
                  <c:v>0.27965621656238782</c:v>
                </c:pt>
                <c:pt idx="634">
                  <c:v>0.27968766419869612</c:v>
                </c:pt>
                <c:pt idx="635">
                  <c:v>0.27970716586790906</c:v>
                </c:pt>
                <c:pt idx="636">
                  <c:v>0.27967507110630352</c:v>
                </c:pt>
                <c:pt idx="637">
                  <c:v>0.27959977177736339</c:v>
                </c:pt>
                <c:pt idx="638">
                  <c:v>0.27941721653156898</c:v>
                </c:pt>
                <c:pt idx="639">
                  <c:v>0.27917027621809681</c:v>
                </c:pt>
                <c:pt idx="640">
                  <c:v>0.27858378444818238</c:v>
                </c:pt>
                <c:pt idx="641">
                  <c:v>0.2776997445822188</c:v>
                </c:pt>
                <c:pt idx="642">
                  <c:v>0.27682980236680754</c:v>
                </c:pt>
                <c:pt idx="643">
                  <c:v>0.27595590694930061</c:v>
                </c:pt>
                <c:pt idx="644">
                  <c:v>0.27498120335223752</c:v>
                </c:pt>
                <c:pt idx="645">
                  <c:v>0.27398527929483013</c:v>
                </c:pt>
                <c:pt idx="646">
                  <c:v>0.27332400808856311</c:v>
                </c:pt>
                <c:pt idx="647">
                  <c:v>0.27241106792244529</c:v>
                </c:pt>
                <c:pt idx="648">
                  <c:v>0.27172550506997895</c:v>
                </c:pt>
                <c:pt idx="649">
                  <c:v>0.27119579363968749</c:v>
                </c:pt>
                <c:pt idx="650">
                  <c:v>0.27083806573212954</c:v>
                </c:pt>
                <c:pt idx="651">
                  <c:v>0.27053697014031042</c:v>
                </c:pt>
                <c:pt idx="652">
                  <c:v>0.26998161126298897</c:v>
                </c:pt>
                <c:pt idx="653">
                  <c:v>0.26964315436046798</c:v>
                </c:pt>
                <c:pt idx="654">
                  <c:v>0.26912530774560484</c:v>
                </c:pt>
                <c:pt idx="655">
                  <c:v>0.26827949242462124</c:v>
                </c:pt>
                <c:pt idx="656">
                  <c:v>0.26784806907043818</c:v>
                </c:pt>
                <c:pt idx="657">
                  <c:v>0.2673644622140236</c:v>
                </c:pt>
                <c:pt idx="658">
                  <c:v>0.26692439438304977</c:v>
                </c:pt>
                <c:pt idx="659">
                  <c:v>0.26674038588050902</c:v>
                </c:pt>
                <c:pt idx="660">
                  <c:v>0.26667747103967621</c:v>
                </c:pt>
                <c:pt idx="661">
                  <c:v>0.26668736599804965</c:v>
                </c:pt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  <c:pt idx="0">
                  <c:v>0.29324587384511103</c:v>
                </c:pt>
                <c:pt idx="1">
                  <c:v>0.29292682808662301</c:v>
                </c:pt>
                <c:pt idx="2">
                  <c:v>0.29273520541025699</c:v>
                </c:pt>
                <c:pt idx="3">
                  <c:v>0.29248613858188699</c:v>
                </c:pt>
                <c:pt idx="4">
                  <c:v>0.29220181039522702</c:v>
                </c:pt>
                <c:pt idx="5">
                  <c:v>0.29192539884914798</c:v>
                </c:pt>
                <c:pt idx="6">
                  <c:v>0.29161618786747201</c:v>
                </c:pt>
                <c:pt idx="7">
                  <c:v>0.29132865755151699</c:v>
                </c:pt>
                <c:pt idx="8">
                  <c:v>0.29101670794290002</c:v>
                </c:pt>
                <c:pt idx="9">
                  <c:v>0.290654339707899</c:v>
                </c:pt>
                <c:pt idx="10">
                  <c:v>0.29033560276697801</c:v>
                </c:pt>
                <c:pt idx="11">
                  <c:v>0.290063152162989</c:v>
                </c:pt>
                <c:pt idx="12">
                  <c:v>0.28985750572121399</c:v>
                </c:pt>
                <c:pt idx="13">
                  <c:v>0.28980797321836999</c:v>
                </c:pt>
                <c:pt idx="14">
                  <c:v>0.289641910919468</c:v>
                </c:pt>
                <c:pt idx="15">
                  <c:v>0.28950596596804301</c:v>
                </c:pt>
                <c:pt idx="16">
                  <c:v>0.28933795447931898</c:v>
                </c:pt>
                <c:pt idx="17">
                  <c:v>0.28911261460260002</c:v>
                </c:pt>
                <c:pt idx="18">
                  <c:v>0.288850295329175</c:v>
                </c:pt>
                <c:pt idx="19">
                  <c:v>0.28863608937726398</c:v>
                </c:pt>
                <c:pt idx="20">
                  <c:v>0.28837736227474497</c:v>
                </c:pt>
                <c:pt idx="21">
                  <c:v>0.28817377549150902</c:v>
                </c:pt>
                <c:pt idx="22">
                  <c:v>0.28802737647273102</c:v>
                </c:pt>
                <c:pt idx="23">
                  <c:v>0.28785641128163197</c:v>
                </c:pt>
                <c:pt idx="24">
                  <c:v>0.287673228033406</c:v>
                </c:pt>
                <c:pt idx="25">
                  <c:v>0.28743173158532798</c:v>
                </c:pt>
                <c:pt idx="26">
                  <c:v>0.28722810027738099</c:v>
                </c:pt>
                <c:pt idx="27">
                  <c:v>0.28696368996614002</c:v>
                </c:pt>
                <c:pt idx="28">
                  <c:v>0.28680500191554498</c:v>
                </c:pt>
                <c:pt idx="29">
                  <c:v>0.28675789207460001</c:v>
                </c:pt>
                <c:pt idx="30">
                  <c:v>0.286646219898335</c:v>
                </c:pt>
                <c:pt idx="31">
                  <c:v>0.28659703895538702</c:v>
                </c:pt>
                <c:pt idx="32">
                  <c:v>0.28653497398101502</c:v>
                </c:pt>
                <c:pt idx="33">
                  <c:v>0.28645853874773197</c:v>
                </c:pt>
                <c:pt idx="34">
                  <c:v>0.28632917638725602</c:v>
                </c:pt>
                <c:pt idx="35">
                  <c:v>0.28620841462582303</c:v>
                </c:pt>
                <c:pt idx="36">
                  <c:v>0.28610862102002399</c:v>
                </c:pt>
                <c:pt idx="37">
                  <c:v>0.28603343843951901</c:v>
                </c:pt>
                <c:pt idx="38">
                  <c:v>0.286051433801777</c:v>
                </c:pt>
                <c:pt idx="39">
                  <c:v>0.28608772310805097</c:v>
                </c:pt>
                <c:pt idx="40">
                  <c:v>0.28613521659638103</c:v>
                </c:pt>
                <c:pt idx="41">
                  <c:v>0.286236118748316</c:v>
                </c:pt>
                <c:pt idx="42">
                  <c:v>0.28620764359679302</c:v>
                </c:pt>
                <c:pt idx="43">
                  <c:v>0.28615630068260001</c:v>
                </c:pt>
                <c:pt idx="44">
                  <c:v>0.28616415481454599</c:v>
                </c:pt>
                <c:pt idx="45">
                  <c:v>0.28611200750409299</c:v>
                </c:pt>
                <c:pt idx="46">
                  <c:v>0.28599639603799698</c:v>
                </c:pt>
                <c:pt idx="47">
                  <c:v>0.28587257339599198</c:v>
                </c:pt>
                <c:pt idx="48">
                  <c:v>0.285785458424207</c:v>
                </c:pt>
                <c:pt idx="49">
                  <c:v>0.28562495812481897</c:v>
                </c:pt>
                <c:pt idx="50">
                  <c:v>0.28554067886470602</c:v>
                </c:pt>
                <c:pt idx="51">
                  <c:v>0.28538782359986098</c:v>
                </c:pt>
                <c:pt idx="52">
                  <c:v>0.28520772724334198</c:v>
                </c:pt>
                <c:pt idx="53">
                  <c:v>0.28494632780787899</c:v>
                </c:pt>
                <c:pt idx="54">
                  <c:v>0.28476201060151801</c:v>
                </c:pt>
                <c:pt idx="55">
                  <c:v>0.28448524908774198</c:v>
                </c:pt>
                <c:pt idx="56">
                  <c:v>0.28413354134256702</c:v>
                </c:pt>
                <c:pt idx="57">
                  <c:v>0.28387477564308</c:v>
                </c:pt>
                <c:pt idx="58">
                  <c:v>0.28360673032843398</c:v>
                </c:pt>
                <c:pt idx="59">
                  <c:v>0.28326711243375402</c:v>
                </c:pt>
                <c:pt idx="60">
                  <c:v>0.28293656045732501</c:v>
                </c:pt>
                <c:pt idx="61">
                  <c:v>0.28262032949500099</c:v>
                </c:pt>
                <c:pt idx="62">
                  <c:v>0.28230997179662498</c:v>
                </c:pt>
                <c:pt idx="63">
                  <c:v>0.281975925296027</c:v>
                </c:pt>
                <c:pt idx="64">
                  <c:v>0.28167214544751301</c:v>
                </c:pt>
                <c:pt idx="65">
                  <c:v>0.281557384353672</c:v>
                </c:pt>
                <c:pt idx="66">
                  <c:v>0.28142953568608697</c:v>
                </c:pt>
                <c:pt idx="67">
                  <c:v>0.281281654741878</c:v>
                </c:pt>
                <c:pt idx="68">
                  <c:v>0.28102348771427199</c:v>
                </c:pt>
                <c:pt idx="69">
                  <c:v>0.28084564424313202</c:v>
                </c:pt>
                <c:pt idx="70">
                  <c:v>0.28067490004880302</c:v>
                </c:pt>
                <c:pt idx="71">
                  <c:v>0.28057798153938401</c:v>
                </c:pt>
                <c:pt idx="72">
                  <c:v>0.28044347754646798</c:v>
                </c:pt>
                <c:pt idx="73">
                  <c:v>0.28037372629684398</c:v>
                </c:pt>
                <c:pt idx="74">
                  <c:v>0.28050514016815198</c:v>
                </c:pt>
                <c:pt idx="75">
                  <c:v>0.28065983979269199</c:v>
                </c:pt>
                <c:pt idx="76">
                  <c:v>0.280879800576121</c:v>
                </c:pt>
                <c:pt idx="77">
                  <c:v>0.28105269715623399</c:v>
                </c:pt>
                <c:pt idx="78">
                  <c:v>0.28131792177759601</c:v>
                </c:pt>
                <c:pt idx="79">
                  <c:v>0.28152528429426699</c:v>
                </c:pt>
                <c:pt idx="80">
                  <c:v>0.28175945626993498</c:v>
                </c:pt>
                <c:pt idx="81">
                  <c:v>0.282050789367574</c:v>
                </c:pt>
                <c:pt idx="82">
                  <c:v>0.28237155152200599</c:v>
                </c:pt>
                <c:pt idx="83">
                  <c:v>0.282708094943314</c:v>
                </c:pt>
                <c:pt idx="84">
                  <c:v>0.28303495416944302</c:v>
                </c:pt>
                <c:pt idx="85">
                  <c:v>0.28329666436626499</c:v>
                </c:pt>
                <c:pt idx="86">
                  <c:v>0.28352345424619202</c:v>
                </c:pt>
                <c:pt idx="87">
                  <c:v>0.28368219151676399</c:v>
                </c:pt>
                <c:pt idx="88">
                  <c:v>0.28374877218069999</c:v>
                </c:pt>
                <c:pt idx="89">
                  <c:v>0.28390759355359102</c:v>
                </c:pt>
                <c:pt idx="90">
                  <c:v>0.28412166924663201</c:v>
                </c:pt>
                <c:pt idx="91">
                  <c:v>0.284351745113541</c:v>
                </c:pt>
                <c:pt idx="92">
                  <c:v>0.28464206044600199</c:v>
                </c:pt>
                <c:pt idx="93">
                  <c:v>0.28493127050895201</c:v>
                </c:pt>
                <c:pt idx="94">
                  <c:v>0.28516112531023502</c:v>
                </c:pt>
                <c:pt idx="95">
                  <c:v>0.28534011175455498</c:v>
                </c:pt>
                <c:pt idx="96">
                  <c:v>0.28547922140644499</c:v>
                </c:pt>
                <c:pt idx="97">
                  <c:v>0.28554716859183998</c:v>
                </c:pt>
                <c:pt idx="98">
                  <c:v>0.28570264314878702</c:v>
                </c:pt>
                <c:pt idx="99">
                  <c:v>0.28581670177440099</c:v>
                </c:pt>
                <c:pt idx="100">
                  <c:v>0.28595541151960102</c:v>
                </c:pt>
                <c:pt idx="101">
                  <c:v>0.28611356117645598</c:v>
                </c:pt>
                <c:pt idx="102">
                  <c:v>0.28642861396604202</c:v>
                </c:pt>
                <c:pt idx="103">
                  <c:v>0.28672932469635898</c:v>
                </c:pt>
                <c:pt idx="104">
                  <c:v>0.28688152940197298</c:v>
                </c:pt>
                <c:pt idx="105">
                  <c:v>0.28705281270921801</c:v>
                </c:pt>
                <c:pt idx="106">
                  <c:v>0.28710735262559101</c:v>
                </c:pt>
                <c:pt idx="107">
                  <c:v>0.287150888086602</c:v>
                </c:pt>
                <c:pt idx="108">
                  <c:v>0.28726831286691901</c:v>
                </c:pt>
                <c:pt idx="109">
                  <c:v>0.28738024071505403</c:v>
                </c:pt>
                <c:pt idx="110">
                  <c:v>0.28747445441918001</c:v>
                </c:pt>
                <c:pt idx="111">
                  <c:v>0.28751805103151501</c:v>
                </c:pt>
                <c:pt idx="112">
                  <c:v>0.287473489931449</c:v>
                </c:pt>
                <c:pt idx="113">
                  <c:v>0.28743570694940401</c:v>
                </c:pt>
                <c:pt idx="114">
                  <c:v>0.28747032251174698</c:v>
                </c:pt>
                <c:pt idx="115">
                  <c:v>0.287515169014807</c:v>
                </c:pt>
                <c:pt idx="116">
                  <c:v>0.28747295412155899</c:v>
                </c:pt>
                <c:pt idx="117">
                  <c:v>0.28744958162648199</c:v>
                </c:pt>
                <c:pt idx="118">
                  <c:v>0.287353969709849</c:v>
                </c:pt>
                <c:pt idx="119">
                  <c:v>0.28733602779647299</c:v>
                </c:pt>
                <c:pt idx="120">
                  <c:v>0.28741157194488698</c:v>
                </c:pt>
                <c:pt idx="121">
                  <c:v>0.287405993005796</c:v>
                </c:pt>
                <c:pt idx="122">
                  <c:v>0.28749288532759498</c:v>
                </c:pt>
                <c:pt idx="123">
                  <c:v>0.28753335619731901</c:v>
                </c:pt>
                <c:pt idx="124">
                  <c:v>0.28764404432292501</c:v>
                </c:pt>
                <c:pt idx="125">
                  <c:v>0.28769649550735099</c:v>
                </c:pt>
                <c:pt idx="126">
                  <c:v>0.28772606921141503</c:v>
                </c:pt>
                <c:pt idx="127">
                  <c:v>0.28780865685503498</c:v>
                </c:pt>
                <c:pt idx="128">
                  <c:v>0.28801240780565002</c:v>
                </c:pt>
                <c:pt idx="129">
                  <c:v>0.288145630429268</c:v>
                </c:pt>
                <c:pt idx="130">
                  <c:v>0.28826111300124102</c:v>
                </c:pt>
                <c:pt idx="131">
                  <c:v>0.28837717961114301</c:v>
                </c:pt>
                <c:pt idx="132">
                  <c:v>0.28872453836861001</c:v>
                </c:pt>
                <c:pt idx="133">
                  <c:v>0.2892076068576</c:v>
                </c:pt>
                <c:pt idx="134">
                  <c:v>0.28964193911955799</c:v>
                </c:pt>
                <c:pt idx="135">
                  <c:v>0.28999295674231601</c:v>
                </c:pt>
                <c:pt idx="136">
                  <c:v>0.29038848568406</c:v>
                </c:pt>
                <c:pt idx="137">
                  <c:v>0.29082530300923098</c:v>
                </c:pt>
                <c:pt idx="138">
                  <c:v>0.29127875626726202</c:v>
                </c:pt>
                <c:pt idx="139">
                  <c:v>0.291609356365369</c:v>
                </c:pt>
                <c:pt idx="140">
                  <c:v>0.29190983528763298</c:v>
                </c:pt>
                <c:pt idx="141">
                  <c:v>0.29223211685924699</c:v>
                </c:pt>
                <c:pt idx="142">
                  <c:v>0.29260524620283501</c:v>
                </c:pt>
                <c:pt idx="143">
                  <c:v>0.29299751997969198</c:v>
                </c:pt>
                <c:pt idx="144">
                  <c:v>0.29325541238546299</c:v>
                </c:pt>
                <c:pt idx="145">
                  <c:v>0.29357249720613299</c:v>
                </c:pt>
                <c:pt idx="146">
                  <c:v>0.29383619992677001</c:v>
                </c:pt>
                <c:pt idx="147">
                  <c:v>0.29409472001551701</c:v>
                </c:pt>
                <c:pt idx="148">
                  <c:v>0.29426397955731098</c:v>
                </c:pt>
                <c:pt idx="149">
                  <c:v>0.29428645149243798</c:v>
                </c:pt>
                <c:pt idx="150">
                  <c:v>0.29423805267062503</c:v>
                </c:pt>
                <c:pt idx="151">
                  <c:v>0.29414108841328002</c:v>
                </c:pt>
                <c:pt idx="152">
                  <c:v>0.29408723945221399</c:v>
                </c:pt>
                <c:pt idx="153">
                  <c:v>0.29399038234487701</c:v>
                </c:pt>
                <c:pt idx="154">
                  <c:v>0.29400043089203198</c:v>
                </c:pt>
                <c:pt idx="155">
                  <c:v>0.29387583888025098</c:v>
                </c:pt>
                <c:pt idx="156">
                  <c:v>0.29377634177311501</c:v>
                </c:pt>
                <c:pt idx="157">
                  <c:v>0.29366897667188102</c:v>
                </c:pt>
                <c:pt idx="158">
                  <c:v>0.293561992415585</c:v>
                </c:pt>
                <c:pt idx="159">
                  <c:v>0.29348676337149499</c:v>
                </c:pt>
                <c:pt idx="160">
                  <c:v>0.293556332441538</c:v>
                </c:pt>
                <c:pt idx="161">
                  <c:v>0.29362525484893298</c:v>
                </c:pt>
                <c:pt idx="162">
                  <c:v>0.29368648644003298</c:v>
                </c:pt>
                <c:pt idx="163">
                  <c:v>0.29376789068511999</c:v>
                </c:pt>
                <c:pt idx="164">
                  <c:v>0.29384990590879201</c:v>
                </c:pt>
                <c:pt idx="165">
                  <c:v>0.29392393362310099</c:v>
                </c:pt>
                <c:pt idx="166">
                  <c:v>0.29395601255410497</c:v>
                </c:pt>
                <c:pt idx="167">
                  <c:v>0.293946878827613</c:v>
                </c:pt>
                <c:pt idx="168">
                  <c:v>0.29388409703201002</c:v>
                </c:pt>
                <c:pt idx="169">
                  <c:v>0.29389493254454402</c:v>
                </c:pt>
                <c:pt idx="170">
                  <c:v>0.294013343444888</c:v>
                </c:pt>
                <c:pt idx="171">
                  <c:v>0.29415286611010699</c:v>
                </c:pt>
                <c:pt idx="172">
                  <c:v>0.29430002546010497</c:v>
                </c:pt>
                <c:pt idx="173">
                  <c:v>0.29437300341767297</c:v>
                </c:pt>
                <c:pt idx="174">
                  <c:v>0.29450445287445298</c:v>
                </c:pt>
                <c:pt idx="175">
                  <c:v>0.29455018829649299</c:v>
                </c:pt>
                <c:pt idx="176">
                  <c:v>0.29456960849198699</c:v>
                </c:pt>
                <c:pt idx="177">
                  <c:v>0.29444835756750298</c:v>
                </c:pt>
                <c:pt idx="178">
                  <c:v>0.29431234194757799</c:v>
                </c:pt>
                <c:pt idx="179">
                  <c:v>0.29431993273088503</c:v>
                </c:pt>
                <c:pt idx="180">
                  <c:v>0.29429524195456302</c:v>
                </c:pt>
                <c:pt idx="181">
                  <c:v>0.29431457810303502</c:v>
                </c:pt>
                <c:pt idx="182">
                  <c:v>0.29439469498860799</c:v>
                </c:pt>
                <c:pt idx="183">
                  <c:v>0.29439646474358699</c:v>
                </c:pt>
                <c:pt idx="184">
                  <c:v>0.29444813536498798</c:v>
                </c:pt>
                <c:pt idx="185">
                  <c:v>0.29452769177349097</c:v>
                </c:pt>
                <c:pt idx="186">
                  <c:v>0.29463906850565003</c:v>
                </c:pt>
                <c:pt idx="187">
                  <c:v>0.29486740668218803</c:v>
                </c:pt>
                <c:pt idx="188">
                  <c:v>0.29509376010404798</c:v>
                </c:pt>
                <c:pt idx="189">
                  <c:v>0.29523929997707199</c:v>
                </c:pt>
                <c:pt idx="190">
                  <c:v>0.29543374404499601</c:v>
                </c:pt>
                <c:pt idx="191">
                  <c:v>0.29561680840044502</c:v>
                </c:pt>
                <c:pt idx="192">
                  <c:v>0.29598632808264103</c:v>
                </c:pt>
                <c:pt idx="193">
                  <c:v>0.29628270594225697</c:v>
                </c:pt>
                <c:pt idx="194">
                  <c:v>0.29678386644851401</c:v>
                </c:pt>
                <c:pt idx="195">
                  <c:v>0.29722230975646402</c:v>
                </c:pt>
                <c:pt idx="196">
                  <c:v>0.29790323232528398</c:v>
                </c:pt>
                <c:pt idx="197">
                  <c:v>0.29856545009956398</c:v>
                </c:pt>
                <c:pt idx="198">
                  <c:v>0.29919795183070902</c:v>
                </c:pt>
                <c:pt idx="199">
                  <c:v>0.299817606082943</c:v>
                </c:pt>
                <c:pt idx="200">
                  <c:v>0.30046932195767301</c:v>
                </c:pt>
                <c:pt idx="201">
                  <c:v>0.301167473549035</c:v>
                </c:pt>
                <c:pt idx="202">
                  <c:v>0.30192370824696302</c:v>
                </c:pt>
                <c:pt idx="203">
                  <c:v>0.30267347129258199</c:v>
                </c:pt>
                <c:pt idx="204">
                  <c:v>0.30346031515090799</c:v>
                </c:pt>
                <c:pt idx="205">
                  <c:v>0.30430414573973902</c:v>
                </c:pt>
                <c:pt idx="206">
                  <c:v>0.30525980252151902</c:v>
                </c:pt>
                <c:pt idx="207">
                  <c:v>0.30605002236769202</c:v>
                </c:pt>
                <c:pt idx="208">
                  <c:v>0.30671552991569101</c:v>
                </c:pt>
                <c:pt idx="209">
                  <c:v>0.30730510765373498</c:v>
                </c:pt>
                <c:pt idx="210">
                  <c:v>0.30793267746584702</c:v>
                </c:pt>
                <c:pt idx="211">
                  <c:v>0.30870981474000497</c:v>
                </c:pt>
                <c:pt idx="212">
                  <c:v>0.30948096260188002</c:v>
                </c:pt>
                <c:pt idx="213">
                  <c:v>0.31015479627327902</c:v>
                </c:pt>
                <c:pt idx="214">
                  <c:v>0.31099265111315799</c:v>
                </c:pt>
                <c:pt idx="215">
                  <c:v>0.31173255935135302</c:v>
                </c:pt>
                <c:pt idx="216">
                  <c:v>0.31249678865892699</c:v>
                </c:pt>
                <c:pt idx="217">
                  <c:v>0.31327479031177402</c:v>
                </c:pt>
                <c:pt idx="218">
                  <c:v>0.31400857012546601</c:v>
                </c:pt>
                <c:pt idx="219">
                  <c:v>0.31459452145316802</c:v>
                </c:pt>
                <c:pt idx="220">
                  <c:v>0.31506225133180699</c:v>
                </c:pt>
                <c:pt idx="221">
                  <c:v>0.31557514350750199</c:v>
                </c:pt>
                <c:pt idx="222">
                  <c:v>0.31619612428835098</c:v>
                </c:pt>
                <c:pt idx="223">
                  <c:v>0.31677543967509397</c:v>
                </c:pt>
                <c:pt idx="224">
                  <c:v>0.31730757235104301</c:v>
                </c:pt>
                <c:pt idx="225">
                  <c:v>0.31785744452659098</c:v>
                </c:pt>
                <c:pt idx="226">
                  <c:v>0.31845973064668598</c:v>
                </c:pt>
                <c:pt idx="227">
                  <c:v>0.31898007882854201</c:v>
                </c:pt>
                <c:pt idx="228">
                  <c:v>0.31943672494403902</c:v>
                </c:pt>
                <c:pt idx="229">
                  <c:v>0.31986003198210899</c:v>
                </c:pt>
                <c:pt idx="230">
                  <c:v>0.32040721196091898</c:v>
                </c:pt>
                <c:pt idx="231">
                  <c:v>0.32104199524584698</c:v>
                </c:pt>
                <c:pt idx="232">
                  <c:v>0.32155361243027503</c:v>
                </c:pt>
                <c:pt idx="233">
                  <c:v>0.32204561815976901</c:v>
                </c:pt>
                <c:pt idx="234">
                  <c:v>0.32253887443346702</c:v>
                </c:pt>
                <c:pt idx="235">
                  <c:v>0.32291024389129003</c:v>
                </c:pt>
                <c:pt idx="236">
                  <c:v>0.323232677084695</c:v>
                </c:pt>
                <c:pt idx="237">
                  <c:v>0.32357094828308602</c:v>
                </c:pt>
                <c:pt idx="238">
                  <c:v>0.32392897151233702</c:v>
                </c:pt>
                <c:pt idx="239">
                  <c:v>0.32434658435790598</c:v>
                </c:pt>
                <c:pt idx="240">
                  <c:v>0.32468372686358699</c:v>
                </c:pt>
                <c:pt idx="241">
                  <c:v>0.32511139109877801</c:v>
                </c:pt>
                <c:pt idx="242">
                  <c:v>0.32554035053664998</c:v>
                </c:pt>
                <c:pt idx="243">
                  <c:v>0.326124647232512</c:v>
                </c:pt>
                <c:pt idx="244">
                  <c:v>0.32649881110154999</c:v>
                </c:pt>
                <c:pt idx="245">
                  <c:v>0.326827880813505</c:v>
                </c:pt>
                <c:pt idx="246">
                  <c:v>0.327113386861346</c:v>
                </c:pt>
                <c:pt idx="247">
                  <c:v>0.32737300935124503</c:v>
                </c:pt>
                <c:pt idx="248">
                  <c:v>0.32767095384253098</c:v>
                </c:pt>
                <c:pt idx="249">
                  <c:v>0.32796089680925899</c:v>
                </c:pt>
                <c:pt idx="250">
                  <c:v>0.32835186721728798</c:v>
                </c:pt>
                <c:pt idx="251">
                  <c:v>0.328689609834595</c:v>
                </c:pt>
                <c:pt idx="252">
                  <c:v>0.32898727687309898</c:v>
                </c:pt>
                <c:pt idx="253">
                  <c:v>0.32933268982667502</c:v>
                </c:pt>
                <c:pt idx="254">
                  <c:v>0.32962429786028002</c:v>
                </c:pt>
                <c:pt idx="255">
                  <c:v>0.329870868593023</c:v>
                </c:pt>
                <c:pt idx="256">
                  <c:v>0.330045280657423</c:v>
                </c:pt>
                <c:pt idx="257">
                  <c:v>0.33008456695523197</c:v>
                </c:pt>
                <c:pt idx="258">
                  <c:v>0.33004805302842199</c:v>
                </c:pt>
                <c:pt idx="259">
                  <c:v>0.32989081028974598</c:v>
                </c:pt>
                <c:pt idx="260">
                  <c:v>0.329701012553825</c:v>
                </c:pt>
                <c:pt idx="261">
                  <c:v>0.32952142468120699</c:v>
                </c:pt>
                <c:pt idx="262">
                  <c:v>0.32933702806445497</c:v>
                </c:pt>
                <c:pt idx="263">
                  <c:v>0.32917237184679898</c:v>
                </c:pt>
                <c:pt idx="264">
                  <c:v>0.32898664140303102</c:v>
                </c:pt>
                <c:pt idx="265">
                  <c:v>0.32875488153604898</c:v>
                </c:pt>
                <c:pt idx="266">
                  <c:v>0.32862237164896302</c:v>
                </c:pt>
                <c:pt idx="267">
                  <c:v>0.32840825243677002</c:v>
                </c:pt>
                <c:pt idx="268">
                  <c:v>0.32834083098496503</c:v>
                </c:pt>
                <c:pt idx="269">
                  <c:v>0.32796169415303</c:v>
                </c:pt>
                <c:pt idx="270">
                  <c:v>0.32768505817757398</c:v>
                </c:pt>
                <c:pt idx="271">
                  <c:v>0.32722034319002502</c:v>
                </c:pt>
                <c:pt idx="272">
                  <c:v>0.32679627465528699</c:v>
                </c:pt>
                <c:pt idx="273">
                  <c:v>0.32640701373228098</c:v>
                </c:pt>
                <c:pt idx="274">
                  <c:v>0.32586497885478</c:v>
                </c:pt>
                <c:pt idx="275">
                  <c:v>0.32534005265870902</c:v>
                </c:pt>
                <c:pt idx="276">
                  <c:v>0.32474598878433703</c:v>
                </c:pt>
                <c:pt idx="277">
                  <c:v>0.32409843770937002</c:v>
                </c:pt>
                <c:pt idx="278">
                  <c:v>0.32339851062792901</c:v>
                </c:pt>
                <c:pt idx="279">
                  <c:v>0.32265654649116299</c:v>
                </c:pt>
                <c:pt idx="280">
                  <c:v>0.32188902611696302</c:v>
                </c:pt>
                <c:pt idx="281">
                  <c:v>0.320912389870954</c:v>
                </c:pt>
                <c:pt idx="282">
                  <c:v>0.31977368292602598</c:v>
                </c:pt>
                <c:pt idx="283">
                  <c:v>0.31870860705311499</c:v>
                </c:pt>
                <c:pt idx="284">
                  <c:v>0.31772546779341598</c:v>
                </c:pt>
                <c:pt idx="285">
                  <c:v>0.31665137693060702</c:v>
                </c:pt>
                <c:pt idx="286">
                  <c:v>0.31554840762816</c:v>
                </c:pt>
                <c:pt idx="287">
                  <c:v>0.31434927929648399</c:v>
                </c:pt>
                <c:pt idx="288">
                  <c:v>0.31328633313798399</c:v>
                </c:pt>
                <c:pt idx="289">
                  <c:v>0.31215936211699402</c:v>
                </c:pt>
                <c:pt idx="290">
                  <c:v>0.31117464692423602</c:v>
                </c:pt>
                <c:pt idx="291">
                  <c:v>0.31010500530719898</c:v>
                </c:pt>
                <c:pt idx="292">
                  <c:v>0.30903343114981302</c:v>
                </c:pt>
                <c:pt idx="293">
                  <c:v>0.30809803513808098</c:v>
                </c:pt>
                <c:pt idx="294">
                  <c:v>0.30740795590044001</c:v>
                </c:pt>
                <c:pt idx="295">
                  <c:v>0.30683138413213601</c:v>
                </c:pt>
                <c:pt idx="296">
                  <c:v>0.30625788954583499</c:v>
                </c:pt>
                <c:pt idx="297">
                  <c:v>0.305559579833801</c:v>
                </c:pt>
                <c:pt idx="298">
                  <c:v>0.30490736739250002</c:v>
                </c:pt>
                <c:pt idx="299">
                  <c:v>0.30429512207331899</c:v>
                </c:pt>
                <c:pt idx="300">
                  <c:v>0.30364775278549999</c:v>
                </c:pt>
                <c:pt idx="301">
                  <c:v>0.302928021269875</c:v>
                </c:pt>
                <c:pt idx="302">
                  <c:v>0.30217691939119101</c:v>
                </c:pt>
                <c:pt idx="303">
                  <c:v>0.30147590823528297</c:v>
                </c:pt>
                <c:pt idx="304">
                  <c:v>0.30078277249003299</c:v>
                </c:pt>
                <c:pt idx="305">
                  <c:v>0.30010027513523302</c:v>
                </c:pt>
                <c:pt idx="306">
                  <c:v>0.29927416031243997</c:v>
                </c:pt>
                <c:pt idx="307">
                  <c:v>0.29860461433517699</c:v>
                </c:pt>
                <c:pt idx="308">
                  <c:v>0.29809236309356901</c:v>
                </c:pt>
                <c:pt idx="309">
                  <c:v>0.297483898255826</c:v>
                </c:pt>
                <c:pt idx="310">
                  <c:v>0.296891060655328</c:v>
                </c:pt>
                <c:pt idx="311">
                  <c:v>0.29640811328397598</c:v>
                </c:pt>
                <c:pt idx="312">
                  <c:v>0.29584590628605001</c:v>
                </c:pt>
                <c:pt idx="313">
                  <c:v>0.29517760387050301</c:v>
                </c:pt>
                <c:pt idx="314">
                  <c:v>0.29443440623232697</c:v>
                </c:pt>
                <c:pt idx="315">
                  <c:v>0.29385275356776303</c:v>
                </c:pt>
                <c:pt idx="316">
                  <c:v>0.29320090369524399</c:v>
                </c:pt>
                <c:pt idx="317">
                  <c:v>0.29262522398784302</c:v>
                </c:pt>
                <c:pt idx="318">
                  <c:v>0.29193158613564202</c:v>
                </c:pt>
                <c:pt idx="319">
                  <c:v>0.291327663658842</c:v>
                </c:pt>
                <c:pt idx="320">
                  <c:v>0.29081560722359601</c:v>
                </c:pt>
                <c:pt idx="321">
                  <c:v>0.29031797431522399</c:v>
                </c:pt>
                <c:pt idx="322">
                  <c:v>0.28984164977062099</c:v>
                </c:pt>
                <c:pt idx="323">
                  <c:v>0.28935021573921199</c:v>
                </c:pt>
                <c:pt idx="324">
                  <c:v>0.28882948979802597</c:v>
                </c:pt>
                <c:pt idx="325">
                  <c:v>0.28831449634925999</c:v>
                </c:pt>
                <c:pt idx="326">
                  <c:v>0.287781811203217</c:v>
                </c:pt>
                <c:pt idx="327">
                  <c:v>0.28727641138045401</c:v>
                </c:pt>
                <c:pt idx="328">
                  <c:v>0.28668646801796499</c:v>
                </c:pt>
                <c:pt idx="329">
                  <c:v>0.28606331811087699</c:v>
                </c:pt>
                <c:pt idx="330">
                  <c:v>0.28552974754943</c:v>
                </c:pt>
                <c:pt idx="331">
                  <c:v>0.285056056380736</c:v>
                </c:pt>
                <c:pt idx="332">
                  <c:v>0.28469244932960802</c:v>
                </c:pt>
                <c:pt idx="333">
                  <c:v>0.284468966611095</c:v>
                </c:pt>
                <c:pt idx="334">
                  <c:v>0.28436040645781602</c:v>
                </c:pt>
                <c:pt idx="335">
                  <c:v>0.284244468781155</c:v>
                </c:pt>
                <c:pt idx="336">
                  <c:v>0.28403143898537297</c:v>
                </c:pt>
                <c:pt idx="337">
                  <c:v>0.28372304765117201</c:v>
                </c:pt>
                <c:pt idx="338">
                  <c:v>0.28332732982841202</c:v>
                </c:pt>
                <c:pt idx="339">
                  <c:v>0.28304163059711801</c:v>
                </c:pt>
                <c:pt idx="340">
                  <c:v>0.28282438157423101</c:v>
                </c:pt>
                <c:pt idx="341">
                  <c:v>0.282560891782485</c:v>
                </c:pt>
                <c:pt idx="342">
                  <c:v>0.28225528090566099</c:v>
                </c:pt>
                <c:pt idx="343">
                  <c:v>0.28194472052708103</c:v>
                </c:pt>
                <c:pt idx="344">
                  <c:v>0.281664979820964</c:v>
                </c:pt>
                <c:pt idx="345">
                  <c:v>0.281349819175856</c:v>
                </c:pt>
                <c:pt idx="346">
                  <c:v>0.28104576970983802</c:v>
                </c:pt>
                <c:pt idx="347">
                  <c:v>0.28076526110418398</c:v>
                </c:pt>
                <c:pt idx="348">
                  <c:v>0.28045527549252802</c:v>
                </c:pt>
                <c:pt idx="349">
                  <c:v>0.28024991594670101</c:v>
                </c:pt>
                <c:pt idx="350">
                  <c:v>0.27999876872599799</c:v>
                </c:pt>
                <c:pt idx="351">
                  <c:v>0.27980237483806197</c:v>
                </c:pt>
                <c:pt idx="352">
                  <c:v>0.27959710026937201</c:v>
                </c:pt>
                <c:pt idx="353">
                  <c:v>0.27943306869331502</c:v>
                </c:pt>
                <c:pt idx="354">
                  <c:v>0.27926898535414202</c:v>
                </c:pt>
                <c:pt idx="355">
                  <c:v>0.27915836728038002</c:v>
                </c:pt>
                <c:pt idx="356">
                  <c:v>0.27911789946036503</c:v>
                </c:pt>
                <c:pt idx="357">
                  <c:v>0.27913494628454799</c:v>
                </c:pt>
                <c:pt idx="358">
                  <c:v>0.27915123277494502</c:v>
                </c:pt>
                <c:pt idx="359">
                  <c:v>0.27919663848936299</c:v>
                </c:pt>
                <c:pt idx="360">
                  <c:v>0.279380516485006</c:v>
                </c:pt>
                <c:pt idx="361">
                  <c:v>0.27962666233264399</c:v>
                </c:pt>
                <c:pt idx="362">
                  <c:v>0.27989923604031602</c:v>
                </c:pt>
                <c:pt idx="363">
                  <c:v>0.280142528657089</c:v>
                </c:pt>
                <c:pt idx="364">
                  <c:v>0.28042563011023602</c:v>
                </c:pt>
                <c:pt idx="365">
                  <c:v>0.28064461310084998</c:v>
                </c:pt>
                <c:pt idx="366">
                  <c:v>0.280888616780198</c:v>
                </c:pt>
                <c:pt idx="367">
                  <c:v>0.281117673851076</c:v>
                </c:pt>
                <c:pt idx="368">
                  <c:v>0.28127505042221201</c:v>
                </c:pt>
                <c:pt idx="369">
                  <c:v>0.28147022269482003</c:v>
                </c:pt>
                <c:pt idx="370">
                  <c:v>0.28158518805308702</c:v>
                </c:pt>
                <c:pt idx="371">
                  <c:v>0.28158418389251999</c:v>
                </c:pt>
                <c:pt idx="372">
                  <c:v>0.281581331200218</c:v>
                </c:pt>
                <c:pt idx="373">
                  <c:v>0.281604258284402</c:v>
                </c:pt>
                <c:pt idx="374">
                  <c:v>0.28163699243147799</c:v>
                </c:pt>
                <c:pt idx="375">
                  <c:v>0.28167273475460303</c:v>
                </c:pt>
                <c:pt idx="376">
                  <c:v>0.28171779800350799</c:v>
                </c:pt>
                <c:pt idx="377">
                  <c:v>0.281745260433722</c:v>
                </c:pt>
                <c:pt idx="378">
                  <c:v>0.28188780638503802</c:v>
                </c:pt>
                <c:pt idx="379">
                  <c:v>0.28188476110554</c:v>
                </c:pt>
                <c:pt idx="380">
                  <c:v>0.28169568099905701</c:v>
                </c:pt>
                <c:pt idx="381">
                  <c:v>0.28161172517844901</c:v>
                </c:pt>
                <c:pt idx="382">
                  <c:v>0.28148105066248602</c:v>
                </c:pt>
                <c:pt idx="383">
                  <c:v>0.281280788367404</c:v>
                </c:pt>
                <c:pt idx="384">
                  <c:v>0.28120118637735397</c:v>
                </c:pt>
                <c:pt idx="385">
                  <c:v>0.28109682915629802</c:v>
                </c:pt>
                <c:pt idx="386">
                  <c:v>0.28096551348826898</c:v>
                </c:pt>
                <c:pt idx="387">
                  <c:v>0.28087530609217898</c:v>
                </c:pt>
                <c:pt idx="388">
                  <c:v>0.28082573164645003</c:v>
                </c:pt>
                <c:pt idx="389">
                  <c:v>0.28086110507277101</c:v>
                </c:pt>
                <c:pt idx="390">
                  <c:v>0.28079454786133201</c:v>
                </c:pt>
                <c:pt idx="391">
                  <c:v>0.28068456422794402</c:v>
                </c:pt>
                <c:pt idx="392">
                  <c:v>0.280480373223362</c:v>
                </c:pt>
                <c:pt idx="393">
                  <c:v>0.28034373323348499</c:v>
                </c:pt>
                <c:pt idx="394">
                  <c:v>0.28028103053619902</c:v>
                </c:pt>
                <c:pt idx="395">
                  <c:v>0.28013114195980199</c:v>
                </c:pt>
                <c:pt idx="396">
                  <c:v>0.27990431321625597</c:v>
                </c:pt>
                <c:pt idx="397">
                  <c:v>0.27967350998167401</c:v>
                </c:pt>
                <c:pt idx="398">
                  <c:v>0.279379757812735</c:v>
                </c:pt>
                <c:pt idx="399">
                  <c:v>0.27908232795285798</c:v>
                </c:pt>
                <c:pt idx="400">
                  <c:v>0.278738185686221</c:v>
                </c:pt>
                <c:pt idx="401">
                  <c:v>0.278443538206812</c:v>
                </c:pt>
                <c:pt idx="402">
                  <c:v>0.27820044416932499</c:v>
                </c:pt>
                <c:pt idx="403">
                  <c:v>0.27797762126014702</c:v>
                </c:pt>
                <c:pt idx="404">
                  <c:v>0.27774375965806197</c:v>
                </c:pt>
                <c:pt idx="405">
                  <c:v>0.27755932276599599</c:v>
                </c:pt>
                <c:pt idx="406">
                  <c:v>0.27743850785063101</c:v>
                </c:pt>
                <c:pt idx="407">
                  <c:v>0.27721249724289698</c:v>
                </c:pt>
                <c:pt idx="408">
                  <c:v>0.27697168699365099</c:v>
                </c:pt>
                <c:pt idx="409">
                  <c:v>0.27667936064378101</c:v>
                </c:pt>
                <c:pt idx="410">
                  <c:v>0.27641496615924699</c:v>
                </c:pt>
                <c:pt idx="411">
                  <c:v>0.27620497934937399</c:v>
                </c:pt>
                <c:pt idx="412">
                  <c:v>0.27602839722346201</c:v>
                </c:pt>
                <c:pt idx="413">
                  <c:v>0.275880523488648</c:v>
                </c:pt>
                <c:pt idx="414">
                  <c:v>0.275673623098598</c:v>
                </c:pt>
                <c:pt idx="415">
                  <c:v>0.27532118600275801</c:v>
                </c:pt>
                <c:pt idx="416">
                  <c:v>0.27490601447364399</c:v>
                </c:pt>
                <c:pt idx="417">
                  <c:v>0.27448116857963101</c:v>
                </c:pt>
                <c:pt idx="418">
                  <c:v>0.27407848019194397</c:v>
                </c:pt>
                <c:pt idx="419">
                  <c:v>0.27369724247958399</c:v>
                </c:pt>
                <c:pt idx="420">
                  <c:v>0.273329415638427</c:v>
                </c:pt>
                <c:pt idx="421">
                  <c:v>0.272943855305671</c:v>
                </c:pt>
                <c:pt idx="422">
                  <c:v>0.27248342047408303</c:v>
                </c:pt>
                <c:pt idx="423">
                  <c:v>0.272083644662095</c:v>
                </c:pt>
                <c:pt idx="424">
                  <c:v>0.27169109835789201</c:v>
                </c:pt>
                <c:pt idx="425">
                  <c:v>0.27131655996913401</c:v>
                </c:pt>
                <c:pt idx="426">
                  <c:v>0.27092872000645402</c:v>
                </c:pt>
                <c:pt idx="427">
                  <c:v>0.27055274199368601</c:v>
                </c:pt>
                <c:pt idx="428">
                  <c:v>0.27019682898554698</c:v>
                </c:pt>
                <c:pt idx="429">
                  <c:v>0.26983372652229598</c:v>
                </c:pt>
                <c:pt idx="430">
                  <c:v>0.26948416306353901</c:v>
                </c:pt>
                <c:pt idx="431">
                  <c:v>0.26913339586920698</c:v>
                </c:pt>
                <c:pt idx="432">
                  <c:v>0.26879368785538199</c:v>
                </c:pt>
                <c:pt idx="433">
                  <c:v>0.26846936120913401</c:v>
                </c:pt>
                <c:pt idx="434">
                  <c:v>0.26809678715553398</c:v>
                </c:pt>
                <c:pt idx="435">
                  <c:v>0.26782291637222899</c:v>
                </c:pt>
                <c:pt idx="436">
                  <c:v>0.26738644619594298</c:v>
                </c:pt>
                <c:pt idx="437">
                  <c:v>0.26697559823119998</c:v>
                </c:pt>
                <c:pt idx="438">
                  <c:v>0.26660675154241098</c:v>
                </c:pt>
                <c:pt idx="439">
                  <c:v>0.266204852225365</c:v>
                </c:pt>
                <c:pt idx="440">
                  <c:v>0.26571542386091601</c:v>
                </c:pt>
                <c:pt idx="441">
                  <c:v>0.26531272484601698</c:v>
                </c:pt>
                <c:pt idx="442">
                  <c:v>0.26485239247474401</c:v>
                </c:pt>
                <c:pt idx="443">
                  <c:v>0.26446811264312398</c:v>
                </c:pt>
                <c:pt idx="444">
                  <c:v>0.26397559224622302</c:v>
                </c:pt>
                <c:pt idx="445">
                  <c:v>0.26350375892984301</c:v>
                </c:pt>
                <c:pt idx="446">
                  <c:v>0.26313338093482103</c:v>
                </c:pt>
                <c:pt idx="447">
                  <c:v>0.26278723181224101</c:v>
                </c:pt>
                <c:pt idx="448">
                  <c:v>0.26242902688429898</c:v>
                </c:pt>
                <c:pt idx="449">
                  <c:v>0.262018735079033</c:v>
                </c:pt>
                <c:pt idx="450">
                  <c:v>0.26167402882255802</c:v>
                </c:pt>
                <c:pt idx="451">
                  <c:v>0.26136952338983399</c:v>
                </c:pt>
                <c:pt idx="452">
                  <c:v>0.261143085858074</c:v>
                </c:pt>
                <c:pt idx="453">
                  <c:v>0.26078599073607001</c:v>
                </c:pt>
                <c:pt idx="454">
                  <c:v>0.260589451888183</c:v>
                </c:pt>
                <c:pt idx="455">
                  <c:v>0.26056529636451298</c:v>
                </c:pt>
                <c:pt idx="456">
                  <c:v>0.26044009600678097</c:v>
                </c:pt>
                <c:pt idx="457">
                  <c:v>0.26031370968267897</c:v>
                </c:pt>
                <c:pt idx="458">
                  <c:v>0.26026904902201897</c:v>
                </c:pt>
                <c:pt idx="459">
                  <c:v>0.26016218723016998</c:v>
                </c:pt>
                <c:pt idx="460">
                  <c:v>0.26004894530622003</c:v>
                </c:pt>
                <c:pt idx="461">
                  <c:v>0.25999399841809601</c:v>
                </c:pt>
                <c:pt idx="462">
                  <c:v>0.259986665576941</c:v>
                </c:pt>
                <c:pt idx="463">
                  <c:v>0.25999255983590902</c:v>
                </c:pt>
                <c:pt idx="464">
                  <c:v>0.25996774200731498</c:v>
                </c:pt>
                <c:pt idx="465">
                  <c:v>0.259888188586754</c:v>
                </c:pt>
                <c:pt idx="466">
                  <c:v>0.25989906041302402</c:v>
                </c:pt>
                <c:pt idx="467">
                  <c:v>0.260001714620334</c:v>
                </c:pt>
                <c:pt idx="468">
                  <c:v>0.26009523029777998</c:v>
                </c:pt>
                <c:pt idx="469">
                  <c:v>0.26019663334231402</c:v>
                </c:pt>
                <c:pt idx="470">
                  <c:v>0.26028625055223897</c:v>
                </c:pt>
                <c:pt idx="471">
                  <c:v>0.26043361322389902</c:v>
                </c:pt>
                <c:pt idx="472">
                  <c:v>0.26066205326845399</c:v>
                </c:pt>
                <c:pt idx="473">
                  <c:v>0.26091065248009299</c:v>
                </c:pt>
                <c:pt idx="474">
                  <c:v>0.26117413397518702</c:v>
                </c:pt>
                <c:pt idx="475">
                  <c:v>0.26150732923268499</c:v>
                </c:pt>
                <c:pt idx="476">
                  <c:v>0.261804293341869</c:v>
                </c:pt>
                <c:pt idx="477">
                  <c:v>0.26207989088239297</c:v>
                </c:pt>
                <c:pt idx="478">
                  <c:v>0.26244073771784698</c:v>
                </c:pt>
                <c:pt idx="479">
                  <c:v>0.26289780880114699</c:v>
                </c:pt>
                <c:pt idx="480">
                  <c:v>0.26327349432403102</c:v>
                </c:pt>
                <c:pt idx="481">
                  <c:v>0.26360019873544899</c:v>
                </c:pt>
                <c:pt idx="482">
                  <c:v>0.263918916246145</c:v>
                </c:pt>
                <c:pt idx="483">
                  <c:v>0.26419852141797801</c:v>
                </c:pt>
                <c:pt idx="484">
                  <c:v>0.26448035576665702</c:v>
                </c:pt>
                <c:pt idx="485">
                  <c:v>0.26475744537073198</c:v>
                </c:pt>
                <c:pt idx="486">
                  <c:v>0.265059673781813</c:v>
                </c:pt>
                <c:pt idx="487">
                  <c:v>0.26531920260494302</c:v>
                </c:pt>
                <c:pt idx="488">
                  <c:v>0.26555921794982001</c:v>
                </c:pt>
                <c:pt idx="489">
                  <c:v>0.26579289962260799</c:v>
                </c:pt>
                <c:pt idx="490">
                  <c:v>0.26610887499443803</c:v>
                </c:pt>
                <c:pt idx="491">
                  <c:v>0.26650885719598</c:v>
                </c:pt>
                <c:pt idx="492">
                  <c:v>0.266878866205423</c:v>
                </c:pt>
                <c:pt idx="493">
                  <c:v>0.26723753543493201</c:v>
                </c:pt>
                <c:pt idx="494">
                  <c:v>0.267526098772502</c:v>
                </c:pt>
                <c:pt idx="495">
                  <c:v>0.26780947596697802</c:v>
                </c:pt>
                <c:pt idx="496">
                  <c:v>0.26808705693694701</c:v>
                </c:pt>
                <c:pt idx="497">
                  <c:v>0.26838677734349897</c:v>
                </c:pt>
                <c:pt idx="498">
                  <c:v>0.26870980244725701</c:v>
                </c:pt>
                <c:pt idx="499">
                  <c:v>0.26903351281350502</c:v>
                </c:pt>
                <c:pt idx="500">
                  <c:v>0.26933828006757998</c:v>
                </c:pt>
                <c:pt idx="501">
                  <c:v>0.26952326388123998</c:v>
                </c:pt>
                <c:pt idx="502">
                  <c:v>0.26971607418354898</c:v>
                </c:pt>
                <c:pt idx="503">
                  <c:v>0.26996844518569701</c:v>
                </c:pt>
                <c:pt idx="504">
                  <c:v>0.27034690547809398</c:v>
                </c:pt>
                <c:pt idx="505">
                  <c:v>0.27066947857561202</c:v>
                </c:pt>
                <c:pt idx="506">
                  <c:v>0.27105186752279598</c:v>
                </c:pt>
                <c:pt idx="507">
                  <c:v>0.27141933366529303</c:v>
                </c:pt>
                <c:pt idx="508">
                  <c:v>0.27181116064678101</c:v>
                </c:pt>
                <c:pt idx="509">
                  <c:v>0.272213377912633</c:v>
                </c:pt>
                <c:pt idx="510">
                  <c:v>0.27247541068970699</c:v>
                </c:pt>
                <c:pt idx="511">
                  <c:v>0.27273992501104199</c:v>
                </c:pt>
                <c:pt idx="512">
                  <c:v>0.27299830597397801</c:v>
                </c:pt>
                <c:pt idx="513">
                  <c:v>0.27319423912478802</c:v>
                </c:pt>
                <c:pt idx="514">
                  <c:v>0.27345162079928997</c:v>
                </c:pt>
                <c:pt idx="515">
                  <c:v>0.27380201690793199</c:v>
                </c:pt>
                <c:pt idx="516">
                  <c:v>0.27408107166869</c:v>
                </c:pt>
                <c:pt idx="517">
                  <c:v>0.27450583271385498</c:v>
                </c:pt>
                <c:pt idx="518">
                  <c:v>0.27483019971619499</c:v>
                </c:pt>
                <c:pt idx="519">
                  <c:v>0.27518681754903801</c:v>
                </c:pt>
                <c:pt idx="520">
                  <c:v>0.27554900770691398</c:v>
                </c:pt>
                <c:pt idx="521">
                  <c:v>0.27584671495402802</c:v>
                </c:pt>
                <c:pt idx="522">
                  <c:v>0.276212127702199</c:v>
                </c:pt>
                <c:pt idx="523">
                  <c:v>0.27654258376726398</c:v>
                </c:pt>
                <c:pt idx="524">
                  <c:v>0.27684028437542202</c:v>
                </c:pt>
                <c:pt idx="525">
                  <c:v>0.27707980780258001</c:v>
                </c:pt>
                <c:pt idx="526">
                  <c:v>0.27727229320496599</c:v>
                </c:pt>
                <c:pt idx="527">
                  <c:v>0.27746784158680599</c:v>
                </c:pt>
                <c:pt idx="528">
                  <c:v>0.27758486946628003</c:v>
                </c:pt>
                <c:pt idx="529">
                  <c:v>0.277652285651659</c:v>
                </c:pt>
                <c:pt idx="530">
                  <c:v>0.27769320539465198</c:v>
                </c:pt>
                <c:pt idx="531">
                  <c:v>0.27771800642332101</c:v>
                </c:pt>
                <c:pt idx="532">
                  <c:v>0.27774634134485099</c:v>
                </c:pt>
                <c:pt idx="533">
                  <c:v>0.27763505926522503</c:v>
                </c:pt>
                <c:pt idx="534">
                  <c:v>0.27754032646592702</c:v>
                </c:pt>
                <c:pt idx="535">
                  <c:v>0.27754554246306401</c:v>
                </c:pt>
                <c:pt idx="536">
                  <c:v>0.27754620136081198</c:v>
                </c:pt>
                <c:pt idx="537">
                  <c:v>0.27761168601306002</c:v>
                </c:pt>
                <c:pt idx="538">
                  <c:v>0.27766690121224802</c:v>
                </c:pt>
                <c:pt idx="539">
                  <c:v>0.277691031286107</c:v>
                </c:pt>
                <c:pt idx="540">
                  <c:v>0.27768977851417498</c:v>
                </c:pt>
                <c:pt idx="541">
                  <c:v>0.27757327708465901</c:v>
                </c:pt>
                <c:pt idx="542">
                  <c:v>0.27738128297727799</c:v>
                </c:pt>
                <c:pt idx="543">
                  <c:v>0.27717691312945197</c:v>
                </c:pt>
                <c:pt idx="544">
                  <c:v>0.27698396188650998</c:v>
                </c:pt>
                <c:pt idx="545">
                  <c:v>0.27690119207883401</c:v>
                </c:pt>
                <c:pt idx="546">
                  <c:v>0.276861471080523</c:v>
                </c:pt>
                <c:pt idx="547">
                  <c:v>0.27683831204204901</c:v>
                </c:pt>
                <c:pt idx="548">
                  <c:v>0.276844771003594</c:v>
                </c:pt>
                <c:pt idx="549">
                  <c:v>0.27684554589923799</c:v>
                </c:pt>
                <c:pt idx="550">
                  <c:v>0.27686277888027999</c:v>
                </c:pt>
                <c:pt idx="551">
                  <c:v>0.27691075431758699</c:v>
                </c:pt>
                <c:pt idx="552">
                  <c:v>0.27701092992627502</c:v>
                </c:pt>
                <c:pt idx="553">
                  <c:v>0.27703806287344201</c:v>
                </c:pt>
                <c:pt idx="554">
                  <c:v>0.27703143266151098</c:v>
                </c:pt>
                <c:pt idx="555">
                  <c:v>0.27707756320371701</c:v>
                </c:pt>
                <c:pt idx="556">
                  <c:v>0.27712920715536099</c:v>
                </c:pt>
                <c:pt idx="557">
                  <c:v>0.27729572538654701</c:v>
                </c:pt>
                <c:pt idx="558">
                  <c:v>0.27752565829763298</c:v>
                </c:pt>
                <c:pt idx="559">
                  <c:v>0.27779409216676598</c:v>
                </c:pt>
                <c:pt idx="560">
                  <c:v>0.27816760656414902</c:v>
                </c:pt>
                <c:pt idx="561">
                  <c:v>0.27848874372661497</c:v>
                </c:pt>
                <c:pt idx="562">
                  <c:v>0.27882834622206698</c:v>
                </c:pt>
                <c:pt idx="563">
                  <c:v>0.279041293051629</c:v>
                </c:pt>
                <c:pt idx="564">
                  <c:v>0.27924736150570501</c:v>
                </c:pt>
                <c:pt idx="565">
                  <c:v>0.27950809441080898</c:v>
                </c:pt>
                <c:pt idx="566">
                  <c:v>0.27977192633583903</c:v>
                </c:pt>
                <c:pt idx="567">
                  <c:v>0.28007364420277397</c:v>
                </c:pt>
                <c:pt idx="568">
                  <c:v>0.28031143520998603</c:v>
                </c:pt>
                <c:pt idx="569">
                  <c:v>0.28055860694155199</c:v>
                </c:pt>
                <c:pt idx="570">
                  <c:v>0.28074832142366402</c:v>
                </c:pt>
                <c:pt idx="571">
                  <c:v>0.28093079982824498</c:v>
                </c:pt>
                <c:pt idx="572">
                  <c:v>0.28117794306469202</c:v>
                </c:pt>
                <c:pt idx="573">
                  <c:v>0.28136263814060197</c:v>
                </c:pt>
                <c:pt idx="574">
                  <c:v>0.28155569569287803</c:v>
                </c:pt>
                <c:pt idx="575">
                  <c:v>0.28177187228805001</c:v>
                </c:pt>
                <c:pt idx="576">
                  <c:v>0.28210866661294998</c:v>
                </c:pt>
                <c:pt idx="577">
                  <c:v>0.28242578564371101</c:v>
                </c:pt>
                <c:pt idx="578">
                  <c:v>0.28265055620539897</c:v>
                </c:pt>
                <c:pt idx="579">
                  <c:v>0.28280773809561799</c:v>
                </c:pt>
                <c:pt idx="580">
                  <c:v>0.28302147120806997</c:v>
                </c:pt>
                <c:pt idx="581">
                  <c:v>0.28320985374979002</c:v>
                </c:pt>
                <c:pt idx="582">
                  <c:v>0.283328679934852</c:v>
                </c:pt>
                <c:pt idx="583">
                  <c:v>0.28342995873159899</c:v>
                </c:pt>
                <c:pt idx="584">
                  <c:v>0.283484181752574</c:v>
                </c:pt>
                <c:pt idx="585">
                  <c:v>0.28348958997877099</c:v>
                </c:pt>
                <c:pt idx="586">
                  <c:v>0.28349856813394703</c:v>
                </c:pt>
                <c:pt idx="587">
                  <c:v>0.28353214563860801</c:v>
                </c:pt>
                <c:pt idx="588">
                  <c:v>0.28365415384326398</c:v>
                </c:pt>
                <c:pt idx="589">
                  <c:v>0.28362578961596102</c:v>
                </c:pt>
                <c:pt idx="590">
                  <c:v>0.28359665741128198</c:v>
                </c:pt>
                <c:pt idx="591">
                  <c:v>0.28357809149059499</c:v>
                </c:pt>
                <c:pt idx="592">
                  <c:v>0.28349736625900801</c:v>
                </c:pt>
                <c:pt idx="593">
                  <c:v>0.283478070164289</c:v>
                </c:pt>
                <c:pt idx="594">
                  <c:v>0.28343235571268</c:v>
                </c:pt>
                <c:pt idx="595">
                  <c:v>0.283374901626259</c:v>
                </c:pt>
                <c:pt idx="596">
                  <c:v>0.28336796426298</c:v>
                </c:pt>
                <c:pt idx="597">
                  <c:v>0.28330105192743399</c:v>
                </c:pt>
                <c:pt idx="598">
                  <c:v>0.28331166822253101</c:v>
                </c:pt>
                <c:pt idx="599">
                  <c:v>0.28339646945119201</c:v>
                </c:pt>
                <c:pt idx="600">
                  <c:v>0.28350399586066199</c:v>
                </c:pt>
                <c:pt idx="601">
                  <c:v>0.28364929229046998</c:v>
                </c:pt>
                <c:pt idx="602">
                  <c:v>0.28386548292550901</c:v>
                </c:pt>
                <c:pt idx="603">
                  <c:v>0.28411525452576503</c:v>
                </c:pt>
                <c:pt idx="604">
                  <c:v>0.28442852151277798</c:v>
                </c:pt>
                <c:pt idx="605">
                  <c:v>0.284806459488674</c:v>
                </c:pt>
                <c:pt idx="606">
                  <c:v>0.28514265086218599</c:v>
                </c:pt>
                <c:pt idx="607">
                  <c:v>0.28549554314178799</c:v>
                </c:pt>
                <c:pt idx="608">
                  <c:v>0.28587700130057597</c:v>
                </c:pt>
                <c:pt idx="609">
                  <c:v>0.28624035384918201</c:v>
                </c:pt>
                <c:pt idx="610">
                  <c:v>0.28654929746885299</c:v>
                </c:pt>
                <c:pt idx="611">
                  <c:v>0.28683873243004798</c:v>
                </c:pt>
                <c:pt idx="612">
                  <c:v>0.28707787059610002</c:v>
                </c:pt>
                <c:pt idx="613">
                  <c:v>0.28730772063748</c:v>
                </c:pt>
                <c:pt idx="614">
                  <c:v>0.28761774520275402</c:v>
                </c:pt>
                <c:pt idx="615">
                  <c:v>0.28800572498316501</c:v>
                </c:pt>
                <c:pt idx="616">
                  <c:v>0.28854029142013399</c:v>
                </c:pt>
                <c:pt idx="617">
                  <c:v>0.28905186964184598</c:v>
                </c:pt>
                <c:pt idx="618">
                  <c:v>0.28962111379896799</c:v>
                </c:pt>
                <c:pt idx="619">
                  <c:v>0.29014853334972102</c:v>
                </c:pt>
                <c:pt idx="620">
                  <c:v>0.29060679066880701</c:v>
                </c:pt>
                <c:pt idx="621">
                  <c:v>0.29102180401760402</c:v>
                </c:pt>
                <c:pt idx="622">
                  <c:v>0.29140712802873803</c:v>
                </c:pt>
                <c:pt idx="623">
                  <c:v>0.29174872883555097</c:v>
                </c:pt>
                <c:pt idx="624">
                  <c:v>0.29208296974480802</c:v>
                </c:pt>
                <c:pt idx="625">
                  <c:v>0.29235098123408798</c:v>
                </c:pt>
                <c:pt idx="626">
                  <c:v>0.29243786835138702</c:v>
                </c:pt>
                <c:pt idx="627">
                  <c:v>0.292587157150696</c:v>
                </c:pt>
                <c:pt idx="628">
                  <c:v>0.29271949071134801</c:v>
                </c:pt>
                <c:pt idx="629">
                  <c:v>0.29283990274347999</c:v>
                </c:pt>
                <c:pt idx="630">
                  <c:v>0.29292771054682099</c:v>
                </c:pt>
                <c:pt idx="631">
                  <c:v>0.29303410751019199</c:v>
                </c:pt>
                <c:pt idx="632">
                  <c:v>0.29310169388875001</c:v>
                </c:pt>
                <c:pt idx="633">
                  <c:v>0.29310689337398599</c:v>
                </c:pt>
                <c:pt idx="634">
                  <c:v>0.29315220899743799</c:v>
                </c:pt>
                <c:pt idx="635">
                  <c:v>0.293070289551288</c:v>
                </c:pt>
                <c:pt idx="636">
                  <c:v>0.29302291594829999</c:v>
                </c:pt>
                <c:pt idx="637">
                  <c:v>0.29294685219646299</c:v>
                </c:pt>
                <c:pt idx="638">
                  <c:v>0.292901444979773</c:v>
                </c:pt>
                <c:pt idx="639">
                  <c:v>0.29284323636655402</c:v>
                </c:pt>
                <c:pt idx="640">
                  <c:v>0.29268759166856401</c:v>
                </c:pt>
                <c:pt idx="641">
                  <c:v>0.29245437973255201</c:v>
                </c:pt>
                <c:pt idx="642">
                  <c:v>0.29217965832124498</c:v>
                </c:pt>
                <c:pt idx="643">
                  <c:v>0.291939586965274</c:v>
                </c:pt>
                <c:pt idx="644">
                  <c:v>0.291704914247015</c:v>
                </c:pt>
                <c:pt idx="645">
                  <c:v>0.29148635154380098</c:v>
                </c:pt>
                <c:pt idx="646">
                  <c:v>0.29132589967748002</c:v>
                </c:pt>
                <c:pt idx="647">
                  <c:v>0.29108398861462498</c:v>
                </c:pt>
                <c:pt idx="648">
                  <c:v>0.29089178357842799</c:v>
                </c:pt>
                <c:pt idx="649">
                  <c:v>0.29073224408058401</c:v>
                </c:pt>
                <c:pt idx="650">
                  <c:v>0.29061680458537598</c:v>
                </c:pt>
                <c:pt idx="651">
                  <c:v>0.29050675145150201</c:v>
                </c:pt>
                <c:pt idx="652">
                  <c:v>0.29032198361619199</c:v>
                </c:pt>
                <c:pt idx="653">
                  <c:v>0.29018886560691098</c:v>
                </c:pt>
                <c:pt idx="654">
                  <c:v>0.28996369626083901</c:v>
                </c:pt>
                <c:pt idx="655">
                  <c:v>0.28960299564904202</c:v>
                </c:pt>
                <c:pt idx="656">
                  <c:v>0.28934738679009497</c:v>
                </c:pt>
                <c:pt idx="657">
                  <c:v>0.28910931007173302</c:v>
                </c:pt>
                <c:pt idx="658">
                  <c:v>0.28886467052367898</c:v>
                </c:pt>
                <c:pt idx="659">
                  <c:v>0.28875013813714301</c:v>
                </c:pt>
                <c:pt idx="660">
                  <c:v>0.28871839409979599</c:v>
                </c:pt>
                <c:pt idx="661">
                  <c:v>0.28872445475263903</c:v>
                </c:pt>
              </c:numCache>
            </c:numRef>
          </c:val>
        </c:ser>
        <c:marker val="1"/>
        <c:axId val="215252992"/>
        <c:axId val="215254528"/>
      </c:lineChart>
      <c:dateAx>
        <c:axId val="215252992"/>
        <c:scaling>
          <c:orientation val="minMax"/>
        </c:scaling>
        <c:axPos val="b"/>
        <c:numFmt formatCode="yyyy/mm/dd" sourceLinked="1"/>
        <c:tickLblPos val="nextTo"/>
        <c:crossAx val="215254528"/>
        <c:crosses val="autoZero"/>
        <c:auto val="1"/>
        <c:lblOffset val="100"/>
      </c:dateAx>
      <c:valAx>
        <c:axId val="215254528"/>
        <c:scaling>
          <c:orientation val="minMax"/>
          <c:max val="0.37221876741825582"/>
          <c:min val="0.1314988444602366"/>
        </c:scaling>
        <c:axPos val="l"/>
        <c:majorGridlines/>
        <c:numFmt formatCode="General" sourceLinked="1"/>
        <c:majorTickMark val="none"/>
        <c:tickLblPos val="nextTo"/>
        <c:crossAx val="2152529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87E-2"/>
          <c:w val="0.11146820076747002"/>
          <c:h val="0.1504558576043829"/>
        </c:manualLayout>
      </c:layout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zh-CN"/>
              <a:t>BUY</a:t>
            </a:r>
            <a:endParaRPr lang="en-US" altLang="en-US"/>
          </a:p>
        </c:rich>
      </c:tx>
      <c:layout>
        <c:manualLayout>
          <c:xMode val="edge"/>
          <c:yMode val="edge"/>
          <c:x val="3.1670384017651793E-2"/>
          <c:y val="9.7680097680097697E-3"/>
        </c:manualLayout>
      </c:layout>
    </c:title>
    <c:plotArea>
      <c:layout>
        <c:manualLayout>
          <c:layoutTarget val="inner"/>
          <c:xMode val="edge"/>
          <c:yMode val="edge"/>
          <c:x val="0.14207645640026101"/>
          <c:y val="0.20550700393220084"/>
          <c:w val="0.8064687393392157"/>
          <c:h val="0.52286425735244635"/>
        </c:manualLayout>
      </c:layout>
      <c:lineChart>
        <c:grouping val="standard"/>
        <c:ser>
          <c:idx val="0"/>
          <c:order val="0"/>
          <c:tx>
            <c:strRef>
              <c:f>グラフ!$E$41</c:f>
              <c:strCache>
                <c:ptCount val="1"/>
                <c:pt idx="0">
                  <c:v>CLOSE_9072</c:v>
                </c:pt>
              </c:strCache>
            </c:strRef>
          </c:tx>
          <c:marker>
            <c:symbol val="none"/>
          </c:marker>
          <c:cat>
            <c:numRef>
              <c:f>グラフ!$A$42:$A$200</c:f>
              <c:numCache>
                <c:formatCode>yyyy/mm/dd</c:formatCode>
                <c:ptCount val="159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</c:numCache>
            </c:numRef>
          </c:cat>
          <c:val>
            <c:numRef>
              <c:f>グラフ!$E$42:$E$200</c:f>
              <c:numCache>
                <c:formatCode>General</c:formatCode>
                <c:ptCount val="159"/>
                <c:pt idx="0">
                  <c:v>2739</c:v>
                </c:pt>
                <c:pt idx="1">
                  <c:v>2711</c:v>
                </c:pt>
                <c:pt idx="2">
                  <c:v>2721</c:v>
                </c:pt>
                <c:pt idx="3">
                  <c:v>2752</c:v>
                </c:pt>
                <c:pt idx="4">
                  <c:v>2751</c:v>
                </c:pt>
                <c:pt idx="5">
                  <c:v>2724</c:v>
                </c:pt>
                <c:pt idx="6">
                  <c:v>2730</c:v>
                </c:pt>
                <c:pt idx="7">
                  <c:v>2706</c:v>
                </c:pt>
                <c:pt idx="8">
                  <c:v>2685</c:v>
                </c:pt>
                <c:pt idx="9">
                  <c:v>2730</c:v>
                </c:pt>
                <c:pt idx="10">
                  <c:v>2715</c:v>
                </c:pt>
                <c:pt idx="11">
                  <c:v>2727</c:v>
                </c:pt>
                <c:pt idx="12">
                  <c:v>2741</c:v>
                </c:pt>
                <c:pt idx="13">
                  <c:v>2725</c:v>
                </c:pt>
                <c:pt idx="14">
                  <c:v>2758</c:v>
                </c:pt>
                <c:pt idx="15">
                  <c:v>2715</c:v>
                </c:pt>
                <c:pt idx="16">
                  <c:v>2707</c:v>
                </c:pt>
                <c:pt idx="17">
                  <c:v>2694</c:v>
                </c:pt>
                <c:pt idx="18">
                  <c:v>2745</c:v>
                </c:pt>
                <c:pt idx="19">
                  <c:v>2743</c:v>
                </c:pt>
                <c:pt idx="20">
                  <c:v>2754</c:v>
                </c:pt>
                <c:pt idx="21">
                  <c:v>2705</c:v>
                </c:pt>
                <c:pt idx="22">
                  <c:v>2744</c:v>
                </c:pt>
                <c:pt idx="23">
                  <c:v>2764</c:v>
                </c:pt>
                <c:pt idx="24">
                  <c:v>2725</c:v>
                </c:pt>
                <c:pt idx="25">
                  <c:v>2706</c:v>
                </c:pt>
                <c:pt idx="26">
                  <c:v>2656</c:v>
                </c:pt>
                <c:pt idx="27">
                  <c:v>2713</c:v>
                </c:pt>
                <c:pt idx="28">
                  <c:v>2699</c:v>
                </c:pt>
                <c:pt idx="29">
                  <c:v>2622</c:v>
                </c:pt>
                <c:pt idx="30">
                  <c:v>2652</c:v>
                </c:pt>
                <c:pt idx="31">
                  <c:v>2629</c:v>
                </c:pt>
                <c:pt idx="32">
                  <c:v>2627</c:v>
                </c:pt>
                <c:pt idx="33">
                  <c:v>2595</c:v>
                </c:pt>
                <c:pt idx="34">
                  <c:v>2594</c:v>
                </c:pt>
                <c:pt idx="35">
                  <c:v>2593</c:v>
                </c:pt>
                <c:pt idx="36">
                  <c:v>2555</c:v>
                </c:pt>
                <c:pt idx="37">
                  <c:v>2574</c:v>
                </c:pt>
                <c:pt idx="38">
                  <c:v>2568</c:v>
                </c:pt>
                <c:pt idx="39">
                  <c:v>2573</c:v>
                </c:pt>
                <c:pt idx="40">
                  <c:v>2590</c:v>
                </c:pt>
                <c:pt idx="41">
                  <c:v>2563</c:v>
                </c:pt>
                <c:pt idx="42">
                  <c:v>2504</c:v>
                </c:pt>
                <c:pt idx="43">
                  <c:v>2484</c:v>
                </c:pt>
                <c:pt idx="44">
                  <c:v>2483</c:v>
                </c:pt>
                <c:pt idx="45">
                  <c:v>2461</c:v>
                </c:pt>
                <c:pt idx="46">
                  <c:v>2420</c:v>
                </c:pt>
                <c:pt idx="47">
                  <c:v>2423</c:v>
                </c:pt>
                <c:pt idx="48">
                  <c:v>2416</c:v>
                </c:pt>
                <c:pt idx="49">
                  <c:v>2497</c:v>
                </c:pt>
                <c:pt idx="50">
                  <c:v>2496</c:v>
                </c:pt>
                <c:pt idx="51">
                  <c:v>2460</c:v>
                </c:pt>
                <c:pt idx="52">
                  <c:v>2500</c:v>
                </c:pt>
                <c:pt idx="53">
                  <c:v>2592</c:v>
                </c:pt>
                <c:pt idx="54">
                  <c:v>2536</c:v>
                </c:pt>
                <c:pt idx="55">
                  <c:v>2500</c:v>
                </c:pt>
                <c:pt idx="56">
                  <c:v>2515</c:v>
                </c:pt>
                <c:pt idx="57">
                  <c:v>2564</c:v>
                </c:pt>
                <c:pt idx="58">
                  <c:v>2492</c:v>
                </c:pt>
                <c:pt idx="59">
                  <c:v>2529</c:v>
                </c:pt>
                <c:pt idx="60">
                  <c:v>2519</c:v>
                </c:pt>
                <c:pt idx="61">
                  <c:v>2494</c:v>
                </c:pt>
                <c:pt idx="62">
                  <c:v>2467</c:v>
                </c:pt>
                <c:pt idx="63">
                  <c:v>2423</c:v>
                </c:pt>
                <c:pt idx="64">
                  <c:v>2428</c:v>
                </c:pt>
                <c:pt idx="65">
                  <c:v>2407</c:v>
                </c:pt>
                <c:pt idx="66">
                  <c:v>2414</c:v>
                </c:pt>
                <c:pt idx="67">
                  <c:v>2328</c:v>
                </c:pt>
                <c:pt idx="68">
                  <c:v>2347</c:v>
                </c:pt>
                <c:pt idx="69">
                  <c:v>2331</c:v>
                </c:pt>
                <c:pt idx="70">
                  <c:v>2368</c:v>
                </c:pt>
                <c:pt idx="71">
                  <c:v>2328</c:v>
                </c:pt>
                <c:pt idx="72">
                  <c:v>2317</c:v>
                </c:pt>
                <c:pt idx="73">
                  <c:v>2347</c:v>
                </c:pt>
                <c:pt idx="74">
                  <c:v>2338</c:v>
                </c:pt>
                <c:pt idx="75">
                  <c:v>2394</c:v>
                </c:pt>
                <c:pt idx="76">
                  <c:v>2380</c:v>
                </c:pt>
                <c:pt idx="77">
                  <c:v>2377</c:v>
                </c:pt>
                <c:pt idx="78">
                  <c:v>2428</c:v>
                </c:pt>
                <c:pt idx="79">
                  <c:v>2401</c:v>
                </c:pt>
                <c:pt idx="80">
                  <c:v>2362</c:v>
                </c:pt>
                <c:pt idx="81">
                  <c:v>2336</c:v>
                </c:pt>
                <c:pt idx="82">
                  <c:v>2369</c:v>
                </c:pt>
                <c:pt idx="83">
                  <c:v>2317</c:v>
                </c:pt>
                <c:pt idx="84">
                  <c:v>2362</c:v>
                </c:pt>
                <c:pt idx="85">
                  <c:v>2360</c:v>
                </c:pt>
                <c:pt idx="86">
                  <c:v>2353</c:v>
                </c:pt>
                <c:pt idx="87">
                  <c:v>2322</c:v>
                </c:pt>
                <c:pt idx="88">
                  <c:v>2378</c:v>
                </c:pt>
                <c:pt idx="89">
                  <c:v>2439</c:v>
                </c:pt>
                <c:pt idx="90">
                  <c:v>2531</c:v>
                </c:pt>
                <c:pt idx="91">
                  <c:v>2557</c:v>
                </c:pt>
                <c:pt idx="92">
                  <c:v>2610</c:v>
                </c:pt>
                <c:pt idx="93">
                  <c:v>2574</c:v>
                </c:pt>
                <c:pt idx="94">
                  <c:v>2587</c:v>
                </c:pt>
                <c:pt idx="95">
                  <c:v>2588</c:v>
                </c:pt>
                <c:pt idx="96">
                  <c:v>2568</c:v>
                </c:pt>
                <c:pt idx="97">
                  <c:v>2571</c:v>
                </c:pt>
                <c:pt idx="98">
                  <c:v>2539</c:v>
                </c:pt>
                <c:pt idx="99">
                  <c:v>2570</c:v>
                </c:pt>
                <c:pt idx="100">
                  <c:v>2495</c:v>
                </c:pt>
                <c:pt idx="101">
                  <c:v>2603</c:v>
                </c:pt>
                <c:pt idx="102">
                  <c:v>2603</c:v>
                </c:pt>
                <c:pt idx="103">
                  <c:v>2596</c:v>
                </c:pt>
                <c:pt idx="104">
                  <c:v>2579</c:v>
                </c:pt>
                <c:pt idx="105">
                  <c:v>2546</c:v>
                </c:pt>
                <c:pt idx="106">
                  <c:v>2557</c:v>
                </c:pt>
                <c:pt idx="107">
                  <c:v>2585</c:v>
                </c:pt>
                <c:pt idx="108">
                  <c:v>2617</c:v>
                </c:pt>
                <c:pt idx="109">
                  <c:v>2621</c:v>
                </c:pt>
                <c:pt idx="110">
                  <c:v>2581</c:v>
                </c:pt>
                <c:pt idx="111">
                  <c:v>2594</c:v>
                </c:pt>
                <c:pt idx="112">
                  <c:v>2562</c:v>
                </c:pt>
                <c:pt idx="113">
                  <c:v>2472</c:v>
                </c:pt>
                <c:pt idx="114">
                  <c:v>2504</c:v>
                </c:pt>
                <c:pt idx="115">
                  <c:v>2469</c:v>
                </c:pt>
                <c:pt idx="116">
                  <c:v>2511</c:v>
                </c:pt>
                <c:pt idx="117">
                  <c:v>2519</c:v>
                </c:pt>
                <c:pt idx="118">
                  <c:v>2518</c:v>
                </c:pt>
                <c:pt idx="119">
                  <c:v>2551</c:v>
                </c:pt>
                <c:pt idx="120">
                  <c:v>2565</c:v>
                </c:pt>
                <c:pt idx="121">
                  <c:v>2520</c:v>
                </c:pt>
                <c:pt idx="122">
                  <c:v>2551</c:v>
                </c:pt>
                <c:pt idx="123">
                  <c:v>2577</c:v>
                </c:pt>
                <c:pt idx="124">
                  <c:v>2560</c:v>
                </c:pt>
                <c:pt idx="125">
                  <c:v>2599</c:v>
                </c:pt>
                <c:pt idx="126">
                  <c:v>2592</c:v>
                </c:pt>
                <c:pt idx="127">
                  <c:v>2598</c:v>
                </c:pt>
                <c:pt idx="128">
                  <c:v>2514</c:v>
                </c:pt>
                <c:pt idx="129">
                  <c:v>2505</c:v>
                </c:pt>
                <c:pt idx="130">
                  <c:v>2522</c:v>
                </c:pt>
                <c:pt idx="131">
                  <c:v>2438</c:v>
                </c:pt>
                <c:pt idx="132">
                  <c:v>2456</c:v>
                </c:pt>
                <c:pt idx="133">
                  <c:v>2467</c:v>
                </c:pt>
                <c:pt idx="134">
                  <c:v>2506</c:v>
                </c:pt>
                <c:pt idx="135">
                  <c:v>2506</c:v>
                </c:pt>
                <c:pt idx="136">
                  <c:v>2513</c:v>
                </c:pt>
                <c:pt idx="137">
                  <c:v>2531</c:v>
                </c:pt>
                <c:pt idx="138">
                  <c:v>2504</c:v>
                </c:pt>
                <c:pt idx="139">
                  <c:v>2494</c:v>
                </c:pt>
                <c:pt idx="140">
                  <c:v>2515</c:v>
                </c:pt>
                <c:pt idx="141">
                  <c:v>2554</c:v>
                </c:pt>
                <c:pt idx="142">
                  <c:v>2596</c:v>
                </c:pt>
                <c:pt idx="143">
                  <c:v>2573</c:v>
                </c:pt>
                <c:pt idx="144">
                  <c:v>2544</c:v>
                </c:pt>
                <c:pt idx="145">
                  <c:v>2530</c:v>
                </c:pt>
                <c:pt idx="146">
                  <c:v>2538</c:v>
                </c:pt>
                <c:pt idx="147">
                  <c:v>2521</c:v>
                </c:pt>
                <c:pt idx="148">
                  <c:v>2431</c:v>
                </c:pt>
                <c:pt idx="149">
                  <c:v>2438</c:v>
                </c:pt>
                <c:pt idx="150">
                  <c:v>2516</c:v>
                </c:pt>
                <c:pt idx="151">
                  <c:v>2579</c:v>
                </c:pt>
                <c:pt idx="152">
                  <c:v>2617</c:v>
                </c:pt>
                <c:pt idx="153">
                  <c:v>2688</c:v>
                </c:pt>
                <c:pt idx="154">
                  <c:v>2646</c:v>
                </c:pt>
                <c:pt idx="155">
                  <c:v>2692</c:v>
                </c:pt>
                <c:pt idx="156">
                  <c:v>2631</c:v>
                </c:pt>
                <c:pt idx="157">
                  <c:v>2625</c:v>
                </c:pt>
                <c:pt idx="158">
                  <c:v>2633</c:v>
                </c:pt>
              </c:numCache>
            </c:numRef>
          </c:val>
        </c:ser>
        <c:marker val="1"/>
        <c:axId val="216814720"/>
        <c:axId val="216816256"/>
      </c:lineChart>
      <c:dateAx>
        <c:axId val="216814720"/>
        <c:scaling>
          <c:orientation val="minMax"/>
        </c:scaling>
        <c:axPos val="b"/>
        <c:numFmt formatCode="yyyy/mm/dd" sourceLinked="1"/>
        <c:tickLblPos val="nextTo"/>
        <c:crossAx val="216816256"/>
        <c:crosses val="autoZero"/>
        <c:auto val="1"/>
        <c:lblOffset val="100"/>
      </c:dateAx>
      <c:valAx>
        <c:axId val="216816256"/>
        <c:scaling>
          <c:orientation val="minMax"/>
          <c:min val="100"/>
        </c:scaling>
        <c:axPos val="l"/>
        <c:majorGridlines/>
        <c:numFmt formatCode="General" sourceLinked="1"/>
        <c:tickLblPos val="nextTo"/>
        <c:crossAx val="216814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579552641081489"/>
          <c:y val="5.2849932220010984E-2"/>
          <c:w val="0.25619971351792403"/>
          <c:h val="8.8317037293415224E-2"/>
        </c:manualLayout>
      </c:layout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776"/>
          <c:y val="0.32811630502905509"/>
          <c:w val="0.65364151343755761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214985344"/>
        <c:axId val="214995328"/>
      </c:lineChart>
      <c:catAx>
        <c:axId val="214985344"/>
        <c:scaling>
          <c:orientation val="minMax"/>
        </c:scaling>
        <c:axPos val="b"/>
        <c:numFmt formatCode="General" sourceLinked="1"/>
        <c:tickLblPos val="nextTo"/>
        <c:crossAx val="214995328"/>
        <c:crosses val="autoZero"/>
        <c:auto val="1"/>
        <c:lblAlgn val="ctr"/>
        <c:lblOffset val="100"/>
      </c:catAx>
      <c:valAx>
        <c:axId val="214995328"/>
        <c:scaling>
          <c:orientation val="minMax"/>
        </c:scaling>
        <c:axPos val="l"/>
        <c:majorGridlines/>
        <c:numFmt formatCode="General" sourceLinked="1"/>
        <c:tickLblPos val="nextTo"/>
        <c:crossAx val="2149853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180975</xdr:colOff>
      <xdr:row>9</xdr:row>
      <xdr:rowOff>76200</xdr:rowOff>
    </xdr:from>
    <xdr:to>
      <xdr:col>25</xdr:col>
      <xdr:colOff>161925</xdr:colOff>
      <xdr:row>24</xdr:row>
      <xdr:rowOff>9525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200026</xdr:colOff>
      <xdr:row>24</xdr:row>
      <xdr:rowOff>133349</xdr:rowOff>
    </xdr:from>
    <xdr:to>
      <xdr:col>25</xdr:col>
      <xdr:colOff>171450</xdr:colOff>
      <xdr:row>39</xdr:row>
      <xdr:rowOff>9524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11"/>
  <sheetViews>
    <sheetView showGridLines="0" zoomScale="115" zoomScaleNormal="115" workbookViewId="0">
      <selection activeCell="B20" sqref="B20"/>
    </sheetView>
  </sheetViews>
  <sheetFormatPr defaultRowHeight="14.25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>
      <c r="C1" s="63" t="s">
        <v>186</v>
      </c>
      <c r="D1" s="18"/>
      <c r="H1" s="1"/>
      <c r="I1" s="18" t="s">
        <v>44</v>
      </c>
      <c r="J1" s="62"/>
      <c r="K1" s="200">
        <v>43812</v>
      </c>
      <c r="L1" s="201"/>
      <c r="M1" s="28"/>
      <c r="N1" s="18" t="s">
        <v>288</v>
      </c>
      <c r="P1" s="200">
        <f ca="1">TODAY()</f>
        <v>43812</v>
      </c>
      <c r="Q1" s="202"/>
      <c r="U1" s="63" t="s">
        <v>43</v>
      </c>
      <c r="V1" s="63"/>
    </row>
    <row r="2" spans="2:23" ht="16.5" customHeight="1" thickBot="1">
      <c r="J2" s="285">
        <f>SUM(J4:J64)</f>
        <v>8124300</v>
      </c>
      <c r="R2" s="133">
        <f ca="1">SUM(R4:R64)</f>
        <v>35868.362191780827</v>
      </c>
      <c r="S2" s="97">
        <f ca="1">SUM(S4:S64)</f>
        <v>1.7525669501233094E-2</v>
      </c>
    </row>
    <row r="3" spans="2:23" ht="24.75" thickBot="1">
      <c r="C3" s="64" t="s">
        <v>169</v>
      </c>
      <c r="D3" s="74" t="s">
        <v>193</v>
      </c>
      <c r="E3" s="66"/>
      <c r="F3" s="65" t="s">
        <v>90</v>
      </c>
      <c r="G3" s="67" t="s">
        <v>91</v>
      </c>
      <c r="H3" s="68" t="s">
        <v>170</v>
      </c>
      <c r="I3" s="68" t="s">
        <v>171</v>
      </c>
      <c r="J3" s="66" t="s">
        <v>42</v>
      </c>
      <c r="K3" s="66" t="s">
        <v>172</v>
      </c>
      <c r="L3" s="68" t="s">
        <v>173</v>
      </c>
      <c r="M3" s="69" t="s">
        <v>194</v>
      </c>
      <c r="N3" s="66" t="s">
        <v>174</v>
      </c>
      <c r="O3" s="69" t="s">
        <v>188</v>
      </c>
      <c r="P3" s="66" t="s">
        <v>281</v>
      </c>
      <c r="Q3" s="66" t="s">
        <v>175</v>
      </c>
      <c r="R3" s="69" t="s">
        <v>190</v>
      </c>
      <c r="S3" s="72" t="s">
        <v>191</v>
      </c>
      <c r="T3" s="71"/>
      <c r="U3" s="73" t="s">
        <v>287</v>
      </c>
      <c r="V3" s="73" t="s">
        <v>192</v>
      </c>
      <c r="W3" s="70" t="s">
        <v>189</v>
      </c>
    </row>
    <row r="4" spans="2:23" s="112" customFormat="1">
      <c r="B4" s="130" t="s">
        <v>296</v>
      </c>
      <c r="C4" s="192">
        <f>ROW()/2-1</f>
        <v>1</v>
      </c>
      <c r="D4" s="194">
        <v>43802</v>
      </c>
      <c r="E4" s="39" t="s">
        <v>177</v>
      </c>
      <c r="F4" s="39">
        <v>3861</v>
      </c>
      <c r="G4" s="61" t="s">
        <v>85</v>
      </c>
      <c r="H4" s="55">
        <v>616</v>
      </c>
      <c r="I4" s="55">
        <v>1700</v>
      </c>
      <c r="J4" s="56">
        <f t="shared" ref="J4:J5" si="0">H4*I4</f>
        <v>1047200</v>
      </c>
      <c r="K4" s="58" t="s">
        <v>182</v>
      </c>
      <c r="L4" s="55">
        <v>643</v>
      </c>
      <c r="M4" s="39">
        <v>770</v>
      </c>
      <c r="N4" s="152">
        <f ca="1">IF(OR(K4="現物",J4=0),0,IF(E4="売",J4*Fee_Refer!$B$12/365*V4, J4*Fee_Refer!$B$11/365*#REF!))</f>
        <v>315.59452054794514</v>
      </c>
      <c r="O4" s="58">
        <v>92</v>
      </c>
      <c r="P4" s="155">
        <f ca="1">IF(L4 &gt;0,(H4-L4)*I4-M4-N4-O4,0)</f>
        <v>-47077.594520547944</v>
      </c>
      <c r="Q4" s="57">
        <f t="shared" ref="Q4:Q5" ca="1" si="1">P4/J4</f>
        <v>-4.4955686134977031E-2</v>
      </c>
      <c r="R4" s="196">
        <f ca="1">P4+P5</f>
        <v>40243.989041095898</v>
      </c>
      <c r="S4" s="197">
        <f t="shared" ref="S4" ca="1" si="2">R4/(J4+J5)</f>
        <v>1.9249970841431121E-2</v>
      </c>
      <c r="U4" s="199">
        <f ca="1">$P$1</f>
        <v>43812</v>
      </c>
      <c r="V4" s="190">
        <f t="shared" ref="V4" ca="1" si="3">IF(U4&gt;D4,DATEDIF(D4,U4,"d"),0)</f>
        <v>10</v>
      </c>
      <c r="W4" s="191"/>
    </row>
    <row r="5" spans="2:23" s="112" customFormat="1">
      <c r="B5" s="130" t="s">
        <v>1052</v>
      </c>
      <c r="C5" s="193"/>
      <c r="D5" s="195">
        <v>43748</v>
      </c>
      <c r="E5" s="35" t="s">
        <v>178</v>
      </c>
      <c r="F5" s="35">
        <v>5703</v>
      </c>
      <c r="G5" s="60" t="s">
        <v>330</v>
      </c>
      <c r="H5" s="52">
        <v>222</v>
      </c>
      <c r="I5" s="52">
        <v>4700</v>
      </c>
      <c r="J5" s="53">
        <f t="shared" si="0"/>
        <v>1043400</v>
      </c>
      <c r="K5" s="153" t="s">
        <v>183</v>
      </c>
      <c r="L5" s="47">
        <v>241</v>
      </c>
      <c r="M5" s="37">
        <v>770</v>
      </c>
      <c r="N5" s="154">
        <f ca="1">IF(OR(K5="現物",J5=0),0,IF(E5="売",J5*Fee_Refer!$B$12/365*V5, J5*Fee_Refer!$B$11/365*V4))</f>
        <v>800.41643835616446</v>
      </c>
      <c r="O5" s="141">
        <v>408</v>
      </c>
      <c r="P5" s="156">
        <f ca="1">IF(L5&gt;0,(L5-H5)*I5-M5-N5-O5,0)</f>
        <v>87321.583561643842</v>
      </c>
      <c r="Q5" s="54">
        <f t="shared" ca="1" si="1"/>
        <v>8.3689460956147058E-2</v>
      </c>
      <c r="R5" s="196"/>
      <c r="S5" s="198"/>
      <c r="U5" s="190"/>
      <c r="V5" s="190"/>
      <c r="W5" s="190"/>
    </row>
    <row r="6" spans="2:23" s="112" customFormat="1">
      <c r="B6" s="130" t="s">
        <v>296</v>
      </c>
      <c r="C6" s="192">
        <f>ROW()/2-1</f>
        <v>2</v>
      </c>
      <c r="D6" s="194">
        <v>43808</v>
      </c>
      <c r="E6" s="39" t="s">
        <v>284</v>
      </c>
      <c r="F6" s="39">
        <v>5991</v>
      </c>
      <c r="G6" s="61" t="s">
        <v>1317</v>
      </c>
      <c r="H6" s="55">
        <v>1013</v>
      </c>
      <c r="I6" s="55">
        <v>900</v>
      </c>
      <c r="J6" s="56">
        <f t="shared" ref="J6:J11" si="4">H6*I6</f>
        <v>911700</v>
      </c>
      <c r="K6" s="58" t="s">
        <v>1316</v>
      </c>
      <c r="L6" s="55">
        <v>1021</v>
      </c>
      <c r="M6" s="39">
        <v>770</v>
      </c>
      <c r="N6" s="152">
        <f ca="1">IF(OR(K6="現物",J6=0),0,IF(E6="売",J6*Fee_Refer!$B$12/365*V6, J6*Fee_Refer!$B$11/365*#REF!))</f>
        <v>109.9035616438356</v>
      </c>
      <c r="O6" s="58">
        <v>0</v>
      </c>
      <c r="P6" s="155">
        <f ca="1">IF(L6 &gt;0,(H6-L6)*I6-M6-N6-O6,0)</f>
        <v>-8079.9035616438359</v>
      </c>
      <c r="Q6" s="57">
        <f t="shared" ref="Q6:Q11" ca="1" si="5">P6/J6</f>
        <v>-8.8624586614498586E-3</v>
      </c>
      <c r="R6" s="196">
        <f ca="1">P6+P7</f>
        <v>6158.282739726028</v>
      </c>
      <c r="S6" s="197">
        <f t="shared" ref="S6" ca="1" si="6">R6/(J6+J7)</f>
        <v>3.3061055133548228E-3</v>
      </c>
      <c r="U6" s="199">
        <f ca="1">$P$1</f>
        <v>43812</v>
      </c>
      <c r="V6" s="190">
        <f t="shared" ref="V6" ca="1" si="7">IF(U6&gt;D6,DATEDIF(D6,U6,"d"),0)</f>
        <v>4</v>
      </c>
      <c r="W6" s="191"/>
    </row>
    <row r="7" spans="2:23" s="112" customFormat="1">
      <c r="B7" s="130" t="s">
        <v>1052</v>
      </c>
      <c r="C7" s="193"/>
      <c r="D7" s="195">
        <v>43748</v>
      </c>
      <c r="E7" s="35" t="s">
        <v>286</v>
      </c>
      <c r="F7" s="35">
        <v>7267</v>
      </c>
      <c r="G7" s="60" t="s">
        <v>1318</v>
      </c>
      <c r="H7" s="52">
        <v>3170</v>
      </c>
      <c r="I7" s="52">
        <v>300</v>
      </c>
      <c r="J7" s="53">
        <f t="shared" si="4"/>
        <v>951000</v>
      </c>
      <c r="K7" s="153" t="s">
        <v>1316</v>
      </c>
      <c r="L7" s="47">
        <v>3221</v>
      </c>
      <c r="M7" s="37">
        <v>770</v>
      </c>
      <c r="N7" s="154">
        <f ca="1">IF(OR(K7="現物",J7=0),0,IF(E7="売",J7*Fee_Refer!$B$12/365*V7, J7*Fee_Refer!$B$11/365*V6))</f>
        <v>291.81369863013697</v>
      </c>
      <c r="O7" s="177">
        <v>0</v>
      </c>
      <c r="P7" s="156">
        <f ca="1">IF(L7&gt;0,(L7-H7)*I7-M7-N7-O7,0)</f>
        <v>14238.186301369864</v>
      </c>
      <c r="Q7" s="54">
        <f t="shared" ca="1" si="5"/>
        <v>1.4971804733301645E-2</v>
      </c>
      <c r="R7" s="196"/>
      <c r="S7" s="198"/>
      <c r="U7" s="190"/>
      <c r="V7" s="190"/>
      <c r="W7" s="190"/>
    </row>
    <row r="8" spans="2:23" s="112" customFormat="1">
      <c r="B8" s="130" t="s">
        <v>296</v>
      </c>
      <c r="C8" s="192">
        <f>ROW()/2-1</f>
        <v>3</v>
      </c>
      <c r="D8" s="194">
        <v>43809</v>
      </c>
      <c r="E8" s="39" t="s">
        <v>284</v>
      </c>
      <c r="F8" s="39">
        <v>6471</v>
      </c>
      <c r="G8" s="61" t="s">
        <v>1321</v>
      </c>
      <c r="H8" s="55">
        <v>1067</v>
      </c>
      <c r="I8" s="55">
        <v>1000</v>
      </c>
      <c r="J8" s="56">
        <f t="shared" si="4"/>
        <v>1067000</v>
      </c>
      <c r="K8" s="58" t="s">
        <v>1323</v>
      </c>
      <c r="L8" s="55">
        <v>1088</v>
      </c>
      <c r="M8" s="39">
        <v>770</v>
      </c>
      <c r="N8" s="152">
        <f ca="1">IF(OR(K8="現物",J8=0),0,IF(E8="売",J8*Fee_Refer!$B$12/365*V8, J8*Fee_Refer!$B$11/365*#REF!))</f>
        <v>96.468493150684935</v>
      </c>
      <c r="O8" s="58">
        <v>0</v>
      </c>
      <c r="P8" s="155">
        <f ca="1">IF(L8 &gt;0,(H8-L8)*I8-M8-N8-O8,0)</f>
        <v>-21866.468493150685</v>
      </c>
      <c r="Q8" s="57">
        <f t="shared" ca="1" si="5"/>
        <v>-2.0493410021696988E-2</v>
      </c>
      <c r="R8" s="196">
        <f ca="1">P8+P9</f>
        <v>-6086.8575342465756</v>
      </c>
      <c r="S8" s="197">
        <f t="shared" ref="S8" ca="1" si="8">R8/(J8+J9)</f>
        <v>-2.8245278581190605E-3</v>
      </c>
      <c r="U8" s="199">
        <f ca="1">$P$1</f>
        <v>43812</v>
      </c>
      <c r="V8" s="190">
        <f t="shared" ref="V8" ca="1" si="9">IF(U8&gt;D8,DATEDIF(D8,U8,"d"),0)</f>
        <v>3</v>
      </c>
      <c r="W8" s="191"/>
    </row>
    <row r="9" spans="2:23" s="112" customFormat="1">
      <c r="B9" s="130" t="s">
        <v>1052</v>
      </c>
      <c r="C9" s="193"/>
      <c r="D9" s="195">
        <v>43748</v>
      </c>
      <c r="E9" s="35" t="s">
        <v>286</v>
      </c>
      <c r="F9" s="35">
        <v>6473</v>
      </c>
      <c r="G9" s="60" t="s">
        <v>1322</v>
      </c>
      <c r="H9" s="52">
        <v>1360</v>
      </c>
      <c r="I9" s="52">
        <v>800</v>
      </c>
      <c r="J9" s="53">
        <f t="shared" si="4"/>
        <v>1088000</v>
      </c>
      <c r="K9" s="153" t="s">
        <v>1323</v>
      </c>
      <c r="L9" s="47">
        <v>1381</v>
      </c>
      <c r="M9" s="37">
        <v>770</v>
      </c>
      <c r="N9" s="154">
        <f ca="1">IF(OR(K9="現物",J9=0),0,IF(E9="売",J9*Fee_Refer!$B$12/365*V9, J9*Fee_Refer!$B$11/365*V8))</f>
        <v>250.38904109589041</v>
      </c>
      <c r="O9" s="178">
        <v>0</v>
      </c>
      <c r="P9" s="156">
        <f ca="1">IF(L9&gt;0,(L9-H9)*I9-M9-N9-O9,0)</f>
        <v>15779.61095890411</v>
      </c>
      <c r="Q9" s="54">
        <f t="shared" ca="1" si="5"/>
        <v>1.4503318896051571E-2</v>
      </c>
      <c r="R9" s="196"/>
      <c r="S9" s="198"/>
      <c r="U9" s="190"/>
      <c r="V9" s="190"/>
      <c r="W9" s="190"/>
    </row>
    <row r="10" spans="2:23" s="112" customFormat="1">
      <c r="B10" s="130" t="s">
        <v>296</v>
      </c>
      <c r="C10" s="192">
        <f>ROW()/2-1</f>
        <v>4</v>
      </c>
      <c r="D10" s="194">
        <v>43811</v>
      </c>
      <c r="E10" s="39" t="s">
        <v>284</v>
      </c>
      <c r="F10" s="39">
        <v>1860</v>
      </c>
      <c r="G10" s="61" t="s">
        <v>1325</v>
      </c>
      <c r="H10" s="55">
        <v>730</v>
      </c>
      <c r="I10" s="55">
        <v>1400</v>
      </c>
      <c r="J10" s="56">
        <f t="shared" si="4"/>
        <v>1022000</v>
      </c>
      <c r="K10" s="58" t="s">
        <v>1324</v>
      </c>
      <c r="L10" s="55">
        <v>738</v>
      </c>
      <c r="M10" s="39">
        <v>770</v>
      </c>
      <c r="N10" s="152">
        <f ca="1">IF(OR(K10="現物",J10=0),0,IF(E10="売",J10*Fee_Refer!$B$12/365*V10, J10*Fee_Refer!$B$11/365*#REF!))</f>
        <v>30.8</v>
      </c>
      <c r="O10" s="58">
        <v>0</v>
      </c>
      <c r="P10" s="155">
        <f ca="1">IF(L10 &gt;0,(H10-L10)*I10-M10-N10-O10,0)</f>
        <v>-12000.8</v>
      </c>
      <c r="Q10" s="57">
        <f t="shared" ca="1" si="5"/>
        <v>-1.1742465753424657E-2</v>
      </c>
      <c r="R10" s="196">
        <f ca="1">P10+P11</f>
        <v>-4447.0520547945198</v>
      </c>
      <c r="S10" s="197">
        <f t="shared" ref="S10" ca="1" si="10">R10/(J10+J11)</f>
        <v>-2.2058789954337897E-3</v>
      </c>
      <c r="U10" s="199">
        <f ca="1">$P$1</f>
        <v>43812</v>
      </c>
      <c r="V10" s="190">
        <f t="shared" ref="V10" ca="1" si="11">IF(U10&gt;D10,DATEDIF(D10,U10,"d"),0)</f>
        <v>1</v>
      </c>
      <c r="W10" s="191"/>
    </row>
    <row r="11" spans="2:23" s="112" customFormat="1">
      <c r="B11" s="130" t="s">
        <v>1052</v>
      </c>
      <c r="C11" s="193"/>
      <c r="D11" s="195">
        <v>43748</v>
      </c>
      <c r="E11" s="35" t="s">
        <v>286</v>
      </c>
      <c r="F11" s="35">
        <v>5110</v>
      </c>
      <c r="G11" s="60" t="s">
        <v>1326</v>
      </c>
      <c r="H11" s="52">
        <v>1420</v>
      </c>
      <c r="I11" s="52">
        <v>700</v>
      </c>
      <c r="J11" s="53">
        <f t="shared" si="4"/>
        <v>994000</v>
      </c>
      <c r="K11" s="153" t="s">
        <v>1324</v>
      </c>
      <c r="L11" s="47">
        <v>1432</v>
      </c>
      <c r="M11" s="37">
        <v>770</v>
      </c>
      <c r="N11" s="154">
        <f ca="1">IF(OR(K11="現物",J11=0),0,IF(E11="売",J11*Fee_Refer!$B$12/365*V11, J11*Fee_Refer!$B$11/365*V10))</f>
        <v>76.252054794520546</v>
      </c>
      <c r="O11" s="189">
        <v>0</v>
      </c>
      <c r="P11" s="156">
        <f ca="1">IF(L11&gt;0,(L11-H11)*I11-M11-N11-O11,0)</f>
        <v>7553.7479452054795</v>
      </c>
      <c r="Q11" s="54">
        <f t="shared" ca="1" si="5"/>
        <v>7.599344009261046E-3</v>
      </c>
      <c r="R11" s="196"/>
      <c r="S11" s="198"/>
      <c r="U11" s="190"/>
      <c r="V11" s="190"/>
      <c r="W11" s="190"/>
    </row>
  </sheetData>
  <mergeCells count="30">
    <mergeCell ref="V6:V7"/>
    <mergeCell ref="W6:W7"/>
    <mergeCell ref="C6:C7"/>
    <mergeCell ref="D6:D7"/>
    <mergeCell ref="R6:R7"/>
    <mergeCell ref="S6:S7"/>
    <mergeCell ref="U6:U7"/>
    <mergeCell ref="K1:L1"/>
    <mergeCell ref="P1:Q1"/>
    <mergeCell ref="V4:V5"/>
    <mergeCell ref="W4:W5"/>
    <mergeCell ref="C4:C5"/>
    <mergeCell ref="D4:D5"/>
    <mergeCell ref="R4:R5"/>
    <mergeCell ref="S4:S5"/>
    <mergeCell ref="U4:U5"/>
    <mergeCell ref="V8:V9"/>
    <mergeCell ref="W8:W9"/>
    <mergeCell ref="C8:C9"/>
    <mergeCell ref="D8:D9"/>
    <mergeCell ref="R8:R9"/>
    <mergeCell ref="S8:S9"/>
    <mergeCell ref="U8:U9"/>
    <mergeCell ref="V10:V11"/>
    <mergeCell ref="W10:W11"/>
    <mergeCell ref="C10:C11"/>
    <mergeCell ref="D10:D11"/>
    <mergeCell ref="R10:R11"/>
    <mergeCell ref="S10:S11"/>
    <mergeCell ref="U10:U11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</hyperlink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33"/>
  <sheetViews>
    <sheetView showGridLines="0" zoomScaleNormal="100" workbookViewId="0">
      <selection activeCell="F42" sqref="F42"/>
    </sheetView>
  </sheetViews>
  <sheetFormatPr defaultRowHeight="14.25"/>
  <cols>
    <col min="1" max="1" width="0.5" customWidth="1"/>
    <col min="2" max="2" width="6.87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63" t="s">
        <v>282</v>
      </c>
      <c r="R2" s="99">
        <f>SUM(R4:R1010)</f>
        <v>518323.01041095867</v>
      </c>
      <c r="S2" s="286"/>
      <c r="U2" s="63" t="s">
        <v>167</v>
      </c>
    </row>
    <row r="3" spans="2:29" ht="30" customHeight="1" thickBot="1">
      <c r="C3" s="64" t="s">
        <v>169</v>
      </c>
      <c r="D3" s="98" t="s">
        <v>193</v>
      </c>
      <c r="E3" s="66"/>
      <c r="F3" s="67" t="s">
        <v>90</v>
      </c>
      <c r="G3" s="67" t="s">
        <v>91</v>
      </c>
      <c r="H3" s="69" t="s">
        <v>295</v>
      </c>
      <c r="I3" s="69" t="s">
        <v>292</v>
      </c>
      <c r="J3" s="66" t="s">
        <v>42</v>
      </c>
      <c r="K3" s="66" t="s">
        <v>172</v>
      </c>
      <c r="L3" s="69" t="s">
        <v>293</v>
      </c>
      <c r="M3" s="69" t="s">
        <v>194</v>
      </c>
      <c r="N3" s="66" t="s">
        <v>174</v>
      </c>
      <c r="O3" s="69" t="s">
        <v>188</v>
      </c>
      <c r="P3" s="68" t="s">
        <v>294</v>
      </c>
      <c r="Q3" s="68" t="s">
        <v>176</v>
      </c>
      <c r="R3" s="69" t="s">
        <v>190</v>
      </c>
      <c r="S3" s="72" t="s">
        <v>191</v>
      </c>
      <c r="T3" s="71"/>
      <c r="U3" s="73" t="s">
        <v>283</v>
      </c>
      <c r="V3" s="73" t="s">
        <v>192</v>
      </c>
      <c r="W3" s="73" t="s">
        <v>189</v>
      </c>
      <c r="AA3" s="73" t="s">
        <v>289</v>
      </c>
      <c r="AB3" s="73" t="s">
        <v>290</v>
      </c>
      <c r="AC3" s="73" t="s">
        <v>291</v>
      </c>
    </row>
    <row r="4" spans="2:29">
      <c r="B4" s="179"/>
      <c r="C4" s="219">
        <v>1</v>
      </c>
      <c r="D4" s="287">
        <v>43726</v>
      </c>
      <c r="E4" s="31" t="s">
        <v>284</v>
      </c>
      <c r="F4" s="31">
        <v>6472</v>
      </c>
      <c r="G4" s="59" t="s">
        <v>285</v>
      </c>
      <c r="H4" s="49">
        <v>320</v>
      </c>
      <c r="I4" s="32">
        <v>1200</v>
      </c>
      <c r="J4" s="50">
        <v>384000</v>
      </c>
      <c r="K4" s="43" t="s">
        <v>183</v>
      </c>
      <c r="L4" s="46">
        <v>313</v>
      </c>
      <c r="M4" s="33">
        <f>360+18+14</f>
        <v>392</v>
      </c>
      <c r="N4" s="34">
        <v>219</v>
      </c>
      <c r="O4" s="34">
        <v>60</v>
      </c>
      <c r="P4" s="31">
        <f>IF(L4 &gt;0,(H4-L4)*I4-M4-N4-O4,0)</f>
        <v>7729</v>
      </c>
      <c r="Q4" s="51">
        <f>P4/J4</f>
        <v>2.0127604166666667E-2</v>
      </c>
      <c r="R4" s="203">
        <f>P4+P5</f>
        <v>159</v>
      </c>
      <c r="S4" s="215">
        <f t="shared" ref="S4" si="0">R4/(J4+J5)</f>
        <v>2.1406645484409498E-4</v>
      </c>
      <c r="U4" s="223">
        <v>43742</v>
      </c>
      <c r="V4" s="217">
        <f>DATEDIF(D4,U4,"d")</f>
        <v>16</v>
      </c>
      <c r="W4" s="213" t="s">
        <v>1295</v>
      </c>
      <c r="AA4" s="203">
        <f>YEAR(U4)</f>
        <v>2019</v>
      </c>
      <c r="AB4" s="203">
        <f>MONTH(U4)</f>
        <v>10</v>
      </c>
      <c r="AC4" s="203" t="str">
        <f>IF(R4&gt;0,"○","☓")</f>
        <v>○</v>
      </c>
    </row>
    <row r="5" spans="2:29" ht="15" thickBot="1">
      <c r="B5" s="179"/>
      <c r="C5" s="193"/>
      <c r="D5" s="288"/>
      <c r="E5" s="35" t="s">
        <v>286</v>
      </c>
      <c r="F5" s="35">
        <v>6752</v>
      </c>
      <c r="G5" s="60" t="s">
        <v>126</v>
      </c>
      <c r="H5" s="52">
        <v>896.9</v>
      </c>
      <c r="I5" s="36">
        <v>400</v>
      </c>
      <c r="J5" s="53">
        <v>358760</v>
      </c>
      <c r="K5" s="44" t="s">
        <v>184</v>
      </c>
      <c r="L5" s="47">
        <v>880.4</v>
      </c>
      <c r="M5" s="37">
        <f>360+14+34</f>
        <v>408</v>
      </c>
      <c r="N5" s="38">
        <v>522</v>
      </c>
      <c r="O5" s="38">
        <f>200-160</f>
        <v>40</v>
      </c>
      <c r="P5" s="35">
        <f>IF(L5 &gt;0,(L5-H5)*I5-M5-N5-O5,0)</f>
        <v>-7570</v>
      </c>
      <c r="Q5" s="54">
        <f>P5/J5</f>
        <v>-2.1100457130114839E-2</v>
      </c>
      <c r="R5" s="198"/>
      <c r="S5" s="222"/>
      <c r="U5" s="224"/>
      <c r="V5" s="218"/>
      <c r="W5" s="214"/>
      <c r="AA5" s="198"/>
      <c r="AB5" s="198"/>
      <c r="AC5" s="198"/>
    </row>
    <row r="6" spans="2:29">
      <c r="B6" s="179"/>
      <c r="C6" s="219">
        <v>2</v>
      </c>
      <c r="D6" s="289">
        <v>43732</v>
      </c>
      <c r="E6" s="31" t="s">
        <v>177</v>
      </c>
      <c r="F6" s="31">
        <v>6305</v>
      </c>
      <c r="G6" s="59" t="s">
        <v>53</v>
      </c>
      <c r="H6" s="49">
        <v>2638</v>
      </c>
      <c r="I6" s="32">
        <v>300</v>
      </c>
      <c r="J6" s="50">
        <v>791400</v>
      </c>
      <c r="K6" s="43" t="s">
        <v>183</v>
      </c>
      <c r="L6" s="46">
        <v>2464</v>
      </c>
      <c r="M6" s="33">
        <f>700+35+28</f>
        <v>763</v>
      </c>
      <c r="N6" s="34">
        <v>477</v>
      </c>
      <c r="O6" s="34">
        <v>30</v>
      </c>
      <c r="P6" s="31">
        <f t="shared" ref="P6" si="1">IF(L6 &gt;0,(H6-L6)*I6-M6-N6-O6,0)</f>
        <v>50930</v>
      </c>
      <c r="Q6" s="51">
        <f t="shared" ref="Q6:Q33" si="2">P6/J6</f>
        <v>6.4354308819812994E-2</v>
      </c>
      <c r="R6" s="203">
        <f>P6+P7</f>
        <v>37649</v>
      </c>
      <c r="S6" s="197">
        <f t="shared" ref="S6" si="3">R6/(J6+J7)</f>
        <v>2.3845082019127242E-2</v>
      </c>
      <c r="T6" s="3"/>
      <c r="U6" s="220">
        <v>43748</v>
      </c>
      <c r="V6" s="221">
        <f>DATEDIF(D6,U6,"d")</f>
        <v>16</v>
      </c>
      <c r="W6" s="213" t="s">
        <v>1295</v>
      </c>
      <c r="AA6" s="203">
        <f t="shared" ref="AA6" si="4">YEAR(U6)</f>
        <v>2019</v>
      </c>
      <c r="AB6" s="203">
        <f t="shared" ref="AB6" si="5">MONTH(U6)</f>
        <v>10</v>
      </c>
      <c r="AC6" s="203" t="str">
        <f>IF(R6&gt;0,"○","☓")</f>
        <v>○</v>
      </c>
    </row>
    <row r="7" spans="2:29">
      <c r="B7" s="179"/>
      <c r="C7" s="193"/>
      <c r="D7" s="290"/>
      <c r="E7" s="35" t="s">
        <v>178</v>
      </c>
      <c r="F7" s="35">
        <v>3861</v>
      </c>
      <c r="G7" s="60" t="s">
        <v>85</v>
      </c>
      <c r="H7" s="52">
        <v>525</v>
      </c>
      <c r="I7" s="36">
        <v>1500</v>
      </c>
      <c r="J7" s="53">
        <v>787500</v>
      </c>
      <c r="K7" s="44" t="s">
        <v>184</v>
      </c>
      <c r="L7" s="47">
        <v>518</v>
      </c>
      <c r="M7" s="37">
        <f>700+28+95</f>
        <v>823</v>
      </c>
      <c r="N7" s="38">
        <v>1208</v>
      </c>
      <c r="O7" s="38">
        <v>750</v>
      </c>
      <c r="P7" s="35">
        <f t="shared" ref="P7" si="6">IF(L7 &gt;0,(L7-H7)*I7-M7-N7-O7,0)</f>
        <v>-13281</v>
      </c>
      <c r="Q7" s="54">
        <f t="shared" si="2"/>
        <v>-1.6864761904761903E-2</v>
      </c>
      <c r="R7" s="198"/>
      <c r="S7" s="198"/>
      <c r="T7" s="3"/>
      <c r="U7" s="220"/>
      <c r="V7" s="221"/>
      <c r="W7" s="214"/>
      <c r="AA7" s="198"/>
      <c r="AB7" s="198"/>
      <c r="AC7" s="198"/>
    </row>
    <row r="8" spans="2:29">
      <c r="B8" s="179"/>
      <c r="C8" s="192">
        <f>ROW()/2-1</f>
        <v>3</v>
      </c>
      <c r="D8" s="289">
        <v>43747</v>
      </c>
      <c r="E8" s="39" t="s">
        <v>185</v>
      </c>
      <c r="F8" s="39">
        <v>3099</v>
      </c>
      <c r="G8" s="61" t="s">
        <v>84</v>
      </c>
      <c r="H8" s="55">
        <v>872</v>
      </c>
      <c r="I8" s="39">
        <v>1200</v>
      </c>
      <c r="J8" s="39">
        <f t="shared" ref="J8:J11" si="7">H8*I8</f>
        <v>1046400</v>
      </c>
      <c r="K8" s="58" t="s">
        <v>182</v>
      </c>
      <c r="L8" s="55">
        <v>876</v>
      </c>
      <c r="M8" s="39">
        <f>700+35+35</f>
        <v>770</v>
      </c>
      <c r="N8" s="39">
        <v>220</v>
      </c>
      <c r="O8" s="58">
        <v>0</v>
      </c>
      <c r="P8" s="31">
        <f t="shared" ref="P8" si="8">IF(L8 &gt;0,(H8-L8)*I8-M8-N8-O8,0)</f>
        <v>-5790</v>
      </c>
      <c r="Q8" s="51">
        <f t="shared" si="2"/>
        <v>-5.5332568807339453E-3</v>
      </c>
      <c r="R8" s="196">
        <f>P8+P9</f>
        <v>63304</v>
      </c>
      <c r="S8" s="215">
        <f>R8/(J8+J9)</f>
        <v>3.0952474085663994E-2</v>
      </c>
      <c r="U8" s="216">
        <v>43753</v>
      </c>
      <c r="V8" s="193">
        <f t="shared" ref="V8" si="9">DATEDIF(D8,U8,"d")</f>
        <v>6</v>
      </c>
      <c r="W8" s="204" t="s">
        <v>1297</v>
      </c>
      <c r="AA8" s="203">
        <f t="shared" ref="AA8:AA10" si="10">YEAR(U8)</f>
        <v>2019</v>
      </c>
      <c r="AB8" s="203">
        <f t="shared" ref="AB8" si="11">MONTH(U8)</f>
        <v>10</v>
      </c>
      <c r="AC8" s="203" t="str">
        <f t="shared" ref="AC8:AC10" si="12">IF(R8&gt;0,"○","☓")</f>
        <v>○</v>
      </c>
    </row>
    <row r="9" spans="2:29">
      <c r="B9" s="179"/>
      <c r="C9" s="193"/>
      <c r="D9" s="290">
        <v>43747</v>
      </c>
      <c r="E9" s="35" t="s">
        <v>178</v>
      </c>
      <c r="F9" s="35">
        <v>7211</v>
      </c>
      <c r="G9" s="60" t="s">
        <v>50</v>
      </c>
      <c r="H9" s="52">
        <v>454</v>
      </c>
      <c r="I9" s="52">
        <v>2200</v>
      </c>
      <c r="J9" s="53">
        <f t="shared" si="7"/>
        <v>998800</v>
      </c>
      <c r="K9" s="44" t="s">
        <v>182</v>
      </c>
      <c r="L9" s="47">
        <v>486</v>
      </c>
      <c r="M9" s="37">
        <f>700+35+35</f>
        <v>770</v>
      </c>
      <c r="N9" s="38">
        <v>536</v>
      </c>
      <c r="O9" s="38">
        <v>0</v>
      </c>
      <c r="P9" s="35">
        <f t="shared" ref="P9" si="13">IF(L9 &gt;0,(L9-H9)*I9-M9-N9-O9,0)</f>
        <v>69094</v>
      </c>
      <c r="Q9" s="54">
        <f t="shared" si="2"/>
        <v>6.9177012414897876E-2</v>
      </c>
      <c r="R9" s="196"/>
      <c r="S9" s="198"/>
      <c r="U9" s="199"/>
      <c r="V9" s="190"/>
      <c r="W9" s="190"/>
      <c r="AA9" s="198"/>
      <c r="AB9" s="198"/>
      <c r="AC9" s="198"/>
    </row>
    <row r="10" spans="2:29">
      <c r="B10" s="179"/>
      <c r="C10" s="192">
        <f>ROW()/2-1</f>
        <v>4</v>
      </c>
      <c r="D10" s="289">
        <v>43753</v>
      </c>
      <c r="E10" s="134" t="s">
        <v>177</v>
      </c>
      <c r="F10" s="39">
        <v>7453</v>
      </c>
      <c r="G10" s="61" t="s">
        <v>125</v>
      </c>
      <c r="H10" s="55">
        <v>2127</v>
      </c>
      <c r="I10" s="39">
        <v>500</v>
      </c>
      <c r="J10" s="39">
        <f t="shared" si="7"/>
        <v>1063500</v>
      </c>
      <c r="K10" s="58" t="s">
        <v>182</v>
      </c>
      <c r="L10" s="55">
        <v>2298</v>
      </c>
      <c r="M10" s="39">
        <f>700+35+35</f>
        <v>770</v>
      </c>
      <c r="N10" s="39">
        <v>256</v>
      </c>
      <c r="O10" s="58">
        <v>0</v>
      </c>
      <c r="P10" s="31">
        <f t="shared" ref="P10" si="14">IF(L10 &gt;0,(H10-L10)*I10-M10-N10-O10,0)</f>
        <v>-86526</v>
      </c>
      <c r="Q10" s="51">
        <f t="shared" si="2"/>
        <v>-8.1359661495063476E-2</v>
      </c>
      <c r="R10" s="196">
        <f>P10+P11</f>
        <v>-93238.000000000029</v>
      </c>
      <c r="S10" s="197">
        <f t="shared" ref="S10" si="15">R10/(J10+J11)</f>
        <v>-4.3839777316989466E-2</v>
      </c>
      <c r="U10" s="226">
        <v>43759</v>
      </c>
      <c r="V10" s="190">
        <f>DATEDIF(D10,U10,"d")</f>
        <v>6</v>
      </c>
      <c r="W10" s="227" t="s">
        <v>301</v>
      </c>
      <c r="X10" s="1" t="s">
        <v>321</v>
      </c>
      <c r="AA10" s="203">
        <f t="shared" si="10"/>
        <v>2019</v>
      </c>
      <c r="AB10" s="203">
        <f t="shared" ref="AB10" si="16">MONTH(U10)</f>
        <v>10</v>
      </c>
      <c r="AC10" s="211" t="str">
        <f t="shared" si="12"/>
        <v>☓</v>
      </c>
    </row>
    <row r="11" spans="2:29">
      <c r="B11" s="179"/>
      <c r="C11" s="193"/>
      <c r="D11" s="290">
        <v>43748</v>
      </c>
      <c r="E11" s="135" t="s">
        <v>178</v>
      </c>
      <c r="F11" s="35">
        <v>8308</v>
      </c>
      <c r="G11" s="60" t="s">
        <v>123</v>
      </c>
      <c r="H11" s="52">
        <v>462.3</v>
      </c>
      <c r="I11" s="52">
        <v>2300</v>
      </c>
      <c r="J11" s="53">
        <f t="shared" si="7"/>
        <v>1063290</v>
      </c>
      <c r="K11" s="44" t="s">
        <v>182</v>
      </c>
      <c r="L11" s="47">
        <v>460</v>
      </c>
      <c r="M11" s="37">
        <f>700+35+35</f>
        <v>770</v>
      </c>
      <c r="N11" s="111">
        <v>652</v>
      </c>
      <c r="O11" s="111">
        <v>0</v>
      </c>
      <c r="P11" s="35">
        <f t="shared" ref="P11" si="17">IF(L11 &gt;0,(L11-H11)*I11-M11-N11-O11,0)</f>
        <v>-6712.0000000000264</v>
      </c>
      <c r="Q11" s="54">
        <f t="shared" si="2"/>
        <v>-6.3124829538508086E-3</v>
      </c>
      <c r="R11" s="196"/>
      <c r="S11" s="198"/>
      <c r="U11" s="216"/>
      <c r="V11" s="190"/>
      <c r="W11" s="227"/>
      <c r="X11" s="1" t="s">
        <v>322</v>
      </c>
      <c r="AA11" s="198"/>
      <c r="AB11" s="198"/>
      <c r="AC11" s="212"/>
    </row>
    <row r="12" spans="2:29">
      <c r="B12" s="179"/>
      <c r="C12" s="219">
        <f>ROW()/2-1</f>
        <v>5</v>
      </c>
      <c r="D12" s="288">
        <v>43742</v>
      </c>
      <c r="E12" s="31" t="s">
        <v>177</v>
      </c>
      <c r="F12" s="31">
        <v>8750</v>
      </c>
      <c r="G12" s="59" t="s">
        <v>52</v>
      </c>
      <c r="H12" s="49">
        <v>1635</v>
      </c>
      <c r="I12" s="32">
        <v>600</v>
      </c>
      <c r="J12" s="50">
        <f>H12*I12</f>
        <v>981000</v>
      </c>
      <c r="K12" s="43" t="s">
        <v>183</v>
      </c>
      <c r="L12" s="46">
        <v>1741.5</v>
      </c>
      <c r="M12" s="33">
        <f>700+35+35</f>
        <v>770</v>
      </c>
      <c r="N12" s="34">
        <v>502</v>
      </c>
      <c r="O12" s="34">
        <v>0</v>
      </c>
      <c r="P12" s="31">
        <f t="shared" ref="P12" si="18">IF(L12 &gt;0,(H12-L12)*I12-M12-N12-O12,0)</f>
        <v>-65172</v>
      </c>
      <c r="Q12" s="51">
        <f t="shared" si="2"/>
        <v>-6.6434250764525998E-2</v>
      </c>
      <c r="R12" s="225">
        <f>P12+P13</f>
        <v>-11052.999999999898</v>
      </c>
      <c r="S12" s="215">
        <f>R12/(J12+J13)</f>
        <v>-5.6554672757562954E-3</v>
      </c>
      <c r="U12" s="226">
        <v>43759</v>
      </c>
      <c r="V12" s="190">
        <f>DATEDIF(D12,U12,"d")</f>
        <v>17</v>
      </c>
      <c r="W12" s="210" t="s">
        <v>1295</v>
      </c>
      <c r="AA12" s="203">
        <f t="shared" ref="AA12" si="19">YEAR(U12)</f>
        <v>2019</v>
      </c>
      <c r="AB12" s="203">
        <f t="shared" ref="AB12" si="20">MONTH(U12)</f>
        <v>10</v>
      </c>
      <c r="AC12" s="211" t="str">
        <f t="shared" ref="AC12" si="21">IF(R12&gt;0,"○","☓")</f>
        <v>☓</v>
      </c>
    </row>
    <row r="13" spans="2:29">
      <c r="B13" s="30"/>
      <c r="C13" s="193"/>
      <c r="D13" s="290"/>
      <c r="E13" s="35" t="s">
        <v>178</v>
      </c>
      <c r="F13" s="35">
        <v>8002</v>
      </c>
      <c r="G13" s="60" t="s">
        <v>51</v>
      </c>
      <c r="H13" s="52">
        <v>695.28</v>
      </c>
      <c r="I13" s="36">
        <v>1400</v>
      </c>
      <c r="J13" s="53">
        <f>H13*I13</f>
        <v>973392</v>
      </c>
      <c r="K13" s="181" t="s">
        <v>1305</v>
      </c>
      <c r="L13" s="47">
        <v>734.7</v>
      </c>
      <c r="M13" s="37">
        <f>487+582</f>
        <v>1069</v>
      </c>
      <c r="N13" s="38">
        <v>0</v>
      </c>
      <c r="O13" s="38">
        <v>0</v>
      </c>
      <c r="P13" s="35">
        <f>IF(L13 &gt;0,(L13-H13)*I13-M13-N13-O13,0)</f>
        <v>54119.000000000102</v>
      </c>
      <c r="Q13" s="54">
        <f t="shared" si="2"/>
        <v>5.5598361194667822E-2</v>
      </c>
      <c r="R13" s="196"/>
      <c r="S13" s="198"/>
      <c r="U13" s="216"/>
      <c r="V13" s="190"/>
      <c r="W13" s="210"/>
      <c r="AA13" s="198"/>
      <c r="AB13" s="198"/>
      <c r="AC13" s="212"/>
    </row>
    <row r="14" spans="2:29" s="112" customFormat="1">
      <c r="B14" s="179"/>
      <c r="C14" s="192">
        <f>ROW()/2-1</f>
        <v>6</v>
      </c>
      <c r="D14" s="288">
        <v>43745</v>
      </c>
      <c r="E14" s="39" t="s">
        <v>177</v>
      </c>
      <c r="F14" s="39">
        <v>6770</v>
      </c>
      <c r="G14" s="61" t="s">
        <v>46</v>
      </c>
      <c r="H14" s="55">
        <v>2105</v>
      </c>
      <c r="I14" s="40">
        <v>400</v>
      </c>
      <c r="J14" s="56">
        <f t="shared" ref="J14:J19" si="22">H14*I14</f>
        <v>842000</v>
      </c>
      <c r="K14" s="45" t="s">
        <v>183</v>
      </c>
      <c r="L14" s="48">
        <v>2145</v>
      </c>
      <c r="M14" s="41">
        <f>700+35+35</f>
        <v>770</v>
      </c>
      <c r="N14" s="42">
        <v>431</v>
      </c>
      <c r="O14" s="42">
        <v>80</v>
      </c>
      <c r="P14" s="31">
        <f t="shared" ref="P14" si="23">IF(L14 &gt;0,(H14-L14)*I14-M14-N14-O14,0)</f>
        <v>-17281</v>
      </c>
      <c r="Q14" s="51">
        <f t="shared" si="2"/>
        <v>-2.052375296912114E-2</v>
      </c>
      <c r="R14" s="196">
        <f>P14+P15</f>
        <v>-1197.0000000000437</v>
      </c>
      <c r="S14" s="197">
        <f t="shared" ref="S14" si="24">R14/(J14+J15)</f>
        <v>-7.1541831052504275E-4</v>
      </c>
      <c r="U14" s="199">
        <v>43761</v>
      </c>
      <c r="V14" s="190">
        <f t="shared" ref="V14" si="25">DATEDIF(D14,U14,"d")</f>
        <v>16</v>
      </c>
      <c r="W14" s="210" t="s">
        <v>1295</v>
      </c>
      <c r="AA14" s="203">
        <f t="shared" ref="AA14" si="26">YEAR(U14)</f>
        <v>2019</v>
      </c>
      <c r="AB14" s="203">
        <f t="shared" ref="AB14" si="27">MONTH(U14)</f>
        <v>10</v>
      </c>
      <c r="AC14" s="211" t="str">
        <f t="shared" ref="AC14" si="28">IF(R14&gt;0,"○","☓")</f>
        <v>☓</v>
      </c>
    </row>
    <row r="15" spans="2:29" s="112" customFormat="1">
      <c r="B15" s="30"/>
      <c r="C15" s="193"/>
      <c r="D15" s="290">
        <v>43745</v>
      </c>
      <c r="E15" s="35" t="s">
        <v>178</v>
      </c>
      <c r="F15" s="35">
        <v>8601</v>
      </c>
      <c r="G15" s="60" t="s">
        <v>47</v>
      </c>
      <c r="H15" s="52">
        <v>488.91</v>
      </c>
      <c r="I15" s="36">
        <v>1700</v>
      </c>
      <c r="J15" s="53">
        <f t="shared" si="22"/>
        <v>831147</v>
      </c>
      <c r="K15" s="181" t="s">
        <v>168</v>
      </c>
      <c r="L15" s="47">
        <v>499</v>
      </c>
      <c r="M15" s="37">
        <f>487+582</f>
        <v>1069</v>
      </c>
      <c r="N15" s="177">
        <v>0</v>
      </c>
      <c r="O15" s="177">
        <v>0</v>
      </c>
      <c r="P15" s="35">
        <f t="shared" ref="P15" si="29">IF(L15 &gt;0,(L15-H15)*I15-M15-N15-O15,0)</f>
        <v>16083.999999999956</v>
      </c>
      <c r="Q15" s="54">
        <f t="shared" si="2"/>
        <v>1.9351570781101245E-2</v>
      </c>
      <c r="R15" s="196"/>
      <c r="S15" s="198"/>
      <c r="U15" s="190"/>
      <c r="V15" s="190"/>
      <c r="W15" s="210"/>
      <c r="AA15" s="198"/>
      <c r="AB15" s="198"/>
      <c r="AC15" s="212"/>
    </row>
    <row r="16" spans="2:29" s="112" customFormat="1">
      <c r="B16" s="179"/>
      <c r="C16" s="192">
        <f>ROW()/2-1</f>
        <v>7</v>
      </c>
      <c r="D16" s="288">
        <v>43745</v>
      </c>
      <c r="E16" s="39" t="s">
        <v>177</v>
      </c>
      <c r="F16" s="39">
        <v>5803</v>
      </c>
      <c r="G16" s="61" t="s">
        <v>48</v>
      </c>
      <c r="H16" s="55">
        <v>413</v>
      </c>
      <c r="I16" s="40">
        <v>1700</v>
      </c>
      <c r="J16" s="56">
        <f t="shared" si="22"/>
        <v>702100</v>
      </c>
      <c r="K16" s="45" t="s">
        <v>183</v>
      </c>
      <c r="L16" s="48">
        <v>459</v>
      </c>
      <c r="M16" s="41">
        <f>700+35+35</f>
        <v>770</v>
      </c>
      <c r="N16" s="42">
        <v>359</v>
      </c>
      <c r="O16" s="42">
        <v>85</v>
      </c>
      <c r="P16" s="31">
        <f t="shared" ref="P16" si="30">IF(L16 &gt;0,(H16-L16)*I16-M16-N16-O16,0)</f>
        <v>-79414</v>
      </c>
      <c r="Q16" s="51">
        <f t="shared" si="2"/>
        <v>-0.11310924369747899</v>
      </c>
      <c r="R16" s="196">
        <f>P16+P17</f>
        <v>-16483</v>
      </c>
      <c r="S16" s="197">
        <f>R16/(J16+J17)</f>
        <v>-1.1926054554663194E-2</v>
      </c>
      <c r="U16" s="199">
        <v>43761</v>
      </c>
      <c r="V16" s="190">
        <f t="shared" ref="V16" si="31">DATEDIF(D16,U16,"d")</f>
        <v>16</v>
      </c>
      <c r="W16" s="210" t="s">
        <v>1295</v>
      </c>
      <c r="AA16" s="203">
        <f t="shared" ref="AA16" si="32">YEAR(U16)</f>
        <v>2019</v>
      </c>
      <c r="AB16" s="203">
        <f t="shared" ref="AB16" si="33">MONTH(U16)</f>
        <v>10</v>
      </c>
      <c r="AC16" s="211" t="str">
        <f t="shared" ref="AC16" si="34">IF(R16&gt;0,"○","☓")</f>
        <v>☓</v>
      </c>
    </row>
    <row r="17" spans="2:29" s="112" customFormat="1">
      <c r="B17" s="30"/>
      <c r="C17" s="193"/>
      <c r="D17" s="290">
        <v>43745</v>
      </c>
      <c r="E17" s="35" t="s">
        <v>178</v>
      </c>
      <c r="F17" s="35">
        <v>7259</v>
      </c>
      <c r="G17" s="60" t="s">
        <v>49</v>
      </c>
      <c r="H17" s="52">
        <v>3400</v>
      </c>
      <c r="I17" s="52">
        <v>200</v>
      </c>
      <c r="J17" s="53">
        <f t="shared" si="22"/>
        <v>680000</v>
      </c>
      <c r="K17" s="181" t="s">
        <v>168</v>
      </c>
      <c r="L17" s="47">
        <v>3720</v>
      </c>
      <c r="M17" s="37">
        <f>487+582</f>
        <v>1069</v>
      </c>
      <c r="N17" s="177">
        <v>0</v>
      </c>
      <c r="O17" s="177">
        <v>0</v>
      </c>
      <c r="P17" s="35">
        <f t="shared" ref="P17" si="35">IF(L17 &gt;0,(L17-H17)*I17-M17-N17-O17,0)</f>
        <v>62931</v>
      </c>
      <c r="Q17" s="54">
        <f t="shared" si="2"/>
        <v>9.2545588235294116E-2</v>
      </c>
      <c r="R17" s="196"/>
      <c r="S17" s="198"/>
      <c r="U17" s="190"/>
      <c r="V17" s="190"/>
      <c r="W17" s="210"/>
      <c r="AA17" s="198"/>
      <c r="AB17" s="198"/>
      <c r="AC17" s="212"/>
    </row>
    <row r="18" spans="2:29" s="112" customFormat="1">
      <c r="B18" s="179"/>
      <c r="C18" s="192">
        <f>ROW()/2-1</f>
        <v>8</v>
      </c>
      <c r="D18" s="288">
        <v>43748</v>
      </c>
      <c r="E18" s="39" t="s">
        <v>177</v>
      </c>
      <c r="F18" s="39">
        <v>7186</v>
      </c>
      <c r="G18" s="61" t="s">
        <v>179</v>
      </c>
      <c r="H18" s="55">
        <v>410</v>
      </c>
      <c r="I18" s="39">
        <v>1800</v>
      </c>
      <c r="J18" s="39">
        <f t="shared" si="22"/>
        <v>738000</v>
      </c>
      <c r="K18" s="58" t="s">
        <v>182</v>
      </c>
      <c r="L18" s="55">
        <v>444</v>
      </c>
      <c r="M18" s="39">
        <f>700+35+35</f>
        <v>770</v>
      </c>
      <c r="N18" s="39">
        <v>355</v>
      </c>
      <c r="O18" s="58">
        <v>1350</v>
      </c>
      <c r="P18" s="31">
        <f t="shared" ref="P18" si="36">IF(L18 &gt;0,(H18-L18)*I18-M18-N18-O18,0)</f>
        <v>-63675</v>
      </c>
      <c r="Q18" s="51">
        <f t="shared" si="2"/>
        <v>-8.6280487804878042E-2</v>
      </c>
      <c r="R18" s="196">
        <f>P18+P19</f>
        <v>-4757</v>
      </c>
      <c r="S18" s="197">
        <f t="shared" ref="S18" si="37">R18/(J18+J19)</f>
        <v>-3.2102847887704143E-3</v>
      </c>
      <c r="U18" s="199">
        <v>43767</v>
      </c>
      <c r="V18" s="190">
        <f t="shared" ref="V18" si="38">DATEDIF(D18,U18,"d")</f>
        <v>19</v>
      </c>
      <c r="W18" s="210" t="s">
        <v>1295</v>
      </c>
      <c r="AA18" s="203">
        <f t="shared" ref="AA18" si="39">YEAR(U18)</f>
        <v>2019</v>
      </c>
      <c r="AB18" s="203">
        <f t="shared" ref="AB18" si="40">MONTH(U18)</f>
        <v>10</v>
      </c>
      <c r="AC18" s="211" t="str">
        <f t="shared" ref="AC18" si="41">IF(R18&gt;0,"○","☓")</f>
        <v>☓</v>
      </c>
    </row>
    <row r="19" spans="2:29" s="112" customFormat="1">
      <c r="B19" s="179"/>
      <c r="C19" s="193"/>
      <c r="D19" s="290">
        <v>43748</v>
      </c>
      <c r="E19" s="35" t="s">
        <v>178</v>
      </c>
      <c r="F19" s="35">
        <v>8309</v>
      </c>
      <c r="G19" s="60" t="s">
        <v>180</v>
      </c>
      <c r="H19" s="52">
        <v>3719</v>
      </c>
      <c r="I19" s="52">
        <v>200</v>
      </c>
      <c r="J19" s="53">
        <f t="shared" si="22"/>
        <v>743800</v>
      </c>
      <c r="K19" s="44" t="s">
        <v>182</v>
      </c>
      <c r="L19" s="47">
        <v>4022</v>
      </c>
      <c r="M19" s="37">
        <f>700+35+35</f>
        <v>770</v>
      </c>
      <c r="N19" s="136">
        <v>912</v>
      </c>
      <c r="O19" s="136">
        <v>0</v>
      </c>
      <c r="P19" s="35">
        <f t="shared" ref="P19" si="42">IF(L19 &gt;0,(L19-H19)*I19-M19-N19-O19,0)</f>
        <v>58918</v>
      </c>
      <c r="Q19" s="54">
        <f t="shared" si="2"/>
        <v>7.9212153804786231E-2</v>
      </c>
      <c r="R19" s="196"/>
      <c r="S19" s="198"/>
      <c r="U19" s="190"/>
      <c r="V19" s="190"/>
      <c r="W19" s="210"/>
      <c r="AA19" s="198"/>
      <c r="AB19" s="198"/>
      <c r="AC19" s="212"/>
    </row>
    <row r="20" spans="2:29">
      <c r="B20" s="179"/>
      <c r="C20" s="192">
        <f>ROW()/2-1</f>
        <v>9</v>
      </c>
      <c r="D20" s="288">
        <v>43782</v>
      </c>
      <c r="E20" s="39" t="s">
        <v>177</v>
      </c>
      <c r="F20" s="39">
        <v>1820</v>
      </c>
      <c r="G20" s="61" t="s">
        <v>143</v>
      </c>
      <c r="H20" s="55">
        <v>2431</v>
      </c>
      <c r="I20" s="39">
        <v>400</v>
      </c>
      <c r="J20" s="56">
        <f t="shared" ref="J20:J27" si="43">H20*I20</f>
        <v>972400</v>
      </c>
      <c r="K20" s="58" t="s">
        <v>182</v>
      </c>
      <c r="L20" s="55">
        <v>2375</v>
      </c>
      <c r="M20" s="39">
        <f>700+35+35</f>
        <v>770</v>
      </c>
      <c r="N20" s="39">
        <v>234</v>
      </c>
      <c r="O20" s="58">
        <v>0</v>
      </c>
      <c r="P20" s="31">
        <f t="shared" ref="P20" si="44">IF(L20 &gt;0,(H20-L20)*I20-M20-N20-O20,0)</f>
        <v>21396</v>
      </c>
      <c r="Q20" s="51">
        <f t="shared" si="2"/>
        <v>2.2003290826820239E-2</v>
      </c>
      <c r="R20" s="196">
        <f>P20+P21</f>
        <v>485995</v>
      </c>
      <c r="S20" s="197">
        <f>R20/(J20+J21)</f>
        <v>0.25451000559299347</v>
      </c>
      <c r="U20" s="199">
        <v>43789</v>
      </c>
      <c r="V20" s="190">
        <f>DATEDIF(D20,U20,"d")</f>
        <v>7</v>
      </c>
      <c r="W20" s="204" t="s">
        <v>323</v>
      </c>
      <c r="X20" s="1" t="s">
        <v>1039</v>
      </c>
      <c r="AA20" s="203">
        <f t="shared" ref="AA20" si="45">YEAR(U20)</f>
        <v>2019</v>
      </c>
      <c r="AB20" s="203">
        <f t="shared" ref="AB20" si="46">MONTH(U20)</f>
        <v>11</v>
      </c>
      <c r="AC20" s="203" t="str">
        <f t="shared" ref="AC20" si="47">IF(R20&gt;0,"○","☓")</f>
        <v>○</v>
      </c>
    </row>
    <row r="21" spans="2:29">
      <c r="B21" s="30"/>
      <c r="C21" s="193"/>
      <c r="D21" s="290">
        <v>43748</v>
      </c>
      <c r="E21" s="35" t="s">
        <v>178</v>
      </c>
      <c r="F21" s="35">
        <v>4508</v>
      </c>
      <c r="G21" s="60" t="s">
        <v>334</v>
      </c>
      <c r="H21" s="52">
        <v>1338.76</v>
      </c>
      <c r="I21" s="52">
        <v>700</v>
      </c>
      <c r="J21" s="53">
        <f t="shared" si="43"/>
        <v>937132</v>
      </c>
      <c r="K21" s="181" t="s">
        <v>168</v>
      </c>
      <c r="L21" s="47">
        <v>2004</v>
      </c>
      <c r="M21" s="37">
        <f>487+582</f>
        <v>1069</v>
      </c>
      <c r="N21" s="177">
        <v>0</v>
      </c>
      <c r="O21" s="177">
        <v>0</v>
      </c>
      <c r="P21" s="35">
        <f t="shared" ref="P21" si="48">IF(L21 &gt;0,(L21-H21)*I21-M21-N21-O21,0)</f>
        <v>464599</v>
      </c>
      <c r="Q21" s="54">
        <f t="shared" si="2"/>
        <v>0.49576687168936712</v>
      </c>
      <c r="R21" s="196"/>
      <c r="S21" s="198"/>
      <c r="U21" s="190"/>
      <c r="V21" s="190"/>
      <c r="W21" s="190"/>
      <c r="X21" s="112" t="s">
        <v>1038</v>
      </c>
      <c r="AA21" s="198"/>
      <c r="AB21" s="198"/>
      <c r="AC21" s="198"/>
    </row>
    <row r="22" spans="2:29" s="112" customFormat="1">
      <c r="B22" s="179"/>
      <c r="C22" s="192">
        <f>ROW()/2-1</f>
        <v>10</v>
      </c>
      <c r="D22" s="288">
        <v>43782</v>
      </c>
      <c r="E22" s="39" t="s">
        <v>177</v>
      </c>
      <c r="F22" s="39">
        <v>8002</v>
      </c>
      <c r="G22" s="61" t="s">
        <v>51</v>
      </c>
      <c r="H22" s="55">
        <v>814</v>
      </c>
      <c r="I22" s="39">
        <v>1300</v>
      </c>
      <c r="J22" s="56">
        <f t="shared" si="43"/>
        <v>1058200</v>
      </c>
      <c r="K22" s="58" t="s">
        <v>182</v>
      </c>
      <c r="L22" s="55">
        <v>794.1</v>
      </c>
      <c r="M22" s="39">
        <f>700+35+35</f>
        <v>770</v>
      </c>
      <c r="N22" s="39">
        <v>350</v>
      </c>
      <c r="O22" s="58">
        <v>0</v>
      </c>
      <c r="P22" s="31">
        <f t="shared" ref="P22" si="49">IF(L22 &gt;0,(H22-L22)*I22-M22-N22-O22,0)</f>
        <v>24749.999999999971</v>
      </c>
      <c r="Q22" s="51">
        <f t="shared" si="2"/>
        <v>2.3388773388773362E-2</v>
      </c>
      <c r="R22" s="196">
        <f>P22+P23</f>
        <v>60240.999999999913</v>
      </c>
      <c r="S22" s="197">
        <f>R22/(J22+J23)</f>
        <v>2.8847737807914758E-2</v>
      </c>
      <c r="U22" s="199">
        <v>43790</v>
      </c>
      <c r="V22" s="190">
        <f>DATEDIF(D22,U22,"d")</f>
        <v>8</v>
      </c>
      <c r="W22" s="204" t="s">
        <v>323</v>
      </c>
      <c r="AA22" s="203">
        <f t="shared" ref="AA22" si="50">YEAR(U22)</f>
        <v>2019</v>
      </c>
      <c r="AB22" s="203">
        <f t="shared" ref="AB22" si="51">MONTH(U22)</f>
        <v>11</v>
      </c>
      <c r="AC22" s="203" t="str">
        <f t="shared" ref="AC22" si="52">IF(R22&gt;0,"○","☓")</f>
        <v>○</v>
      </c>
    </row>
    <row r="23" spans="2:29" s="112" customFormat="1">
      <c r="B23" s="30"/>
      <c r="C23" s="193"/>
      <c r="D23" s="290">
        <v>43748</v>
      </c>
      <c r="E23" s="35" t="s">
        <v>178</v>
      </c>
      <c r="F23" s="35">
        <v>8601</v>
      </c>
      <c r="G23" s="60" t="s">
        <v>47</v>
      </c>
      <c r="H23" s="52">
        <v>515.02</v>
      </c>
      <c r="I23" s="52">
        <v>2000</v>
      </c>
      <c r="J23" s="53">
        <f t="shared" si="43"/>
        <v>1030040</v>
      </c>
      <c r="K23" s="181" t="s">
        <v>168</v>
      </c>
      <c r="L23" s="47">
        <v>533.29999999999995</v>
      </c>
      <c r="M23" s="37">
        <f>487+582</f>
        <v>1069</v>
      </c>
      <c r="N23" s="136">
        <v>0</v>
      </c>
      <c r="O23" s="177">
        <v>0</v>
      </c>
      <c r="P23" s="35">
        <f t="shared" ref="P23" si="53">IF(L23 &gt;0,(L23-H23)*I23-M23-N23-O23,0)</f>
        <v>35490.999999999942</v>
      </c>
      <c r="Q23" s="54">
        <f t="shared" si="2"/>
        <v>3.4455943458506409E-2</v>
      </c>
      <c r="R23" s="196"/>
      <c r="S23" s="198"/>
      <c r="U23" s="190"/>
      <c r="V23" s="190"/>
      <c r="W23" s="190"/>
      <c r="AA23" s="198"/>
      <c r="AB23" s="198"/>
      <c r="AC23" s="198"/>
    </row>
    <row r="24" spans="2:29" s="112" customFormat="1">
      <c r="B24" s="179"/>
      <c r="C24" s="192">
        <f>ROW()/2-1</f>
        <v>11</v>
      </c>
      <c r="D24" s="288">
        <v>43783</v>
      </c>
      <c r="E24" s="39" t="s">
        <v>177</v>
      </c>
      <c r="F24" s="39">
        <v>3105</v>
      </c>
      <c r="G24" s="61" t="s">
        <v>111</v>
      </c>
      <c r="H24" s="55">
        <v>970</v>
      </c>
      <c r="I24" s="39">
        <v>1100</v>
      </c>
      <c r="J24" s="56">
        <f t="shared" si="43"/>
        <v>1067000</v>
      </c>
      <c r="K24" s="58" t="s">
        <v>182</v>
      </c>
      <c r="L24" s="55">
        <v>999</v>
      </c>
      <c r="M24" s="39">
        <f t="shared" ref="M24:M30" si="54">700+35+35</f>
        <v>770</v>
      </c>
      <c r="N24" s="39">
        <v>514</v>
      </c>
      <c r="O24" s="58">
        <v>165</v>
      </c>
      <c r="P24" s="31">
        <f t="shared" ref="P24" si="55">IF(L24 &gt;0,(H24-L24)*I24-M24-N24-O24,0)</f>
        <v>-33349</v>
      </c>
      <c r="Q24" s="51">
        <f t="shared" si="2"/>
        <v>-3.1254920337394562E-2</v>
      </c>
      <c r="R24" s="196">
        <f>P24+P25</f>
        <v>-59214</v>
      </c>
      <c r="S24" s="197">
        <f>R24/(J24+J25)</f>
        <v>-2.7894290559638213E-2</v>
      </c>
      <c r="U24" s="199">
        <v>43798</v>
      </c>
      <c r="V24" s="190">
        <f>DATEDIF(D24,U24,"d")</f>
        <v>15</v>
      </c>
      <c r="W24" s="208" t="s">
        <v>301</v>
      </c>
      <c r="AA24" s="203">
        <f t="shared" ref="AA24" si="56">YEAR(U24)</f>
        <v>2019</v>
      </c>
      <c r="AB24" s="203">
        <f t="shared" ref="AB24" si="57">MONTH(U24)</f>
        <v>11</v>
      </c>
      <c r="AC24" s="203" t="str">
        <f t="shared" ref="AC24" si="58">IF(R24&gt;0,"○","☓")</f>
        <v>☓</v>
      </c>
    </row>
    <row r="25" spans="2:29" s="112" customFormat="1">
      <c r="B25" s="179"/>
      <c r="C25" s="193"/>
      <c r="D25" s="290">
        <v>43748</v>
      </c>
      <c r="E25" s="35" t="s">
        <v>178</v>
      </c>
      <c r="F25" s="35">
        <v>6301</v>
      </c>
      <c r="G25" s="60" t="s">
        <v>130</v>
      </c>
      <c r="H25" s="52">
        <v>2639.5</v>
      </c>
      <c r="I25" s="52">
        <v>400</v>
      </c>
      <c r="J25" s="53">
        <f t="shared" si="43"/>
        <v>1055800</v>
      </c>
      <c r="K25" s="44" t="s">
        <v>168</v>
      </c>
      <c r="L25" s="47">
        <v>2580</v>
      </c>
      <c r="M25" s="37">
        <f t="shared" si="54"/>
        <v>770</v>
      </c>
      <c r="N25" s="137">
        <v>1295</v>
      </c>
      <c r="O25" s="137">
        <v>0</v>
      </c>
      <c r="P25" s="35">
        <f t="shared" ref="P25" si="59">IF(L25 &gt;0,(L25-H25)*I25-M25-N25-O25,0)</f>
        <v>-25865</v>
      </c>
      <c r="Q25" s="54">
        <f t="shared" si="2"/>
        <v>-2.4498010986929341E-2</v>
      </c>
      <c r="R25" s="196"/>
      <c r="S25" s="198"/>
      <c r="U25" s="190"/>
      <c r="V25" s="190"/>
      <c r="W25" s="209"/>
      <c r="AA25" s="198"/>
      <c r="AB25" s="198"/>
      <c r="AC25" s="198"/>
    </row>
    <row r="26" spans="2:29" s="112" customFormat="1">
      <c r="B26" s="179"/>
      <c r="C26" s="192">
        <f>ROW()/2-1</f>
        <v>12</v>
      </c>
      <c r="D26" s="288">
        <v>43784</v>
      </c>
      <c r="E26" s="39" t="s">
        <v>177</v>
      </c>
      <c r="F26" s="39">
        <v>6770</v>
      </c>
      <c r="G26" s="61" t="s">
        <v>46</v>
      </c>
      <c r="H26" s="55">
        <v>2386</v>
      </c>
      <c r="I26" s="39">
        <v>400</v>
      </c>
      <c r="J26" s="56">
        <f t="shared" si="43"/>
        <v>954400</v>
      </c>
      <c r="K26" s="58" t="s">
        <v>1306</v>
      </c>
      <c r="L26" s="55">
        <v>2446</v>
      </c>
      <c r="M26" s="39">
        <f t="shared" si="54"/>
        <v>770</v>
      </c>
      <c r="N26" s="39">
        <v>320</v>
      </c>
      <c r="O26" s="58">
        <v>488</v>
      </c>
      <c r="P26" s="31">
        <f t="shared" ref="P26" si="60">IF(L26 &gt;0,(H26-L26)*I26-M26-N26-O26,0)</f>
        <v>-25578</v>
      </c>
      <c r="Q26" s="51">
        <f t="shared" si="2"/>
        <v>-2.680008382229673E-2</v>
      </c>
      <c r="R26" s="196">
        <f>P26+P27</f>
        <v>-23558</v>
      </c>
      <c r="S26" s="197">
        <f>R26/(J26+J27)</f>
        <v>-1.2410704878305763E-2</v>
      </c>
      <c r="U26" s="199">
        <v>43802</v>
      </c>
      <c r="V26" s="190">
        <f>DATEDIF(D26,U26,"d")</f>
        <v>18</v>
      </c>
      <c r="W26" s="206" t="s">
        <v>1295</v>
      </c>
      <c r="AA26" s="203">
        <f t="shared" ref="AA26" si="61">YEAR(U26)</f>
        <v>2019</v>
      </c>
      <c r="AB26" s="203">
        <f t="shared" ref="AB26" si="62">MONTH(U26)</f>
        <v>12</v>
      </c>
      <c r="AC26" s="203" t="str">
        <f t="shared" ref="AC26" si="63">IF(R26&gt;0,"○","☓")</f>
        <v>☓</v>
      </c>
    </row>
    <row r="27" spans="2:29" s="112" customFormat="1">
      <c r="B27" s="179"/>
      <c r="C27" s="193"/>
      <c r="D27" s="290">
        <v>43748</v>
      </c>
      <c r="E27" s="35" t="s">
        <v>178</v>
      </c>
      <c r="F27" s="35">
        <v>1911</v>
      </c>
      <c r="G27" s="60" t="s">
        <v>124</v>
      </c>
      <c r="H27" s="52">
        <v>1573</v>
      </c>
      <c r="I27" s="52">
        <v>600</v>
      </c>
      <c r="J27" s="53">
        <f t="shared" si="43"/>
        <v>943800</v>
      </c>
      <c r="K27" s="180" t="s">
        <v>183</v>
      </c>
      <c r="L27" s="47">
        <v>1579</v>
      </c>
      <c r="M27" s="37">
        <f t="shared" si="54"/>
        <v>770</v>
      </c>
      <c r="N27" s="138">
        <v>1230</v>
      </c>
      <c r="O27" s="138">
        <v>-420</v>
      </c>
      <c r="P27" s="35">
        <f t="shared" ref="P27" si="64">IF(L27 &gt;0,(L27-H27)*I27-M27-N27-O27,0)</f>
        <v>2020</v>
      </c>
      <c r="Q27" s="54">
        <f t="shared" si="2"/>
        <v>2.1402839584657766E-3</v>
      </c>
      <c r="R27" s="196"/>
      <c r="S27" s="198"/>
      <c r="U27" s="190"/>
      <c r="V27" s="190"/>
      <c r="W27" s="207"/>
      <c r="AA27" s="198"/>
      <c r="AB27" s="198"/>
      <c r="AC27" s="198"/>
    </row>
    <row r="28" spans="2:29" s="112" customFormat="1">
      <c r="B28" s="182"/>
      <c r="C28" s="192">
        <v>13</v>
      </c>
      <c r="D28" s="288">
        <v>43789</v>
      </c>
      <c r="E28" s="39" t="s">
        <v>177</v>
      </c>
      <c r="F28" s="39">
        <v>4182</v>
      </c>
      <c r="G28" s="61" t="s">
        <v>109</v>
      </c>
      <c r="H28" s="55">
        <v>1627</v>
      </c>
      <c r="I28" s="39">
        <v>600</v>
      </c>
      <c r="J28" s="56">
        <v>976200</v>
      </c>
      <c r="K28" s="58" t="s">
        <v>182</v>
      </c>
      <c r="L28" s="55">
        <v>1681</v>
      </c>
      <c r="M28" s="39">
        <f t="shared" si="54"/>
        <v>770</v>
      </c>
      <c r="N28" s="152">
        <v>558</v>
      </c>
      <c r="O28" s="58">
        <v>120</v>
      </c>
      <c r="P28" s="31">
        <f t="shared" ref="P28" si="65">IF(L28 &gt;0,(H28-L28)*I28-M28-N28-O28,0)</f>
        <v>-33848</v>
      </c>
      <c r="Q28" s="51">
        <f t="shared" si="2"/>
        <v>-3.4673222700266342E-2</v>
      </c>
      <c r="R28" s="196">
        <v>54150</v>
      </c>
      <c r="S28" s="197">
        <v>2.7799999999999998E-2</v>
      </c>
      <c r="U28" s="199">
        <v>43805</v>
      </c>
      <c r="V28" s="190">
        <v>15</v>
      </c>
      <c r="W28" s="204" t="s">
        <v>1271</v>
      </c>
      <c r="AA28" s="203">
        <f>YEAR(U28)</f>
        <v>2019</v>
      </c>
      <c r="AB28" s="203">
        <f>MONTH(U28)</f>
        <v>12</v>
      </c>
      <c r="AC28" s="203" t="str">
        <f>IF(R28&gt;0,"○","☓")</f>
        <v>○</v>
      </c>
    </row>
    <row r="29" spans="2:29" s="112" customFormat="1">
      <c r="B29" s="182"/>
      <c r="C29" s="193"/>
      <c r="D29" s="290">
        <v>43748</v>
      </c>
      <c r="E29" s="35" t="s">
        <v>178</v>
      </c>
      <c r="F29" s="35">
        <v>1824</v>
      </c>
      <c r="G29" s="60" t="s">
        <v>337</v>
      </c>
      <c r="H29" s="52">
        <v>973</v>
      </c>
      <c r="I29" s="52">
        <v>1000</v>
      </c>
      <c r="J29" s="53">
        <v>973000</v>
      </c>
      <c r="K29" s="153" t="s">
        <v>182</v>
      </c>
      <c r="L29" s="47">
        <v>1062</v>
      </c>
      <c r="M29" s="37">
        <f t="shared" si="54"/>
        <v>770</v>
      </c>
      <c r="N29" s="37">
        <v>1418</v>
      </c>
      <c r="O29" s="146">
        <v>0</v>
      </c>
      <c r="P29" s="35">
        <f t="shared" ref="P29" si="66">IF(L29 &gt;0,(L29-H29)*I29-M29-N29-O29,0)</f>
        <v>86812</v>
      </c>
      <c r="Q29" s="54">
        <f t="shared" si="2"/>
        <v>8.9220966084275433E-2</v>
      </c>
      <c r="R29" s="196"/>
      <c r="S29" s="198"/>
      <c r="U29" s="190"/>
      <c r="V29" s="190"/>
      <c r="W29" s="190"/>
      <c r="AA29" s="198"/>
      <c r="AB29" s="198"/>
      <c r="AC29" s="198"/>
    </row>
    <row r="30" spans="2:29" s="112" customFormat="1">
      <c r="B30" s="130"/>
      <c r="C30" s="192">
        <v>14</v>
      </c>
      <c r="D30" s="288">
        <v>43790</v>
      </c>
      <c r="E30" s="39" t="s">
        <v>177</v>
      </c>
      <c r="F30" s="39">
        <v>6995</v>
      </c>
      <c r="G30" s="61" t="s">
        <v>112</v>
      </c>
      <c r="H30" s="55">
        <v>2050</v>
      </c>
      <c r="I30" s="39">
        <v>500</v>
      </c>
      <c r="J30" s="56">
        <f t="shared" ref="J30:J33" si="67">H30*I30</f>
        <v>1025000</v>
      </c>
      <c r="K30" s="58" t="s">
        <v>182</v>
      </c>
      <c r="L30" s="55">
        <v>2176</v>
      </c>
      <c r="M30" s="39">
        <f t="shared" si="54"/>
        <v>770</v>
      </c>
      <c r="N30" s="152">
        <f>IF(OR(K30="現物",J30=0),0,IF(E30="売",J30*Fee_Refer!$B$12/365*V30, J30*Fee_Refer!$B$11/365*#REF!))</f>
        <v>556.02739726027391</v>
      </c>
      <c r="O30" s="58">
        <v>92</v>
      </c>
      <c r="P30" s="31">
        <f t="shared" ref="P30" si="68">IF(L30 &gt;0,(H30-L30)*I30-M30-N30-O30,0)</f>
        <v>-64418.027397260274</v>
      </c>
      <c r="Q30" s="51">
        <f t="shared" si="2"/>
        <v>-6.2846855997327103E-2</v>
      </c>
      <c r="R30" s="196">
        <f>P30+P31</f>
        <v>33712.972602739726</v>
      </c>
      <c r="S30" s="197">
        <f t="shared" ref="S30" si="69">R30/(J30+J31)</f>
        <v>1.6402146834066229E-2</v>
      </c>
      <c r="U30" s="199">
        <v>43808</v>
      </c>
      <c r="V30" s="190">
        <f t="shared" ref="V30" si="70">IF(U30&gt;D30,DATEDIF(D30,U30,"d"),0)</f>
        <v>18</v>
      </c>
      <c r="W30" s="205" t="s">
        <v>1296</v>
      </c>
      <c r="AA30" s="203">
        <f>YEAR(U30)</f>
        <v>2019</v>
      </c>
      <c r="AB30" s="203">
        <f>MONTH(U30)</f>
        <v>12</v>
      </c>
      <c r="AC30" s="203" t="str">
        <f>IF(R30&gt;0,"○","☓")</f>
        <v>○</v>
      </c>
    </row>
    <row r="31" spans="2:29" s="112" customFormat="1">
      <c r="B31" s="130"/>
      <c r="C31" s="193"/>
      <c r="D31" s="290">
        <v>43748</v>
      </c>
      <c r="E31" s="35" t="s">
        <v>178</v>
      </c>
      <c r="F31" s="35">
        <v>6472</v>
      </c>
      <c r="G31" s="60" t="s">
        <v>155</v>
      </c>
      <c r="H31" s="52">
        <v>322</v>
      </c>
      <c r="I31" s="52">
        <v>3200</v>
      </c>
      <c r="J31" s="53">
        <f t="shared" si="67"/>
        <v>1030400</v>
      </c>
      <c r="K31" s="181" t="s">
        <v>168</v>
      </c>
      <c r="L31" s="47">
        <v>353</v>
      </c>
      <c r="M31" s="37">
        <f>487+582</f>
        <v>1069</v>
      </c>
      <c r="N31" s="177">
        <v>0</v>
      </c>
      <c r="O31" s="177">
        <v>0</v>
      </c>
      <c r="P31" s="35">
        <f t="shared" ref="P31" si="71">IF(L31 &gt;0,(L31-H31)*I31-M31-N31-O31,0)</f>
        <v>98131</v>
      </c>
      <c r="Q31" s="54">
        <f t="shared" si="2"/>
        <v>9.5235830745341615E-2</v>
      </c>
      <c r="R31" s="196"/>
      <c r="S31" s="198"/>
      <c r="U31" s="190"/>
      <c r="V31" s="190"/>
      <c r="W31" s="190"/>
      <c r="AA31" s="198"/>
      <c r="AB31" s="198"/>
      <c r="AC31" s="198"/>
    </row>
    <row r="32" spans="2:29" s="112" customFormat="1">
      <c r="B32" s="130"/>
      <c r="C32" s="192">
        <v>15</v>
      </c>
      <c r="D32" s="288">
        <v>43791</v>
      </c>
      <c r="E32" s="39" t="s">
        <v>177</v>
      </c>
      <c r="F32" s="39">
        <v>8601</v>
      </c>
      <c r="G32" s="61" t="s">
        <v>47</v>
      </c>
      <c r="H32" s="55">
        <v>533.79999999999995</v>
      </c>
      <c r="I32" s="39">
        <v>2000</v>
      </c>
      <c r="J32" s="56">
        <f t="shared" si="67"/>
        <v>1067600</v>
      </c>
      <c r="K32" s="58" t="s">
        <v>182</v>
      </c>
      <c r="L32" s="55">
        <v>555</v>
      </c>
      <c r="M32" s="39">
        <f>700+35+35</f>
        <v>770</v>
      </c>
      <c r="N32" s="152">
        <f>IF(OR(K32="現物",J32=0),0,IF(E32="売",J32*Fee_Refer!$B$12/365*V32, J32*Fee_Refer!$B$11/365*#REF!))</f>
        <v>546.96219178082174</v>
      </c>
      <c r="O32" s="58">
        <v>92</v>
      </c>
      <c r="P32" s="31">
        <f t="shared" ref="P32" si="72">IF(L32 &gt;0,(H32-L32)*I32-M32-N32-O32,0)</f>
        <v>-43808.962191780913</v>
      </c>
      <c r="Q32" s="51">
        <f t="shared" si="2"/>
        <v>-4.1034996432915805E-2</v>
      </c>
      <c r="R32" s="196">
        <f>P32+P33</f>
        <v>-7387.9621917808836</v>
      </c>
      <c r="S32" s="197">
        <f t="shared" ref="S32" si="73">R32/(J32+J33)</f>
        <v>-3.4469872261972761E-3</v>
      </c>
      <c r="U32" s="199">
        <v>43808</v>
      </c>
      <c r="V32" s="190">
        <f t="shared" ref="V32" si="74">IF(U32&gt;D32,DATEDIF(D32,U32,"d"),0)</f>
        <v>17</v>
      </c>
      <c r="W32" s="205" t="s">
        <v>1296</v>
      </c>
      <c r="AA32" s="203">
        <f>YEAR(U32)</f>
        <v>2019</v>
      </c>
      <c r="AB32" s="203">
        <f>MONTH(U32)</f>
        <v>12</v>
      </c>
      <c r="AC32" s="203" t="str">
        <f>IF(R32&gt;0,"○","☓")</f>
        <v>☓</v>
      </c>
    </row>
    <row r="33" spans="2:29" s="112" customFormat="1">
      <c r="B33" s="130"/>
      <c r="C33" s="193"/>
      <c r="D33" s="290">
        <v>43748</v>
      </c>
      <c r="E33" s="35" t="s">
        <v>178</v>
      </c>
      <c r="F33" s="35">
        <v>8308</v>
      </c>
      <c r="G33" s="60" t="s">
        <v>123</v>
      </c>
      <c r="H33" s="52">
        <v>467.7</v>
      </c>
      <c r="I33" s="52">
        <v>2300</v>
      </c>
      <c r="J33" s="53">
        <f t="shared" si="67"/>
        <v>1075710</v>
      </c>
      <c r="K33" s="181" t="s">
        <v>168</v>
      </c>
      <c r="L33" s="47">
        <v>484</v>
      </c>
      <c r="M33" s="37">
        <f>487+582</f>
        <v>1069</v>
      </c>
      <c r="N33" s="177">
        <v>0</v>
      </c>
      <c r="O33" s="177">
        <v>0</v>
      </c>
      <c r="P33" s="35">
        <f t="shared" ref="P33" si="75">IF(L33 &gt;0,(L33-H33)*I33-M33-N33-O33,0)</f>
        <v>36421.000000000029</v>
      </c>
      <c r="Q33" s="54">
        <f t="shared" si="2"/>
        <v>3.3857638211042033E-2</v>
      </c>
      <c r="R33" s="196"/>
      <c r="S33" s="198"/>
      <c r="U33" s="190"/>
      <c r="V33" s="190"/>
      <c r="W33" s="190"/>
      <c r="AA33" s="198"/>
      <c r="AB33" s="198"/>
      <c r="AC33" s="198"/>
    </row>
  </sheetData>
  <autoFilter ref="B3:AC23"/>
  <mergeCells count="150">
    <mergeCell ref="U32:U33"/>
    <mergeCell ref="V32:V33"/>
    <mergeCell ref="W32:W33"/>
    <mergeCell ref="C18:C19"/>
    <mergeCell ref="D18:D19"/>
    <mergeCell ref="R18:R19"/>
    <mergeCell ref="S18:S19"/>
    <mergeCell ref="U18:U19"/>
    <mergeCell ref="D20:D21"/>
    <mergeCell ref="C24:C25"/>
    <mergeCell ref="D24:D25"/>
    <mergeCell ref="R24:R25"/>
    <mergeCell ref="S24:S25"/>
    <mergeCell ref="U24:U25"/>
    <mergeCell ref="AA18:AA19"/>
    <mergeCell ref="AB18:AB19"/>
    <mergeCell ref="AC18:AC19"/>
    <mergeCell ref="AA20:AA21"/>
    <mergeCell ref="AB20:AB21"/>
    <mergeCell ref="AC20:AC21"/>
    <mergeCell ref="W20:W21"/>
    <mergeCell ref="C20:C21"/>
    <mergeCell ref="R20:R21"/>
    <mergeCell ref="S20:S21"/>
    <mergeCell ref="V20:V21"/>
    <mergeCell ref="U20:U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AA22:AA23"/>
    <mergeCell ref="AB22:AB23"/>
    <mergeCell ref="AC22:AC23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R22:R23"/>
    <mergeCell ref="S22:S23"/>
    <mergeCell ref="U22:U23"/>
    <mergeCell ref="V22:V23"/>
    <mergeCell ref="C26:C27"/>
    <mergeCell ref="D26:D27"/>
    <mergeCell ref="R26:R27"/>
    <mergeCell ref="S26:S27"/>
    <mergeCell ref="U26:U27"/>
    <mergeCell ref="AC24:AC25"/>
    <mergeCell ref="V26:V27"/>
    <mergeCell ref="W26:W27"/>
    <mergeCell ref="V24:V25"/>
    <mergeCell ref="W24:W25"/>
    <mergeCell ref="AA30:AA31"/>
    <mergeCell ref="AB30:AB31"/>
    <mergeCell ref="AC30:AC31"/>
    <mergeCell ref="AA26:AA27"/>
    <mergeCell ref="AB26:AB27"/>
    <mergeCell ref="AC26:AC27"/>
    <mergeCell ref="AA32:AA33"/>
    <mergeCell ref="AB32:AB33"/>
    <mergeCell ref="AC32:AC33"/>
    <mergeCell ref="AC28:AC29"/>
    <mergeCell ref="C28:C29"/>
    <mergeCell ref="D28:D29"/>
    <mergeCell ref="R28:R29"/>
    <mergeCell ref="S28:S29"/>
    <mergeCell ref="U28:U29"/>
    <mergeCell ref="V28:V29"/>
    <mergeCell ref="W28:W29"/>
    <mergeCell ref="C30:C31"/>
    <mergeCell ref="D30:D31"/>
    <mergeCell ref="R30:R31"/>
    <mergeCell ref="S30:S31"/>
    <mergeCell ref="U30:U31"/>
    <mergeCell ref="V30:V31"/>
    <mergeCell ref="W30:W31"/>
    <mergeCell ref="C32:C33"/>
    <mergeCell ref="D32:D33"/>
    <mergeCell ref="R32:R33"/>
    <mergeCell ref="AA28:AA29"/>
    <mergeCell ref="AB28:AB29"/>
    <mergeCell ref="S32:S33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C42" sqref="C42"/>
    </sheetView>
  </sheetViews>
  <sheetFormatPr defaultRowHeight="14.25"/>
  <sheetData>
    <row r="27" spans="1:1">
      <c r="A27" s="21" t="s">
        <v>89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W14"/>
  <sheetViews>
    <sheetView showGridLines="0" zoomScaleNormal="100" workbookViewId="0">
      <selection activeCell="I12" sqref="I11:J12"/>
    </sheetView>
  </sheetViews>
  <sheetFormatPr defaultRowHeight="14.25"/>
  <cols>
    <col min="1" max="1" width="6" style="112" customWidth="1"/>
    <col min="2" max="2" width="6.5" style="112" customWidth="1"/>
    <col min="3" max="3" width="12.75" style="112" customWidth="1"/>
    <col min="4" max="4" width="9.875" style="112" customWidth="1"/>
    <col min="5" max="7" width="9" style="112"/>
    <col min="8" max="8" width="10.75" style="112" customWidth="1"/>
    <col min="9" max="10" width="9" style="112"/>
    <col min="11" max="11" width="10.625" style="112" customWidth="1"/>
    <col min="12" max="16384" width="9" style="112"/>
  </cols>
  <sheetData>
    <row r="1" spans="1:23" ht="21" customHeight="1" thickBot="1">
      <c r="A1" s="176" t="s">
        <v>1294</v>
      </c>
    </row>
    <row r="2" spans="1:23" ht="59.25" customHeight="1">
      <c r="A2" s="160" t="s">
        <v>1272</v>
      </c>
      <c r="B2" s="161" t="s">
        <v>1273</v>
      </c>
      <c r="C2" s="162" t="s">
        <v>1280</v>
      </c>
      <c r="D2" s="161" t="s">
        <v>1281</v>
      </c>
      <c r="E2" s="161" t="s">
        <v>1282</v>
      </c>
      <c r="F2" s="162" t="s">
        <v>1290</v>
      </c>
      <c r="G2" s="162" t="s">
        <v>1291</v>
      </c>
      <c r="H2" s="162" t="s">
        <v>1283</v>
      </c>
      <c r="I2" s="162" t="s">
        <v>1284</v>
      </c>
      <c r="J2" s="162" t="s">
        <v>1285</v>
      </c>
      <c r="K2" s="162" t="s">
        <v>1292</v>
      </c>
      <c r="L2" s="162" t="s">
        <v>1286</v>
      </c>
      <c r="M2" s="162" t="s">
        <v>1274</v>
      </c>
      <c r="N2" s="162" t="s">
        <v>1275</v>
      </c>
      <c r="O2" s="162" t="s">
        <v>1276</v>
      </c>
      <c r="P2" s="162" t="s">
        <v>1287</v>
      </c>
      <c r="Q2" s="163" t="s">
        <v>1288</v>
      </c>
      <c r="R2" s="163" t="s">
        <v>1277</v>
      </c>
      <c r="S2" s="164" t="s">
        <v>1278</v>
      </c>
      <c r="T2" s="164" t="s">
        <v>1279</v>
      </c>
      <c r="U2" s="164" t="s">
        <v>1293</v>
      </c>
      <c r="V2" s="165" t="s">
        <v>1289</v>
      </c>
      <c r="W2" s="159"/>
    </row>
    <row r="3" spans="1:23">
      <c r="A3" s="166">
        <v>2019</v>
      </c>
      <c r="B3" s="166">
        <v>10</v>
      </c>
      <c r="C3" s="167">
        <v>5000000</v>
      </c>
      <c r="D3" s="168">
        <v>-25615.999999999971</v>
      </c>
      <c r="E3" s="169">
        <f t="shared" ref="E3:E5" si="0">IF(D3 &lt;&gt; 0,D3/C3, 0)</f>
        <v>-5.1231999999999944E-3</v>
      </c>
      <c r="F3" s="168">
        <v>101112</v>
      </c>
      <c r="G3" s="168">
        <v>-126727.99999999997</v>
      </c>
      <c r="H3" s="166">
        <v>8</v>
      </c>
      <c r="I3" s="166">
        <v>3</v>
      </c>
      <c r="J3" s="166">
        <v>5</v>
      </c>
      <c r="K3" s="170">
        <f t="shared" ref="K3:K5" si="1">IF(H3&lt;&gt;0,I3/H3,0)</f>
        <v>0.375</v>
      </c>
      <c r="L3" s="171">
        <f t="shared" ref="L3:L5" si="2">IF(I3&lt;&gt;0,F3/I3,0)</f>
        <v>33704</v>
      </c>
      <c r="M3" s="172">
        <f t="shared" ref="M3:M5" si="3">IF(J3&lt;&gt;0,G3/J3,0)</f>
        <v>-25345.599999999995</v>
      </c>
      <c r="N3" s="173">
        <v>14</v>
      </c>
      <c r="O3" s="173">
        <v>-93238.000000000029</v>
      </c>
      <c r="P3" s="174">
        <f t="shared" ref="P3:P5" si="4">IF(C3&lt;&gt;0,O3/C3,0)</f>
        <v>-1.8647600000000007E-2</v>
      </c>
      <c r="Q3" s="175">
        <v>3</v>
      </c>
      <c r="R3" s="175">
        <v>5</v>
      </c>
      <c r="S3" s="175">
        <v>1</v>
      </c>
      <c r="T3" s="175">
        <v>1</v>
      </c>
      <c r="U3" s="175">
        <v>6</v>
      </c>
      <c r="V3" s="175">
        <f t="shared" ref="V3:V5" si="5">IF(H3&lt;&gt;0,H3-S3-T3-U3,0)</f>
        <v>0</v>
      </c>
    </row>
    <row r="4" spans="1:23">
      <c r="A4" s="166">
        <v>2019</v>
      </c>
      <c r="B4" s="166">
        <v>11</v>
      </c>
      <c r="C4" s="167">
        <f>IF(D3 &lt;&gt; 0,C3+D3, 0)</f>
        <v>4974384</v>
      </c>
      <c r="D4" s="168">
        <v>487021.99999999988</v>
      </c>
      <c r="E4" s="169">
        <f t="shared" si="0"/>
        <v>9.7905991978102194E-2</v>
      </c>
      <c r="F4" s="168">
        <v>546235.99999999988</v>
      </c>
      <c r="G4" s="168">
        <v>-59214</v>
      </c>
      <c r="H4" s="166">
        <v>3</v>
      </c>
      <c r="I4" s="166">
        <v>2</v>
      </c>
      <c r="J4" s="166">
        <v>1</v>
      </c>
      <c r="K4" s="170">
        <f t="shared" si="1"/>
        <v>0.66666666666666663</v>
      </c>
      <c r="L4" s="171">
        <f t="shared" si="2"/>
        <v>273117.99999999994</v>
      </c>
      <c r="M4" s="172">
        <f t="shared" si="3"/>
        <v>-59214</v>
      </c>
      <c r="N4" s="173">
        <v>10</v>
      </c>
      <c r="O4" s="173">
        <v>-59214</v>
      </c>
      <c r="P4" s="174">
        <f t="shared" si="4"/>
        <v>-1.190378547373906E-2</v>
      </c>
      <c r="Q4" s="175">
        <v>2</v>
      </c>
      <c r="R4" s="175">
        <v>1</v>
      </c>
      <c r="S4" s="175">
        <v>2</v>
      </c>
      <c r="T4" s="175">
        <v>1</v>
      </c>
      <c r="U4" s="175">
        <v>0</v>
      </c>
      <c r="V4" s="175">
        <f t="shared" si="5"/>
        <v>0</v>
      </c>
    </row>
    <row r="5" spans="1:23">
      <c r="A5" s="166">
        <v>2019</v>
      </c>
      <c r="B5" s="166">
        <v>12</v>
      </c>
      <c r="C5" s="167">
        <f>IF(D4 &lt;&gt; 0,C4+D4, 0)</f>
        <v>5461406</v>
      </c>
      <c r="D5" s="168">
        <v>56917.010410958843</v>
      </c>
      <c r="E5" s="169">
        <f t="shared" si="0"/>
        <v>1.0421677203811408E-2</v>
      </c>
      <c r="F5" s="168">
        <v>87862.972602739726</v>
      </c>
      <c r="G5" s="168">
        <v>-30945.962191780884</v>
      </c>
      <c r="H5" s="166">
        <v>4</v>
      </c>
      <c r="I5" s="166">
        <v>2</v>
      </c>
      <c r="J5" s="166">
        <v>2</v>
      </c>
      <c r="K5" s="170">
        <f t="shared" si="1"/>
        <v>0.5</v>
      </c>
      <c r="L5" s="171">
        <f t="shared" si="2"/>
        <v>43931.486301369863</v>
      </c>
      <c r="M5" s="172">
        <f t="shared" si="3"/>
        <v>-15472.981095890442</v>
      </c>
      <c r="N5" s="173">
        <v>17</v>
      </c>
      <c r="O5" s="173">
        <v>-23558</v>
      </c>
      <c r="P5" s="174">
        <f t="shared" si="4"/>
        <v>-4.3135412382818636E-3</v>
      </c>
      <c r="Q5" s="175">
        <v>2</v>
      </c>
      <c r="R5" s="175">
        <v>1</v>
      </c>
      <c r="S5" s="175">
        <v>1</v>
      </c>
      <c r="T5" s="175">
        <v>0</v>
      </c>
      <c r="U5" s="175">
        <v>3</v>
      </c>
      <c r="V5" s="175">
        <f t="shared" si="5"/>
        <v>0</v>
      </c>
    </row>
    <row r="7" spans="1:23">
      <c r="C7" s="10"/>
      <c r="D7" s="10"/>
    </row>
    <row r="14" spans="1:23">
      <c r="A14" s="21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1:W6"/>
  <sheetViews>
    <sheetView zoomScale="130" zoomScaleNormal="130" workbookViewId="0">
      <selection activeCell="D29" sqref="D29"/>
    </sheetView>
  </sheetViews>
  <sheetFormatPr defaultRowHeight="14.25"/>
  <cols>
    <col min="1" max="1" width="1.25" customWidth="1"/>
    <col min="3" max="3" width="11.125" bestFit="1" customWidth="1"/>
  </cols>
  <sheetData>
    <row r="1" spans="2:23" ht="15" thickBot="1"/>
    <row r="2" spans="2:23" s="112" customFormat="1" ht="24.75" thickBot="1">
      <c r="C2" s="64" t="s">
        <v>169</v>
      </c>
      <c r="D2" s="74" t="s">
        <v>193</v>
      </c>
      <c r="E2" s="66"/>
      <c r="F2" s="65" t="s">
        <v>90</v>
      </c>
      <c r="G2" s="67" t="s">
        <v>91</v>
      </c>
      <c r="H2" s="68" t="s">
        <v>170</v>
      </c>
      <c r="I2" s="68" t="s">
        <v>171</v>
      </c>
      <c r="J2" s="66" t="s">
        <v>42</v>
      </c>
      <c r="K2" s="66" t="s">
        <v>172</v>
      </c>
      <c r="L2" s="68" t="s">
        <v>173</v>
      </c>
      <c r="M2" s="69" t="s">
        <v>194</v>
      </c>
      <c r="N2" s="66" t="s">
        <v>174</v>
      </c>
      <c r="O2" s="69" t="s">
        <v>188</v>
      </c>
      <c r="P2" s="66" t="s">
        <v>281</v>
      </c>
      <c r="Q2" s="66" t="s">
        <v>175</v>
      </c>
      <c r="R2" s="69" t="s">
        <v>190</v>
      </c>
      <c r="S2" s="72" t="s">
        <v>191</v>
      </c>
      <c r="T2" s="71"/>
      <c r="U2" s="73" t="s">
        <v>287</v>
      </c>
      <c r="V2" s="73" t="s">
        <v>192</v>
      </c>
      <c r="W2" s="70" t="s">
        <v>189</v>
      </c>
    </row>
    <row r="3" spans="2:23" s="112" customFormat="1">
      <c r="B3" s="130" t="s">
        <v>296</v>
      </c>
      <c r="C3" s="192">
        <f>ROW()/2-1</f>
        <v>0.5</v>
      </c>
      <c r="D3" s="194">
        <v>43807</v>
      </c>
      <c r="E3" s="39" t="s">
        <v>284</v>
      </c>
      <c r="F3" s="39">
        <v>3105</v>
      </c>
      <c r="G3" s="61" t="s">
        <v>1314</v>
      </c>
      <c r="H3" s="55"/>
      <c r="I3" s="55">
        <v>1000</v>
      </c>
      <c r="J3" s="56">
        <f t="shared" ref="J3:J4" si="0">H3*I3</f>
        <v>0</v>
      </c>
      <c r="K3" s="58" t="s">
        <v>1316</v>
      </c>
      <c r="L3" s="55"/>
      <c r="M3" s="39"/>
      <c r="N3" s="152">
        <f>IF(OR(K3="現物",J3=0),0,IF(E3="売",J3*Fee_Refer!$B$12/365*V3, J3*Fee_Refer!$B$11/365*#REF!))</f>
        <v>0</v>
      </c>
      <c r="O3" s="58">
        <v>0</v>
      </c>
      <c r="P3" s="155">
        <f>IF(L3 &gt;0,(H3-L3)*I3-M3-N3-O3,0)</f>
        <v>0</v>
      </c>
      <c r="Q3" s="57" t="e">
        <f t="shared" ref="Q3:Q4" si="1">P3/J3</f>
        <v>#DIV/0!</v>
      </c>
      <c r="R3" s="196">
        <f>P3+P4</f>
        <v>0</v>
      </c>
      <c r="S3" s="197" t="e">
        <f t="shared" ref="S3" si="2">R3/(J3+J4)</f>
        <v>#DIV/0!</v>
      </c>
      <c r="U3" s="199">
        <f>$P$1</f>
        <v>0</v>
      </c>
      <c r="V3" s="190">
        <f t="shared" ref="V3" si="3">IF(U3&gt;D3,DATEDIF(D3,U3,"d"),0)</f>
        <v>0</v>
      </c>
      <c r="W3" s="191"/>
    </row>
    <row r="4" spans="2:23" s="112" customFormat="1">
      <c r="B4" s="130" t="s">
        <v>1052</v>
      </c>
      <c r="C4" s="193"/>
      <c r="D4" s="195">
        <v>43748</v>
      </c>
      <c r="E4" s="35" t="s">
        <v>286</v>
      </c>
      <c r="F4" s="35">
        <v>7762</v>
      </c>
      <c r="G4" s="60" t="s">
        <v>1315</v>
      </c>
      <c r="H4" s="52"/>
      <c r="I4" s="52">
        <v>1700</v>
      </c>
      <c r="J4" s="53">
        <f t="shared" si="0"/>
        <v>0</v>
      </c>
      <c r="K4" s="153" t="s">
        <v>1316</v>
      </c>
      <c r="L4" s="47"/>
      <c r="M4" s="37"/>
      <c r="N4" s="154">
        <f>IF(OR(K4="現物",J4=0),0,IF(E4="売",J4*Fee_Refer!$B$12/365*V4, J4*Fee_Refer!$B$11/365*V3))</f>
        <v>0</v>
      </c>
      <c r="O4" s="177">
        <v>0</v>
      </c>
      <c r="P4" s="156">
        <f>IF(L4&gt;0,(L4-H4)*I4-M4-N4-O4,0)</f>
        <v>0</v>
      </c>
      <c r="Q4" s="54" t="e">
        <f t="shared" si="1"/>
        <v>#DIV/0!</v>
      </c>
      <c r="R4" s="196"/>
      <c r="S4" s="198"/>
      <c r="U4" s="190"/>
      <c r="V4" s="190"/>
      <c r="W4" s="190"/>
    </row>
    <row r="6" spans="2:23">
      <c r="C6" s="19">
        <v>43806</v>
      </c>
      <c r="D6" s="112" t="s">
        <v>1319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I19"/>
  <sheetViews>
    <sheetView showGridLines="0" zoomScale="115" zoomScaleNormal="115" workbookViewId="0">
      <selection activeCell="L25" sqref="L25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29">
        <v>8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29">
        <v>2.5</v>
      </c>
    </row>
    <row r="8" spans="1:8">
      <c r="B8" s="4" t="s">
        <v>8</v>
      </c>
      <c r="C8" s="24">
        <v>1.8</v>
      </c>
      <c r="D8" s="24">
        <v>3</v>
      </c>
      <c r="F8" s="4" t="s">
        <v>92</v>
      </c>
      <c r="G8" s="158">
        <v>-2.5</v>
      </c>
    </row>
    <row r="9" spans="1:8">
      <c r="B9" s="4" t="s">
        <v>9</v>
      </c>
      <c r="C9" s="24">
        <v>0.9</v>
      </c>
      <c r="D9" s="23">
        <v>1</v>
      </c>
      <c r="E9" s="1"/>
      <c r="F9" s="4" t="s">
        <v>93</v>
      </c>
      <c r="G9" s="25">
        <v>15</v>
      </c>
      <c r="H9" s="1"/>
    </row>
    <row r="10" spans="1:8">
      <c r="B10" s="4" t="s">
        <v>10</v>
      </c>
      <c r="C10" s="3">
        <v>2</v>
      </c>
      <c r="D10" s="3">
        <v>3</v>
      </c>
      <c r="E10" s="12"/>
      <c r="F10" s="4" t="s">
        <v>94</v>
      </c>
      <c r="G10" s="24">
        <v>2</v>
      </c>
      <c r="H10" s="1"/>
    </row>
    <row r="11" spans="1:8">
      <c r="B11" s="4" t="s">
        <v>11</v>
      </c>
      <c r="C11" s="2" t="s">
        <v>15</v>
      </c>
      <c r="D11" s="6"/>
      <c r="E11" s="1" t="s">
        <v>21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9">
      <c r="B17" s="4" t="s">
        <v>88</v>
      </c>
      <c r="C17" s="233" t="s">
        <v>87</v>
      </c>
      <c r="D17" s="234"/>
      <c r="E17" s="234"/>
      <c r="F17" s="234"/>
      <c r="G17" s="235"/>
    </row>
    <row r="18" spans="2:9">
      <c r="B18" s="4" t="s">
        <v>86</v>
      </c>
      <c r="C18" s="228" t="str">
        <f>C17 &amp; "\master\" &amp; H18</f>
        <v>G:\Stock\pairs_trade\pair_trade\stock_data\master\master.csv</v>
      </c>
      <c r="D18" s="229"/>
      <c r="E18" s="229"/>
      <c r="F18" s="229"/>
      <c r="G18" s="230"/>
      <c r="H18" s="238" t="s">
        <v>1264</v>
      </c>
      <c r="I18" s="239"/>
    </row>
    <row r="19" spans="2:9">
      <c r="B19" s="4" t="s">
        <v>367</v>
      </c>
      <c r="C19" s="231" t="str">
        <f>C17 &amp; "\master\" &amp; H19</f>
        <v>G:\Stock\pairs_trade\pair_trade\stock_data\master\fiscal_data.csv</v>
      </c>
      <c r="D19" s="232"/>
      <c r="E19" s="232"/>
      <c r="F19" s="232"/>
      <c r="G19" s="232"/>
      <c r="H19" s="236" t="s">
        <v>1263</v>
      </c>
      <c r="I19" s="237"/>
    </row>
  </sheetData>
  <mergeCells count="5">
    <mergeCell ref="C18:G18"/>
    <mergeCell ref="C19:G19"/>
    <mergeCell ref="C17:G17"/>
    <mergeCell ref="H19:I19"/>
    <mergeCell ref="H18:I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BP300"/>
  <sheetViews>
    <sheetView showGridLines="0" zoomScaleNormal="100" workbookViewId="0">
      <selection activeCell="B7" sqref="B7"/>
    </sheetView>
  </sheetViews>
  <sheetFormatPr defaultRowHeight="14.25"/>
  <cols>
    <col min="1" max="1" width="7.875" customWidth="1"/>
    <col min="2" max="2" width="6.875" style="112" customWidth="1"/>
    <col min="3" max="3" width="5.75" style="112" customWidth="1"/>
    <col min="4" max="4" width="3.25" style="112" hidden="1" customWidth="1"/>
    <col min="5" max="5" width="3.875" style="112" customWidth="1"/>
    <col min="6" max="6" width="5.625" style="26" customWidth="1"/>
    <col min="7" max="7" width="13.875" style="28" customWidth="1"/>
    <col min="8" max="8" width="10" style="28" customWidth="1"/>
    <col min="9" max="9" width="9.125" customWidth="1"/>
    <col min="10" max="10" width="5.5" customWidth="1"/>
    <col min="11" max="11" width="9.375" customWidth="1"/>
    <col min="12" max="12" width="7.75" style="112" customWidth="1"/>
    <col min="13" max="13" width="10.75" style="112" hidden="1" customWidth="1"/>
    <col min="14" max="14" width="0.125" style="112" hidden="1" customWidth="1"/>
    <col min="15" max="15" width="6.5" style="27" customWidth="1"/>
    <col min="16" max="16" width="15.5" style="28" customWidth="1"/>
    <col min="17" max="17" width="12.5" style="28" customWidth="1"/>
    <col min="18" max="18" width="7.5" style="27" customWidth="1"/>
    <col min="19" max="19" width="6.875" style="27" customWidth="1"/>
    <col min="20" max="20" width="8.875" style="27" customWidth="1"/>
    <col min="21" max="21" width="7.375" style="27" customWidth="1"/>
    <col min="22" max="23" width="14.625" style="27" hidden="1" customWidth="1"/>
    <col min="24" max="24" width="7.625" style="27" customWidth="1"/>
    <col min="25" max="25" width="6.75" style="27" customWidth="1"/>
    <col min="26" max="28" width="7.875" style="27" customWidth="1"/>
    <col min="29" max="30" width="7.875" style="27" hidden="1" customWidth="1"/>
    <col min="31" max="31" width="7.375" style="27" hidden="1" customWidth="1"/>
    <col min="32" max="32" width="9.875" style="27" customWidth="1"/>
    <col min="33" max="33" width="10.25" style="27" customWidth="1"/>
    <col min="34" max="34" width="6.125" style="26" customWidth="1"/>
    <col min="35" max="35" width="7" style="27" customWidth="1"/>
    <col min="36" max="38" width="8.875" style="27" customWidth="1"/>
    <col min="39" max="39" width="8.875" style="27" hidden="1" customWidth="1"/>
    <col min="40" max="40" width="6.5" style="27" hidden="1" customWidth="1"/>
    <col min="41" max="41" width="5.875" style="27" hidden="1" customWidth="1"/>
    <col min="42" max="42" width="7.5" style="27" customWidth="1"/>
    <col min="43" max="43" width="6.875" style="27" customWidth="1"/>
    <col min="44" max="44" width="6.375" style="27" customWidth="1"/>
    <col min="45" max="45" width="7" style="27" customWidth="1"/>
  </cols>
  <sheetData>
    <row r="1" spans="1:68" ht="15" thickBot="1">
      <c r="L1" s="106"/>
      <c r="M1" s="106"/>
      <c r="N1" s="106"/>
    </row>
    <row r="2" spans="1:68">
      <c r="A2" s="112"/>
      <c r="E2" s="291" t="s">
        <v>1342</v>
      </c>
      <c r="F2" s="244" t="s">
        <v>1338</v>
      </c>
      <c r="G2" s="241"/>
      <c r="H2" s="241"/>
      <c r="I2" s="241"/>
      <c r="J2" s="241"/>
      <c r="K2" s="241"/>
      <c r="L2" s="295"/>
      <c r="M2" s="295"/>
      <c r="N2" s="294"/>
      <c r="O2" s="245" t="s">
        <v>303</v>
      </c>
      <c r="P2" s="241"/>
      <c r="Q2" s="241"/>
      <c r="R2" s="241"/>
      <c r="S2" s="241"/>
      <c r="T2" s="241"/>
      <c r="U2" s="241"/>
      <c r="V2" s="241"/>
      <c r="W2" s="242"/>
      <c r="X2" s="240" t="s">
        <v>1307</v>
      </c>
      <c r="Y2" s="241"/>
      <c r="Z2" s="241"/>
      <c r="AA2" s="241"/>
      <c r="AB2" s="241"/>
      <c r="AC2" s="241"/>
      <c r="AD2" s="241"/>
      <c r="AE2" s="242"/>
      <c r="AF2" s="243" t="s">
        <v>304</v>
      </c>
      <c r="AG2" s="241"/>
      <c r="AH2" s="241"/>
      <c r="AI2" s="241"/>
      <c r="AJ2" s="241"/>
      <c r="AK2" s="241"/>
      <c r="AL2" s="241"/>
      <c r="AM2" s="241"/>
      <c r="AN2" s="241"/>
      <c r="AO2" s="242"/>
      <c r="AP2" s="117" t="s">
        <v>305</v>
      </c>
      <c r="AQ2" s="118"/>
      <c r="AR2" s="118"/>
      <c r="AS2" s="119"/>
    </row>
    <row r="3" spans="1:68" s="22" customFormat="1" ht="28.5" customHeight="1" thickBot="1">
      <c r="A3" s="113"/>
      <c r="B3" s="113"/>
      <c r="C3" s="113"/>
      <c r="D3" s="113"/>
      <c r="E3" s="292"/>
      <c r="F3" s="115" t="s">
        <v>306</v>
      </c>
      <c r="G3" s="131" t="s">
        <v>307</v>
      </c>
      <c r="H3" s="131" t="s">
        <v>308</v>
      </c>
      <c r="I3" s="131" t="s">
        <v>309</v>
      </c>
      <c r="J3" s="131" t="s">
        <v>310</v>
      </c>
      <c r="K3" s="293" t="s">
        <v>366</v>
      </c>
      <c r="L3" s="293" t="s">
        <v>1339</v>
      </c>
      <c r="M3" s="293"/>
      <c r="N3" s="132"/>
      <c r="O3" s="116" t="s">
        <v>306</v>
      </c>
      <c r="P3" s="120" t="s">
        <v>307</v>
      </c>
      <c r="Q3" s="120" t="s">
        <v>308</v>
      </c>
      <c r="R3" s="120" t="s">
        <v>309</v>
      </c>
      <c r="S3" s="120" t="s">
        <v>310</v>
      </c>
      <c r="T3" s="296" t="s">
        <v>365</v>
      </c>
      <c r="U3" s="296" t="s">
        <v>1339</v>
      </c>
      <c r="V3" s="296"/>
      <c r="W3" s="121"/>
      <c r="X3" s="122" t="s">
        <v>1308</v>
      </c>
      <c r="Y3" s="123" t="s">
        <v>1309</v>
      </c>
      <c r="Z3" s="123" t="s">
        <v>311</v>
      </c>
      <c r="AA3" s="123" t="s">
        <v>312</v>
      </c>
      <c r="AB3" s="297" t="s">
        <v>1310</v>
      </c>
      <c r="AC3" s="123"/>
      <c r="AD3" s="123"/>
      <c r="AE3" s="124"/>
      <c r="AF3" s="125" t="s">
        <v>1311</v>
      </c>
      <c r="AG3" s="126" t="s">
        <v>313</v>
      </c>
      <c r="AH3" s="114" t="s">
        <v>314</v>
      </c>
      <c r="AI3" s="114" t="s">
        <v>315</v>
      </c>
      <c r="AJ3" s="114" t="s">
        <v>316</v>
      </c>
      <c r="AK3" s="126" t="s">
        <v>317</v>
      </c>
      <c r="AL3" s="126" t="s">
        <v>318</v>
      </c>
      <c r="AM3" s="114"/>
      <c r="AN3" s="126"/>
      <c r="AO3" s="127"/>
      <c r="AP3" s="128" t="s">
        <v>1312</v>
      </c>
      <c r="AQ3" s="129" t="s">
        <v>319</v>
      </c>
      <c r="AR3" s="129" t="s">
        <v>1313</v>
      </c>
      <c r="AS3" s="157" t="s">
        <v>320</v>
      </c>
    </row>
    <row r="4" spans="1:68">
      <c r="A4" s="130" t="s">
        <v>1340</v>
      </c>
      <c r="B4" s="130" t="s">
        <v>1341</v>
      </c>
      <c r="C4" s="130" t="s">
        <v>1040</v>
      </c>
      <c r="D4"/>
      <c r="E4">
        <v>1</v>
      </c>
      <c r="F4">
        <v>7181</v>
      </c>
      <c r="G4" s="112" t="s">
        <v>158</v>
      </c>
      <c r="H4" s="112" t="s">
        <v>131</v>
      </c>
      <c r="I4">
        <v>1990</v>
      </c>
      <c r="J4">
        <v>500</v>
      </c>
      <c r="L4"/>
      <c r="M4"/>
      <c r="N4"/>
      <c r="O4">
        <v>9956</v>
      </c>
      <c r="P4" s="112" t="s">
        <v>343</v>
      </c>
      <c r="Q4" s="112" t="s">
        <v>116</v>
      </c>
      <c r="R4">
        <v>2070</v>
      </c>
      <c r="S4">
        <v>500</v>
      </c>
      <c r="T4"/>
      <c r="U4"/>
      <c r="V4"/>
      <c r="W4"/>
      <c r="X4">
        <v>2.2624826861349598</v>
      </c>
      <c r="Y4">
        <v>6.19</v>
      </c>
      <c r="Z4">
        <v>7181</v>
      </c>
      <c r="AA4">
        <v>0</v>
      </c>
      <c r="AB4">
        <v>3.86</v>
      </c>
      <c r="AC4"/>
      <c r="AD4"/>
      <c r="AE4"/>
      <c r="AF4">
        <v>196402</v>
      </c>
      <c r="AG4">
        <v>15108</v>
      </c>
      <c r="AH4" s="139">
        <v>13</v>
      </c>
      <c r="AI4" s="139">
        <v>9</v>
      </c>
      <c r="AJ4" s="139" t="s">
        <v>1328</v>
      </c>
      <c r="AK4">
        <v>69.23</v>
      </c>
      <c r="AL4">
        <v>14</v>
      </c>
      <c r="AM4"/>
      <c r="AN4"/>
      <c r="AO4"/>
      <c r="AP4">
        <v>0.93082151940243996</v>
      </c>
      <c r="AQ4">
        <v>0.947519025715029</v>
      </c>
      <c r="AR4">
        <v>7.0854084149129604E-3</v>
      </c>
      <c r="AS4">
        <v>0.12411874673279701</v>
      </c>
    </row>
    <row r="5" spans="1:68" s="140" customFormat="1">
      <c r="A5" s="130" t="s">
        <v>1340</v>
      </c>
      <c r="B5" s="130" t="s">
        <v>1341</v>
      </c>
      <c r="C5" s="130" t="s">
        <v>1040</v>
      </c>
      <c r="D5"/>
      <c r="E5">
        <v>2</v>
      </c>
      <c r="F5">
        <v>5802</v>
      </c>
      <c r="G5" s="112" t="s">
        <v>152</v>
      </c>
      <c r="H5" s="112" t="s">
        <v>153</v>
      </c>
      <c r="I5">
        <v>1690.5</v>
      </c>
      <c r="J5">
        <v>600</v>
      </c>
      <c r="K5"/>
      <c r="L5"/>
      <c r="M5"/>
      <c r="N5"/>
      <c r="O5">
        <v>9072</v>
      </c>
      <c r="P5" s="112" t="s">
        <v>147</v>
      </c>
      <c r="Q5" s="112" t="s">
        <v>140</v>
      </c>
      <c r="R5">
        <v>2739</v>
      </c>
      <c r="S5">
        <v>400</v>
      </c>
      <c r="T5"/>
      <c r="U5"/>
      <c r="V5"/>
      <c r="W5"/>
      <c r="X5">
        <v>2.18042600144235</v>
      </c>
      <c r="Y5">
        <v>8.6</v>
      </c>
      <c r="Z5">
        <v>11604</v>
      </c>
      <c r="AA5">
        <v>0</v>
      </c>
      <c r="AB5">
        <v>7.42</v>
      </c>
      <c r="AC5"/>
      <c r="AD5"/>
      <c r="AE5"/>
      <c r="AF5">
        <v>111309</v>
      </c>
      <c r="AG5">
        <v>5565</v>
      </c>
      <c r="AH5" s="139">
        <v>20</v>
      </c>
      <c r="AI5" s="139">
        <v>12</v>
      </c>
      <c r="AJ5" s="139" t="s">
        <v>1335</v>
      </c>
      <c r="AK5">
        <v>60</v>
      </c>
      <c r="AL5">
        <v>15</v>
      </c>
      <c r="AM5"/>
      <c r="AN5"/>
      <c r="AO5"/>
      <c r="AP5">
        <v>0.92068969045399696</v>
      </c>
      <c r="AQ5">
        <v>0.90932504911463896</v>
      </c>
      <c r="AR5">
        <v>6.4858499566239694E-2</v>
      </c>
      <c r="AS5">
        <v>2.9012766203050197E-4</v>
      </c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</row>
    <row r="6" spans="1:68" s="140" customFormat="1">
      <c r="A6" s="130" t="s">
        <v>1340</v>
      </c>
      <c r="B6" s="130" t="s">
        <v>1341</v>
      </c>
      <c r="C6" s="130" t="s">
        <v>1040</v>
      </c>
      <c r="D6"/>
      <c r="E6">
        <v>3</v>
      </c>
      <c r="F6">
        <v>8377</v>
      </c>
      <c r="G6" s="112" t="s">
        <v>115</v>
      </c>
      <c r="H6" s="112" t="s">
        <v>103</v>
      </c>
      <c r="I6">
        <v>1172</v>
      </c>
      <c r="J6">
        <v>900</v>
      </c>
      <c r="K6"/>
      <c r="L6"/>
      <c r="M6"/>
      <c r="N6"/>
      <c r="O6">
        <v>7167</v>
      </c>
      <c r="P6" s="112" t="s">
        <v>121</v>
      </c>
      <c r="Q6" s="112" t="s">
        <v>103</v>
      </c>
      <c r="R6">
        <v>284</v>
      </c>
      <c r="S6">
        <v>3700</v>
      </c>
      <c r="T6"/>
      <c r="U6"/>
      <c r="V6"/>
      <c r="W6"/>
      <c r="X6">
        <v>-2.4789826255028302</v>
      </c>
      <c r="Y6">
        <v>-4.3499999999999996</v>
      </c>
      <c r="Z6">
        <v>25131</v>
      </c>
      <c r="AA6">
        <v>0</v>
      </c>
      <c r="AB6">
        <v>0.38</v>
      </c>
      <c r="AC6"/>
      <c r="AD6"/>
      <c r="AE6"/>
      <c r="AF6">
        <v>96023</v>
      </c>
      <c r="AG6">
        <v>6001</v>
      </c>
      <c r="AH6" s="139">
        <v>16</v>
      </c>
      <c r="AI6" s="139">
        <v>11</v>
      </c>
      <c r="AJ6" s="139" t="s">
        <v>1329</v>
      </c>
      <c r="AK6">
        <v>68.75</v>
      </c>
      <c r="AL6">
        <v>16</v>
      </c>
      <c r="AM6"/>
      <c r="AN6"/>
      <c r="AO6"/>
      <c r="AP6">
        <v>0.91237744352002104</v>
      </c>
      <c r="AQ6">
        <v>0.90727622702687905</v>
      </c>
      <c r="AR6">
        <v>4.9546691768469597E-2</v>
      </c>
      <c r="AS6">
        <v>0.232779102848168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8" s="140" customFormat="1">
      <c r="A7" s="130" t="s">
        <v>1340</v>
      </c>
      <c r="B7" s="130" t="s">
        <v>1341</v>
      </c>
      <c r="C7" s="130" t="s">
        <v>1040</v>
      </c>
      <c r="D7"/>
      <c r="E7">
        <v>4</v>
      </c>
      <c r="F7">
        <v>8002</v>
      </c>
      <c r="G7" s="112" t="s">
        <v>51</v>
      </c>
      <c r="H7" s="112" t="s">
        <v>122</v>
      </c>
      <c r="I7">
        <v>837.7</v>
      </c>
      <c r="J7">
        <v>1300</v>
      </c>
      <c r="K7"/>
      <c r="L7"/>
      <c r="M7"/>
      <c r="N7"/>
      <c r="O7">
        <v>9072</v>
      </c>
      <c r="P7" s="112" t="s">
        <v>147</v>
      </c>
      <c r="Q7" s="112" t="s">
        <v>140</v>
      </c>
      <c r="R7">
        <v>2739</v>
      </c>
      <c r="S7">
        <v>400</v>
      </c>
      <c r="T7"/>
      <c r="U7"/>
      <c r="V7"/>
      <c r="W7"/>
      <c r="X7">
        <v>2.1590845038233999</v>
      </c>
      <c r="Y7">
        <v>4.12</v>
      </c>
      <c r="Z7">
        <v>32008</v>
      </c>
      <c r="AA7">
        <v>0</v>
      </c>
      <c r="AB7">
        <v>0.6</v>
      </c>
      <c r="AC7"/>
      <c r="AD7"/>
      <c r="AE7"/>
      <c r="AF7">
        <v>77791</v>
      </c>
      <c r="AG7">
        <v>4862</v>
      </c>
      <c r="AH7" s="139">
        <v>16</v>
      </c>
      <c r="AI7" s="139">
        <v>8</v>
      </c>
      <c r="AJ7" s="139" t="s">
        <v>1336</v>
      </c>
      <c r="AK7">
        <v>50</v>
      </c>
      <c r="AL7">
        <v>16</v>
      </c>
      <c r="AM7"/>
      <c r="AN7"/>
      <c r="AO7"/>
      <c r="AP7">
        <v>0.94190635641218001</v>
      </c>
      <c r="AQ7">
        <v>0.91178550781720702</v>
      </c>
      <c r="AR7">
        <v>0.126805220980795</v>
      </c>
      <c r="AS7">
        <v>2.3393514754840401E-3</v>
      </c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8" s="140" customFormat="1">
      <c r="A8" s="130" t="s">
        <v>1340</v>
      </c>
      <c r="B8" s="130" t="s">
        <v>1341</v>
      </c>
      <c r="C8" s="130" t="s">
        <v>1040</v>
      </c>
      <c r="D8"/>
      <c r="E8">
        <v>5</v>
      </c>
      <c r="F8">
        <v>8306</v>
      </c>
      <c r="G8" s="112" t="s">
        <v>165</v>
      </c>
      <c r="H8" s="112" t="s">
        <v>103</v>
      </c>
      <c r="I8">
        <v>595.70000000000005</v>
      </c>
      <c r="J8">
        <v>1800</v>
      </c>
      <c r="K8"/>
      <c r="L8"/>
      <c r="M8"/>
      <c r="N8"/>
      <c r="O8">
        <v>8411</v>
      </c>
      <c r="P8" s="112" t="s">
        <v>142</v>
      </c>
      <c r="Q8" s="112" t="s">
        <v>103</v>
      </c>
      <c r="R8">
        <v>170.7</v>
      </c>
      <c r="S8">
        <v>6300</v>
      </c>
      <c r="T8"/>
      <c r="U8"/>
      <c r="V8"/>
      <c r="W8"/>
      <c r="X8">
        <v>2.17366951874402</v>
      </c>
      <c r="Y8">
        <v>3.69</v>
      </c>
      <c r="Z8">
        <v>41530</v>
      </c>
      <c r="AA8">
        <v>0</v>
      </c>
      <c r="AB8">
        <v>0.28999999999999998</v>
      </c>
      <c r="AC8"/>
      <c r="AD8"/>
      <c r="AE8"/>
      <c r="AF8">
        <v>-2779</v>
      </c>
      <c r="AG8">
        <v>-154</v>
      </c>
      <c r="AH8" s="139">
        <v>18</v>
      </c>
      <c r="AI8" s="139">
        <v>8</v>
      </c>
      <c r="AJ8" s="139" t="s">
        <v>1337</v>
      </c>
      <c r="AK8">
        <v>44.44</v>
      </c>
      <c r="AL8">
        <v>17</v>
      </c>
      <c r="AM8"/>
      <c r="AN8"/>
      <c r="AO8"/>
      <c r="AP8">
        <v>0.93360688554522098</v>
      </c>
      <c r="AQ8">
        <v>0.90583435964880399</v>
      </c>
      <c r="AR8">
        <v>0.14212168881260201</v>
      </c>
      <c r="AS8">
        <v>0.14880478977352199</v>
      </c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8" s="140" customFormat="1">
      <c r="A9" s="130" t="s">
        <v>1340</v>
      </c>
      <c r="B9" s="130" t="s">
        <v>1341</v>
      </c>
      <c r="C9" s="130" t="s">
        <v>1040</v>
      </c>
      <c r="D9"/>
      <c r="E9">
        <v>6</v>
      </c>
      <c r="F9">
        <v>7205</v>
      </c>
      <c r="G9" s="112" t="s">
        <v>138</v>
      </c>
      <c r="H9" s="112" t="s">
        <v>105</v>
      </c>
      <c r="I9">
        <v>1181</v>
      </c>
      <c r="J9">
        <v>900</v>
      </c>
      <c r="K9"/>
      <c r="L9"/>
      <c r="M9"/>
      <c r="N9"/>
      <c r="O9">
        <v>8002</v>
      </c>
      <c r="P9" s="112" t="s">
        <v>51</v>
      </c>
      <c r="Q9" s="112" t="s">
        <v>122</v>
      </c>
      <c r="R9">
        <v>837.7</v>
      </c>
      <c r="S9">
        <v>1300</v>
      </c>
      <c r="T9"/>
      <c r="U9"/>
      <c r="V9"/>
      <c r="W9"/>
      <c r="X9">
        <v>2.1734762655520101</v>
      </c>
      <c r="Y9">
        <v>8.49</v>
      </c>
      <c r="Z9">
        <v>43230</v>
      </c>
      <c r="AA9">
        <v>0</v>
      </c>
      <c r="AB9">
        <v>2.46</v>
      </c>
      <c r="AC9"/>
      <c r="AD9"/>
      <c r="AE9"/>
      <c r="AF9">
        <v>-42476</v>
      </c>
      <c r="AG9">
        <v>-2655</v>
      </c>
      <c r="AH9" s="139">
        <v>16</v>
      </c>
      <c r="AI9" s="139">
        <v>7</v>
      </c>
      <c r="AJ9" s="139" t="s">
        <v>1320</v>
      </c>
      <c r="AK9">
        <v>43.75</v>
      </c>
      <c r="AL9">
        <v>16</v>
      </c>
      <c r="AM9"/>
      <c r="AN9"/>
      <c r="AO9"/>
      <c r="AP9">
        <v>0.95272662804973696</v>
      </c>
      <c r="AQ9">
        <v>0.90784407300846703</v>
      </c>
      <c r="AR9">
        <v>0.18368612457215</v>
      </c>
      <c r="AS9">
        <v>2.66794303812019E-2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40" customForma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40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8" s="140" customFormat="1" ht="17.25" hidden="1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8" s="140" customFormat="1" ht="17.25" hidden="1" customHeigh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8" s="140" customFormat="1" ht="17.25" hidden="1" customHeigh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8" s="140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40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</row>
    <row r="17" spans="1:68" s="140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>
      <c r="B18"/>
      <c r="C18"/>
      <c r="D18"/>
      <c r="E18"/>
      <c r="F18"/>
      <c r="G18"/>
      <c r="H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68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>
      <c r="B21"/>
      <c r="C21"/>
      <c r="D21"/>
      <c r="E21"/>
      <c r="F21"/>
      <c r="G21"/>
      <c r="H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68" s="140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40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GRAPH"/>
    <hyperlink ref="B4" display="Detail"/>
    <hyperlink ref="C4" display="Setup"/>
    <hyperlink ref="A5" display="GRAPH"/>
    <hyperlink ref="B5" display="Detail"/>
    <hyperlink ref="C5" display="Setup"/>
    <hyperlink ref="A6" display="GRAPH"/>
    <hyperlink ref="B6" display="Detail"/>
    <hyperlink ref="C6" display="Setup"/>
    <hyperlink ref="A7" display="GRAPH"/>
    <hyperlink ref="B7" display="Detail"/>
    <hyperlink ref="C7" display="Setup"/>
    <hyperlink ref="A8" display="GRAPH"/>
    <hyperlink ref="B8" display="Detail"/>
    <hyperlink ref="C8" display="Setup"/>
    <hyperlink ref="A9" display="GRAPH"/>
    <hyperlink ref="B9" display="Detail"/>
    <hyperlink ref="C9" display="Setup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8"/>
  <dimension ref="A1:AZ300"/>
  <sheetViews>
    <sheetView showGridLines="0" zoomScaleNormal="100" workbookViewId="0">
      <selection activeCell="Q36" sqref="Q36"/>
    </sheetView>
  </sheetViews>
  <sheetFormatPr defaultRowHeight="14.25"/>
  <cols>
    <col min="1" max="1" width="7" style="112" customWidth="1"/>
    <col min="2" max="2" width="5.625" style="26" customWidth="1"/>
    <col min="3" max="3" width="13.875" style="28" customWidth="1"/>
    <col min="4" max="4" width="10" style="28" customWidth="1"/>
    <col min="5" max="5" width="9.125" style="112" customWidth="1"/>
    <col min="6" max="6" width="5.5" style="112" customWidth="1"/>
    <col min="7" max="7" width="10.75" style="112" customWidth="1"/>
    <col min="8" max="8" width="6.5" style="27" customWidth="1"/>
    <col min="9" max="9" width="15.5" style="28" customWidth="1"/>
    <col min="10" max="10" width="12.5" style="28" customWidth="1"/>
    <col min="11" max="11" width="7.5" style="27" customWidth="1"/>
    <col min="12" max="12" width="6.875" style="27" customWidth="1"/>
    <col min="13" max="13" width="14.625" style="27" customWidth="1"/>
    <col min="14" max="14" width="7.625" style="27" customWidth="1"/>
    <col min="15" max="15" width="6.75" style="27" customWidth="1"/>
    <col min="16" max="17" width="7.875" style="27" customWidth="1"/>
    <col min="18" max="18" width="7.375" style="27" customWidth="1"/>
    <col min="19" max="19" width="9.875" style="27" customWidth="1"/>
    <col min="20" max="20" width="10.25" style="27" customWidth="1"/>
    <col min="21" max="21" width="6.125" style="26" customWidth="1"/>
    <col min="22" max="22" width="7" style="27" customWidth="1"/>
    <col min="23" max="23" width="8.875" style="27" customWidth="1"/>
    <col min="24" max="24" width="6.5" style="27" customWidth="1"/>
    <col min="25" max="25" width="5.875" style="27" customWidth="1"/>
    <col min="26" max="26" width="7.5" style="27" customWidth="1"/>
    <col min="27" max="27" width="6.875" style="27" customWidth="1"/>
    <col min="28" max="28" width="6.375" style="27" customWidth="1"/>
    <col min="29" max="29" width="7" style="27" customWidth="1"/>
    <col min="30" max="16384" width="9" style="112"/>
  </cols>
  <sheetData>
    <row r="1" spans="1:52" ht="15" thickBot="1"/>
    <row r="2" spans="1:52">
      <c r="B2" s="244" t="s">
        <v>302</v>
      </c>
      <c r="C2" s="241"/>
      <c r="D2" s="241"/>
      <c r="E2" s="241"/>
      <c r="F2" s="241"/>
      <c r="G2" s="242"/>
      <c r="H2" s="245" t="s">
        <v>303</v>
      </c>
      <c r="I2" s="241"/>
      <c r="J2" s="241"/>
      <c r="K2" s="241"/>
      <c r="L2" s="241"/>
      <c r="M2" s="242"/>
      <c r="N2" s="240" t="s">
        <v>1307</v>
      </c>
      <c r="O2" s="241"/>
      <c r="P2" s="241"/>
      <c r="Q2" s="241"/>
      <c r="R2" s="242"/>
      <c r="S2" s="243" t="s">
        <v>304</v>
      </c>
      <c r="T2" s="241"/>
      <c r="U2" s="241"/>
      <c r="V2" s="241"/>
      <c r="W2" s="241"/>
      <c r="X2" s="241"/>
      <c r="Y2" s="242"/>
      <c r="Z2" s="117" t="s">
        <v>305</v>
      </c>
      <c r="AA2" s="118"/>
      <c r="AB2" s="118"/>
      <c r="AC2" s="119"/>
    </row>
    <row r="3" spans="1:52" s="22" customFormat="1" ht="28.5" customHeight="1" thickBot="1">
      <c r="A3" s="113"/>
      <c r="B3" s="115" t="s">
        <v>306</v>
      </c>
      <c r="C3" s="131" t="s">
        <v>307</v>
      </c>
      <c r="D3" s="131" t="s">
        <v>308</v>
      </c>
      <c r="E3" s="131" t="s">
        <v>309</v>
      </c>
      <c r="F3" s="131" t="s">
        <v>310</v>
      </c>
      <c r="G3" s="132" t="s">
        <v>365</v>
      </c>
      <c r="H3" s="116" t="s">
        <v>306</v>
      </c>
      <c r="I3" s="120" t="s">
        <v>307</v>
      </c>
      <c r="J3" s="120" t="s">
        <v>308</v>
      </c>
      <c r="K3" s="120" t="s">
        <v>309</v>
      </c>
      <c r="L3" s="120" t="s">
        <v>310</v>
      </c>
      <c r="M3" s="121" t="s">
        <v>365</v>
      </c>
      <c r="N3" s="122" t="s">
        <v>1308</v>
      </c>
      <c r="O3" s="123" t="s">
        <v>1309</v>
      </c>
      <c r="P3" s="123" t="s">
        <v>311</v>
      </c>
      <c r="Q3" s="123" t="s">
        <v>312</v>
      </c>
      <c r="R3" s="124" t="s">
        <v>1310</v>
      </c>
      <c r="S3" s="125" t="s">
        <v>1311</v>
      </c>
      <c r="T3" s="126" t="s">
        <v>313</v>
      </c>
      <c r="U3" s="114" t="s">
        <v>314</v>
      </c>
      <c r="V3" s="114" t="s">
        <v>315</v>
      </c>
      <c r="W3" s="114" t="s">
        <v>316</v>
      </c>
      <c r="X3" s="126" t="s">
        <v>317</v>
      </c>
      <c r="Y3" s="127" t="s">
        <v>318</v>
      </c>
      <c r="Z3" s="128" t="s">
        <v>1312</v>
      </c>
      <c r="AA3" s="129" t="s">
        <v>319</v>
      </c>
      <c r="AB3" s="129" t="s">
        <v>1313</v>
      </c>
      <c r="AC3" s="157" t="s">
        <v>320</v>
      </c>
    </row>
    <row r="4" spans="1:52">
      <c r="A4" s="130" t="s">
        <v>296</v>
      </c>
      <c r="B4" s="112">
        <v>7181</v>
      </c>
      <c r="C4" s="112" t="s">
        <v>158</v>
      </c>
      <c r="D4" s="112" t="s">
        <v>131</v>
      </c>
      <c r="E4" s="112">
        <v>1990</v>
      </c>
      <c r="F4" s="112">
        <v>500</v>
      </c>
      <c r="H4" s="112">
        <v>9956</v>
      </c>
      <c r="I4" s="112" t="s">
        <v>343</v>
      </c>
      <c r="J4" s="112" t="s">
        <v>116</v>
      </c>
      <c r="K4" s="112">
        <v>2070</v>
      </c>
      <c r="L4" s="112">
        <v>500</v>
      </c>
      <c r="M4" s="112"/>
      <c r="N4" s="112">
        <v>2.2624826861349598</v>
      </c>
      <c r="O4" s="112">
        <v>6.19</v>
      </c>
      <c r="P4" s="112">
        <v>995000</v>
      </c>
      <c r="Q4" s="112">
        <v>1035000</v>
      </c>
      <c r="R4" s="112">
        <v>3.86</v>
      </c>
      <c r="S4" s="112">
        <v>196402</v>
      </c>
      <c r="T4" s="112">
        <v>15108</v>
      </c>
      <c r="U4" s="139">
        <v>13</v>
      </c>
      <c r="V4" s="139">
        <v>9</v>
      </c>
      <c r="W4" s="139" t="s">
        <v>1328</v>
      </c>
      <c r="X4" s="112">
        <v>69.23</v>
      </c>
      <c r="Y4" s="112">
        <v>14</v>
      </c>
      <c r="Z4" s="112">
        <v>0.93082151940243996</v>
      </c>
      <c r="AA4" s="112">
        <v>0.947519025715029</v>
      </c>
      <c r="AB4" s="112">
        <v>7.0854084149129604E-3</v>
      </c>
      <c r="AC4" s="112">
        <v>0.12411874673279701</v>
      </c>
      <c r="AD4" s="130" t="s">
        <v>1040</v>
      </c>
    </row>
    <row r="5" spans="1:52" s="140" customFormat="1">
      <c r="A5" s="130" t="s">
        <v>296</v>
      </c>
      <c r="B5" s="112">
        <v>5802</v>
      </c>
      <c r="C5" s="112" t="s">
        <v>152</v>
      </c>
      <c r="D5" s="112" t="s">
        <v>153</v>
      </c>
      <c r="E5" s="112">
        <v>1690.5</v>
      </c>
      <c r="F5" s="112">
        <v>600</v>
      </c>
      <c r="G5" s="112"/>
      <c r="H5" s="112">
        <v>9072</v>
      </c>
      <c r="I5" s="112" t="s">
        <v>147</v>
      </c>
      <c r="J5" s="112" t="s">
        <v>140</v>
      </c>
      <c r="K5" s="112">
        <v>2739</v>
      </c>
      <c r="L5" s="112">
        <v>400</v>
      </c>
      <c r="M5" s="112"/>
      <c r="N5" s="112">
        <v>2.18042600144235</v>
      </c>
      <c r="O5" s="112">
        <v>8.6</v>
      </c>
      <c r="P5" s="112">
        <v>1014300</v>
      </c>
      <c r="Q5" s="112">
        <v>1095600</v>
      </c>
      <c r="R5" s="112">
        <v>7.42</v>
      </c>
      <c r="S5" s="112">
        <v>111309</v>
      </c>
      <c r="T5" s="112">
        <v>5565</v>
      </c>
      <c r="U5" s="139">
        <v>20</v>
      </c>
      <c r="V5" s="139">
        <v>12</v>
      </c>
      <c r="W5" s="139" t="s">
        <v>1335</v>
      </c>
      <c r="X5" s="112">
        <v>60</v>
      </c>
      <c r="Y5" s="112">
        <v>15</v>
      </c>
      <c r="Z5" s="112">
        <v>0.92068969045399696</v>
      </c>
      <c r="AA5" s="112">
        <v>0.90932504911463896</v>
      </c>
      <c r="AB5" s="112">
        <v>6.4858499566239694E-2</v>
      </c>
      <c r="AC5" s="112">
        <v>2.9012766203050197E-4</v>
      </c>
      <c r="AD5" s="130" t="s">
        <v>1040</v>
      </c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2"/>
      <c r="AX5" s="112"/>
      <c r="AY5" s="112"/>
      <c r="AZ5" s="112"/>
    </row>
    <row r="6" spans="1:52" s="140" customFormat="1">
      <c r="A6" s="130" t="s">
        <v>296</v>
      </c>
      <c r="B6" s="112">
        <v>8377</v>
      </c>
      <c r="C6" s="112" t="s">
        <v>115</v>
      </c>
      <c r="D6" s="112" t="s">
        <v>103</v>
      </c>
      <c r="E6" s="112">
        <v>1172</v>
      </c>
      <c r="F6" s="112">
        <v>900</v>
      </c>
      <c r="G6" s="112"/>
      <c r="H6" s="112">
        <v>7167</v>
      </c>
      <c r="I6" s="112" t="s">
        <v>121</v>
      </c>
      <c r="J6" s="112" t="s">
        <v>103</v>
      </c>
      <c r="K6" s="112">
        <v>284</v>
      </c>
      <c r="L6" s="112">
        <v>3700</v>
      </c>
      <c r="M6" s="112"/>
      <c r="N6" s="112">
        <v>-2.4789826255028302</v>
      </c>
      <c r="O6" s="112">
        <v>-4.3499999999999996</v>
      </c>
      <c r="P6" s="112">
        <v>1054800</v>
      </c>
      <c r="Q6" s="112">
        <v>1050800</v>
      </c>
      <c r="R6" s="112">
        <v>0.38</v>
      </c>
      <c r="S6" s="112">
        <v>96023</v>
      </c>
      <c r="T6" s="112">
        <v>6001</v>
      </c>
      <c r="U6" s="139">
        <v>16</v>
      </c>
      <c r="V6" s="139">
        <v>11</v>
      </c>
      <c r="W6" s="139" t="s">
        <v>1329</v>
      </c>
      <c r="X6" s="112">
        <v>68.75</v>
      </c>
      <c r="Y6" s="112">
        <v>16</v>
      </c>
      <c r="Z6" s="112">
        <v>0.91237744352002104</v>
      </c>
      <c r="AA6" s="112">
        <v>0.90727622702687905</v>
      </c>
      <c r="AB6" s="112">
        <v>4.9546691768469597E-2</v>
      </c>
      <c r="AC6" s="112">
        <v>0.232779102848168</v>
      </c>
      <c r="AD6" s="130" t="s">
        <v>1040</v>
      </c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AS6" s="112"/>
      <c r="AT6" s="112"/>
      <c r="AU6" s="112"/>
      <c r="AV6" s="112"/>
      <c r="AW6" s="112"/>
      <c r="AX6" s="112"/>
      <c r="AY6" s="112"/>
      <c r="AZ6" s="112"/>
    </row>
    <row r="7" spans="1:52" s="140" customFormat="1">
      <c r="A7" s="130" t="s">
        <v>296</v>
      </c>
      <c r="B7" s="112">
        <v>8002</v>
      </c>
      <c r="C7" s="112" t="s">
        <v>51</v>
      </c>
      <c r="D7" s="112" t="s">
        <v>122</v>
      </c>
      <c r="E7" s="112">
        <v>837.7</v>
      </c>
      <c r="F7" s="112">
        <v>1300</v>
      </c>
      <c r="G7" s="112"/>
      <c r="H7" s="112">
        <v>9072</v>
      </c>
      <c r="I7" s="112" t="s">
        <v>147</v>
      </c>
      <c r="J7" s="112" t="s">
        <v>140</v>
      </c>
      <c r="K7" s="112">
        <v>2739</v>
      </c>
      <c r="L7" s="112">
        <v>400</v>
      </c>
      <c r="M7" s="112"/>
      <c r="N7" s="112">
        <v>2.1590845038233999</v>
      </c>
      <c r="O7" s="112">
        <v>4.12</v>
      </c>
      <c r="P7" s="112">
        <v>1089010</v>
      </c>
      <c r="Q7" s="112">
        <v>1095600</v>
      </c>
      <c r="R7" s="112">
        <v>0.6</v>
      </c>
      <c r="S7" s="112">
        <v>77791</v>
      </c>
      <c r="T7" s="112">
        <v>4862</v>
      </c>
      <c r="U7" s="139">
        <v>16</v>
      </c>
      <c r="V7" s="139">
        <v>8</v>
      </c>
      <c r="W7" s="139" t="s">
        <v>1336</v>
      </c>
      <c r="X7" s="112">
        <v>50</v>
      </c>
      <c r="Y7" s="112">
        <v>16</v>
      </c>
      <c r="Z7" s="112">
        <v>0.94190635641218001</v>
      </c>
      <c r="AA7" s="112">
        <v>0.91178550781720702</v>
      </c>
      <c r="AB7" s="112">
        <v>0.126805220980795</v>
      </c>
      <c r="AC7" s="112">
        <v>2.3393514754840401E-3</v>
      </c>
      <c r="AD7" s="130" t="s">
        <v>1040</v>
      </c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</row>
    <row r="8" spans="1:52" s="140" customFormat="1">
      <c r="A8" s="130" t="s">
        <v>296</v>
      </c>
      <c r="B8" s="112">
        <v>8306</v>
      </c>
      <c r="C8" s="112" t="s">
        <v>165</v>
      </c>
      <c r="D8" s="112" t="s">
        <v>103</v>
      </c>
      <c r="E8" s="112">
        <v>595.70000000000005</v>
      </c>
      <c r="F8" s="112">
        <v>1800</v>
      </c>
      <c r="G8" s="112"/>
      <c r="H8" s="112">
        <v>8411</v>
      </c>
      <c r="I8" s="112" t="s">
        <v>142</v>
      </c>
      <c r="J8" s="112" t="s">
        <v>103</v>
      </c>
      <c r="K8" s="112">
        <v>170.7</v>
      </c>
      <c r="L8" s="112">
        <v>6300</v>
      </c>
      <c r="M8" s="112"/>
      <c r="N8" s="112">
        <v>2.17366951874402</v>
      </c>
      <c r="O8" s="112">
        <v>3.69</v>
      </c>
      <c r="P8" s="112">
        <v>1072260</v>
      </c>
      <c r="Q8" s="112">
        <v>1075410</v>
      </c>
      <c r="R8" s="112">
        <v>0.28999999999999998</v>
      </c>
      <c r="S8" s="112">
        <v>-2779</v>
      </c>
      <c r="T8" s="112">
        <v>-154</v>
      </c>
      <c r="U8" s="139">
        <v>18</v>
      </c>
      <c r="V8" s="139">
        <v>8</v>
      </c>
      <c r="W8" s="139" t="s">
        <v>1337</v>
      </c>
      <c r="X8" s="112">
        <v>44.44</v>
      </c>
      <c r="Y8" s="112">
        <v>17</v>
      </c>
      <c r="Z8" s="112">
        <v>0.93360688554522098</v>
      </c>
      <c r="AA8" s="112">
        <v>0.90583435964880399</v>
      </c>
      <c r="AB8" s="112">
        <v>0.14212168881260201</v>
      </c>
      <c r="AC8" s="112">
        <v>0.14880478977352199</v>
      </c>
      <c r="AD8" s="130" t="s">
        <v>1040</v>
      </c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112"/>
      <c r="AT8" s="112"/>
      <c r="AU8" s="112"/>
      <c r="AV8" s="112"/>
      <c r="AW8" s="112"/>
      <c r="AX8" s="112"/>
      <c r="AY8" s="112"/>
      <c r="AZ8" s="112"/>
    </row>
    <row r="9" spans="1:52" s="140" customFormat="1">
      <c r="A9" s="130" t="s">
        <v>296</v>
      </c>
      <c r="B9" s="112">
        <v>7205</v>
      </c>
      <c r="C9" s="112" t="s">
        <v>138</v>
      </c>
      <c r="D9" s="112" t="s">
        <v>105</v>
      </c>
      <c r="E9" s="112">
        <v>1181</v>
      </c>
      <c r="F9" s="112">
        <v>900</v>
      </c>
      <c r="G9" s="112"/>
      <c r="H9" s="112">
        <v>8002</v>
      </c>
      <c r="I9" s="112" t="s">
        <v>51</v>
      </c>
      <c r="J9" s="112" t="s">
        <v>122</v>
      </c>
      <c r="K9" s="112">
        <v>837.7</v>
      </c>
      <c r="L9" s="112">
        <v>1300</v>
      </c>
      <c r="M9" s="112"/>
      <c r="N9" s="112">
        <v>2.1734762655520101</v>
      </c>
      <c r="O9" s="112">
        <v>8.49</v>
      </c>
      <c r="P9" s="112">
        <v>1062900</v>
      </c>
      <c r="Q9" s="112">
        <v>1089010</v>
      </c>
      <c r="R9" s="112">
        <v>2.46</v>
      </c>
      <c r="S9" s="112">
        <v>-42476</v>
      </c>
      <c r="T9" s="112">
        <v>-2655</v>
      </c>
      <c r="U9" s="139">
        <v>16</v>
      </c>
      <c r="V9" s="139">
        <v>7</v>
      </c>
      <c r="W9" s="139" t="s">
        <v>1320</v>
      </c>
      <c r="X9" s="112">
        <v>43.75</v>
      </c>
      <c r="Y9" s="112">
        <v>16</v>
      </c>
      <c r="Z9" s="112">
        <v>0.95272662804973696</v>
      </c>
      <c r="AA9" s="112">
        <v>0.90784407300846703</v>
      </c>
      <c r="AB9" s="112">
        <v>0.18368612457215</v>
      </c>
      <c r="AC9" s="112">
        <v>2.66794303812019E-2</v>
      </c>
      <c r="AD9" s="130" t="s">
        <v>1040</v>
      </c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s="140" customFormat="1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12"/>
      <c r="AR10" s="112"/>
      <c r="AS10" s="112"/>
      <c r="AT10" s="112"/>
      <c r="AU10" s="112"/>
      <c r="AV10" s="112"/>
      <c r="AW10" s="112"/>
      <c r="AX10" s="112"/>
      <c r="AY10" s="112"/>
      <c r="AZ10" s="112"/>
    </row>
    <row r="11" spans="1:52" s="140" customFormat="1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12"/>
      <c r="AR11" s="112"/>
      <c r="AS11" s="112"/>
      <c r="AT11" s="112"/>
      <c r="AU11" s="112"/>
      <c r="AV11" s="112"/>
      <c r="AW11" s="112"/>
      <c r="AX11" s="112"/>
      <c r="AY11" s="112"/>
      <c r="AZ11" s="112"/>
    </row>
    <row r="12" spans="1:52" s="140" customFormat="1" ht="17.25" hidden="1" customHeight="1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</row>
    <row r="13" spans="1:52" s="140" customFormat="1" ht="17.25" hidden="1" customHeight="1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2"/>
      <c r="AS13" s="112"/>
      <c r="AT13" s="112"/>
      <c r="AU13" s="112"/>
      <c r="AV13" s="112"/>
      <c r="AW13" s="112"/>
      <c r="AX13" s="112"/>
      <c r="AY13" s="112"/>
      <c r="AZ13" s="112"/>
    </row>
    <row r="14" spans="1:52" s="140" customFormat="1" ht="17.25" hidden="1" customHeight="1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2"/>
      <c r="AS14" s="112"/>
      <c r="AT14" s="112"/>
      <c r="AU14" s="112"/>
      <c r="AV14" s="112"/>
      <c r="AW14" s="112"/>
      <c r="AX14" s="112"/>
      <c r="AY14" s="112"/>
      <c r="AZ14" s="112"/>
    </row>
    <row r="15" spans="1:52" s="140" customFormat="1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2"/>
      <c r="AS15" s="112"/>
      <c r="AT15" s="112"/>
      <c r="AU15" s="112"/>
      <c r="AV15" s="112"/>
      <c r="AW15" s="112"/>
      <c r="AX15" s="112"/>
      <c r="AY15" s="112"/>
      <c r="AZ15" s="112"/>
    </row>
    <row r="16" spans="1:52" s="140" customFormat="1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2"/>
      <c r="AS16" s="112"/>
      <c r="AT16" s="112"/>
      <c r="AU16" s="112"/>
      <c r="AV16" s="112"/>
      <c r="AW16" s="112"/>
      <c r="AX16" s="112"/>
      <c r="AY16" s="112"/>
      <c r="AZ16" s="112"/>
    </row>
    <row r="17" spans="1:52" s="140" customFormat="1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2"/>
      <c r="AS17" s="112"/>
      <c r="AT17" s="112"/>
      <c r="AU17" s="112"/>
      <c r="AV17" s="112"/>
      <c r="AW17" s="112"/>
      <c r="AX17" s="112"/>
      <c r="AY17" s="112"/>
      <c r="AZ17" s="112"/>
    </row>
    <row r="18" spans="1:52">
      <c r="B18" s="112"/>
      <c r="C18" s="112"/>
      <c r="D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</row>
    <row r="19" spans="1:52">
      <c r="B19" s="112"/>
      <c r="C19" s="112"/>
      <c r="D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</row>
    <row r="20" spans="1:52">
      <c r="B20" s="112"/>
      <c r="C20" s="112"/>
      <c r="D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</row>
    <row r="21" spans="1:52">
      <c r="B21" s="112"/>
      <c r="C21" s="112"/>
      <c r="D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</row>
    <row r="22" spans="1:52" s="140" customFormat="1">
      <c r="A22" s="112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2"/>
      <c r="AS22" s="112"/>
      <c r="AT22" s="112"/>
      <c r="AU22" s="112"/>
      <c r="AV22" s="112"/>
      <c r="AW22" s="112"/>
      <c r="AX22" s="112"/>
      <c r="AY22" s="112"/>
      <c r="AZ22" s="112"/>
    </row>
    <row r="23" spans="1:52" s="140" customFormat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2"/>
      <c r="AS23" s="112"/>
      <c r="AT23" s="112"/>
      <c r="AU23" s="112"/>
      <c r="AV23" s="112"/>
      <c r="AW23" s="112"/>
      <c r="AX23" s="112"/>
      <c r="AY23" s="112"/>
      <c r="AZ23" s="112"/>
    </row>
    <row r="24" spans="1:52">
      <c r="B24" s="112"/>
      <c r="C24" s="112"/>
      <c r="D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</row>
    <row r="25" spans="1:52">
      <c r="B25" s="112"/>
      <c r="C25" s="112"/>
      <c r="D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</row>
    <row r="26" spans="1:52">
      <c r="B26" s="112"/>
      <c r="C26" s="112"/>
      <c r="D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</row>
    <row r="27" spans="1:52">
      <c r="B27" s="112"/>
      <c r="C27" s="112"/>
      <c r="D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</row>
    <row r="28" spans="1:52">
      <c r="B28" s="112"/>
      <c r="C28" s="112"/>
      <c r="D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</row>
    <row r="29" spans="1:52">
      <c r="B29" s="112"/>
      <c r="C29" s="112"/>
      <c r="D29" s="112"/>
      <c r="H29" s="112"/>
      <c r="I29" s="112"/>
      <c r="J29" s="112"/>
      <c r="K29" s="112"/>
      <c r="L29" s="112"/>
      <c r="M29" s="112"/>
      <c r="N29" s="112"/>
      <c r="O29" s="112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</row>
    <row r="30" spans="1:52">
      <c r="B30" s="112"/>
      <c r="C30" s="112"/>
      <c r="D30" s="112"/>
      <c r="H30" s="112"/>
      <c r="I30" s="112"/>
      <c r="J30" s="112"/>
      <c r="K30" s="112"/>
      <c r="L30" s="112"/>
      <c r="M30" s="112"/>
      <c r="N30" s="112"/>
      <c r="O30" s="112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</row>
    <row r="31" spans="1:52">
      <c r="B31" s="112"/>
      <c r="C31" s="112"/>
      <c r="D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</row>
    <row r="32" spans="1:52">
      <c r="B32" s="112"/>
      <c r="C32" s="112"/>
      <c r="D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</row>
    <row r="33" spans="2:29">
      <c r="B33" s="112"/>
      <c r="C33" s="112"/>
      <c r="D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</row>
    <row r="34" spans="2:29">
      <c r="B34" s="112"/>
      <c r="C34" s="112"/>
      <c r="D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</row>
    <row r="35" spans="2:29">
      <c r="B35" s="112"/>
      <c r="C35" s="112"/>
      <c r="D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</row>
    <row r="36" spans="2:29">
      <c r="B36" s="112"/>
      <c r="C36" s="112"/>
      <c r="D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</row>
    <row r="37" spans="2:29">
      <c r="B37" s="112"/>
      <c r="C37" s="112"/>
      <c r="D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</row>
    <row r="38" spans="2:29">
      <c r="B38" s="112"/>
      <c r="C38" s="112"/>
      <c r="D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</row>
    <row r="39" spans="2:29">
      <c r="B39" s="112"/>
      <c r="C39" s="112"/>
      <c r="D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</row>
    <row r="40" spans="2:29">
      <c r="B40" s="112"/>
      <c r="C40" s="112"/>
      <c r="D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</row>
    <row r="41" spans="2:29">
      <c r="B41" s="112"/>
      <c r="C41" s="112"/>
      <c r="D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</row>
    <row r="42" spans="2:29">
      <c r="B42" s="112"/>
      <c r="C42" s="112"/>
      <c r="D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</row>
    <row r="43" spans="2:29">
      <c r="B43" s="112"/>
      <c r="C43" s="112"/>
      <c r="D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</row>
    <row r="44" spans="2:29">
      <c r="B44" s="112"/>
      <c r="C44" s="112"/>
      <c r="D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</row>
    <row r="45" spans="2:29">
      <c r="B45" s="112"/>
      <c r="C45" s="112"/>
      <c r="D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</row>
    <row r="46" spans="2:29">
      <c r="B46" s="112"/>
      <c r="C46" s="112"/>
      <c r="D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</row>
    <row r="47" spans="2:29">
      <c r="B47" s="112"/>
      <c r="C47" s="112"/>
      <c r="D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</row>
    <row r="48" spans="2:29">
      <c r="B48" s="112"/>
      <c r="C48" s="112"/>
      <c r="D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</row>
    <row r="49" spans="2:29">
      <c r="B49" s="112"/>
      <c r="C49" s="112"/>
      <c r="D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</row>
    <row r="50" spans="2:29">
      <c r="B50" s="112"/>
      <c r="C50" s="112"/>
      <c r="D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</row>
    <row r="51" spans="2:29">
      <c r="B51" s="112"/>
      <c r="C51" s="112"/>
      <c r="D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</row>
    <row r="52" spans="2:29">
      <c r="B52" s="112"/>
      <c r="C52" s="112"/>
      <c r="D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</row>
    <row r="53" spans="2:29">
      <c r="B53" s="112"/>
      <c r="C53" s="112"/>
      <c r="D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</row>
    <row r="54" spans="2:29">
      <c r="B54" s="112"/>
      <c r="C54" s="112"/>
      <c r="D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</row>
    <row r="55" spans="2:29">
      <c r="B55" s="112"/>
      <c r="C55" s="112"/>
      <c r="D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</row>
    <row r="56" spans="2:29">
      <c r="B56" s="112"/>
      <c r="C56" s="112"/>
      <c r="D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</row>
    <row r="57" spans="2:29">
      <c r="B57" s="112"/>
      <c r="C57" s="112"/>
      <c r="D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</row>
    <row r="58" spans="2:29">
      <c r="B58" s="112"/>
      <c r="C58" s="112"/>
      <c r="D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</row>
    <row r="59" spans="2:29">
      <c r="B59" s="112"/>
      <c r="C59" s="112"/>
      <c r="D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</row>
    <row r="60" spans="2:29">
      <c r="B60" s="112"/>
      <c r="C60" s="112"/>
      <c r="D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</row>
    <row r="61" spans="2:29">
      <c r="B61" s="112"/>
      <c r="C61" s="112"/>
      <c r="D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</row>
    <row r="62" spans="2:29">
      <c r="B62" s="112"/>
      <c r="C62" s="112"/>
      <c r="D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</row>
    <row r="63" spans="2:29">
      <c r="B63" s="112"/>
      <c r="C63" s="112"/>
      <c r="D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</row>
    <row r="64" spans="2:29">
      <c r="B64" s="112"/>
      <c r="C64" s="112"/>
      <c r="D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</row>
    <row r="65" spans="2:29">
      <c r="B65" s="112"/>
      <c r="C65" s="112"/>
      <c r="D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</row>
    <row r="66" spans="2:29">
      <c r="B66" s="112"/>
      <c r="C66" s="112"/>
      <c r="D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</row>
    <row r="67" spans="2:29">
      <c r="B67" s="112"/>
      <c r="C67" s="112"/>
      <c r="D67" s="112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</row>
    <row r="68" spans="2:29">
      <c r="B68" s="112"/>
      <c r="C68" s="112"/>
      <c r="D68" s="112"/>
      <c r="H68" s="112"/>
      <c r="I68" s="112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</row>
    <row r="69" spans="2:29">
      <c r="B69" s="112"/>
      <c r="C69" s="112"/>
      <c r="D69" s="112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</row>
    <row r="70" spans="2:29">
      <c r="B70" s="112"/>
      <c r="C70" s="112"/>
      <c r="D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</row>
    <row r="71" spans="2:29">
      <c r="B71" s="112"/>
      <c r="C71" s="112"/>
      <c r="D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</row>
    <row r="72" spans="2:29">
      <c r="B72" s="112"/>
      <c r="C72" s="112"/>
      <c r="D72" s="112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</row>
    <row r="73" spans="2:29">
      <c r="B73" s="112"/>
      <c r="C73" s="112"/>
      <c r="D73" s="112"/>
      <c r="H73" s="112"/>
      <c r="I73" s="112"/>
      <c r="J73" s="112"/>
      <c r="K73" s="112"/>
      <c r="L73" s="112"/>
      <c r="M73" s="112"/>
      <c r="N73" s="112"/>
      <c r="O73" s="112"/>
      <c r="P73" s="112"/>
      <c r="Q73" s="112"/>
      <c r="R73" s="112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</row>
    <row r="74" spans="2:29">
      <c r="B74" s="112"/>
      <c r="C74" s="112"/>
      <c r="D74" s="112"/>
      <c r="H74" s="112"/>
      <c r="I74" s="112"/>
      <c r="J74" s="112"/>
      <c r="K74" s="112"/>
      <c r="L74" s="112"/>
      <c r="M74" s="112"/>
      <c r="N74" s="112"/>
      <c r="O74" s="112"/>
      <c r="P74" s="112"/>
      <c r="Q74" s="112"/>
      <c r="R74" s="112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</row>
    <row r="75" spans="2:29">
      <c r="B75" s="112"/>
      <c r="C75" s="112"/>
      <c r="D75" s="112"/>
      <c r="H75" s="112"/>
      <c r="I75" s="112"/>
      <c r="J75" s="112"/>
      <c r="K75" s="112"/>
      <c r="L75" s="112"/>
      <c r="M75" s="112"/>
      <c r="N75" s="112"/>
      <c r="O75" s="112"/>
      <c r="P75" s="112"/>
      <c r="Q75" s="112"/>
      <c r="R75" s="112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</row>
    <row r="76" spans="2:29">
      <c r="B76" s="112"/>
      <c r="C76" s="112"/>
      <c r="D76" s="112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</row>
    <row r="77" spans="2:29">
      <c r="B77" s="112"/>
      <c r="C77" s="112"/>
      <c r="D77" s="112"/>
      <c r="H77" s="112"/>
      <c r="I77" s="112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</row>
    <row r="78" spans="2:29">
      <c r="B78" s="112"/>
      <c r="C78" s="112"/>
      <c r="D78" s="112"/>
      <c r="H78" s="112"/>
      <c r="I78" s="112"/>
      <c r="J78" s="112"/>
      <c r="K78" s="112"/>
      <c r="L78" s="112"/>
      <c r="M78" s="112"/>
      <c r="N78" s="112"/>
      <c r="O78" s="112"/>
      <c r="P78" s="112"/>
      <c r="Q78" s="112"/>
      <c r="R78" s="112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</row>
    <row r="79" spans="2:29">
      <c r="B79" s="112"/>
      <c r="C79" s="112"/>
      <c r="D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</row>
    <row r="80" spans="2:29">
      <c r="B80" s="112"/>
      <c r="C80" s="112"/>
      <c r="D80" s="112"/>
      <c r="H80" s="112"/>
      <c r="I80" s="112"/>
      <c r="J80" s="112"/>
      <c r="K80" s="112"/>
      <c r="L80" s="112"/>
      <c r="M80" s="112"/>
      <c r="N80" s="112"/>
      <c r="O80" s="112"/>
      <c r="P80" s="112"/>
      <c r="Q80" s="112"/>
      <c r="R80" s="112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</row>
    <row r="81" spans="2:29">
      <c r="B81" s="112"/>
      <c r="C81" s="112"/>
      <c r="D81" s="112"/>
      <c r="H81" s="112"/>
      <c r="I81" s="112"/>
      <c r="J81" s="112"/>
      <c r="K81" s="112"/>
      <c r="L81" s="112"/>
      <c r="M81" s="112"/>
      <c r="N81" s="112"/>
      <c r="O81" s="112"/>
      <c r="P81" s="112"/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</row>
    <row r="82" spans="2:29">
      <c r="B82" s="112"/>
      <c r="C82" s="112"/>
      <c r="D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</row>
    <row r="83" spans="2:29">
      <c r="B83" s="112"/>
      <c r="C83" s="112"/>
      <c r="D83" s="112"/>
      <c r="H83" s="112"/>
      <c r="I83" s="112"/>
      <c r="J83" s="112"/>
      <c r="K83" s="112"/>
      <c r="L83" s="112"/>
      <c r="M83" s="112"/>
      <c r="N83" s="112"/>
      <c r="O83" s="112"/>
      <c r="P83" s="112"/>
      <c r="Q83" s="112"/>
      <c r="R83" s="112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</row>
    <row r="84" spans="2:29">
      <c r="B84" s="112"/>
      <c r="C84" s="112"/>
      <c r="D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</row>
    <row r="85" spans="2:29">
      <c r="B85" s="112"/>
      <c r="C85" s="112"/>
      <c r="D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</row>
    <row r="86" spans="2:29">
      <c r="B86" s="112"/>
      <c r="C86" s="112"/>
      <c r="D86" s="112"/>
      <c r="H86" s="112"/>
      <c r="I86" s="112"/>
      <c r="J86" s="112"/>
      <c r="K86" s="112"/>
      <c r="L86" s="112"/>
      <c r="M86" s="112"/>
      <c r="N86" s="112"/>
      <c r="O86" s="112"/>
      <c r="P86" s="112"/>
      <c r="Q86" s="112"/>
      <c r="R86" s="112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</row>
    <row r="87" spans="2:29">
      <c r="B87" s="112"/>
      <c r="C87" s="112"/>
      <c r="D87" s="112"/>
      <c r="H87" s="112"/>
      <c r="I87" s="112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</row>
    <row r="88" spans="2:29">
      <c r="B88" s="112"/>
      <c r="C88" s="112"/>
      <c r="D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</row>
    <row r="89" spans="2:29">
      <c r="B89" s="112"/>
      <c r="C89" s="112"/>
      <c r="D89" s="112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</row>
    <row r="90" spans="2:29">
      <c r="B90" s="112"/>
      <c r="C90" s="112"/>
      <c r="D90" s="112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</row>
    <row r="91" spans="2:29">
      <c r="B91" s="112"/>
      <c r="C91" s="112"/>
      <c r="D91" s="112"/>
      <c r="H91" s="112"/>
      <c r="I91" s="112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</row>
    <row r="92" spans="2:29">
      <c r="B92" s="112"/>
      <c r="C92" s="112"/>
      <c r="D92" s="112"/>
      <c r="H92" s="112"/>
      <c r="I92" s="112"/>
      <c r="J92" s="112"/>
      <c r="K92" s="112"/>
      <c r="L92" s="112"/>
      <c r="M92" s="112"/>
      <c r="N92" s="112"/>
      <c r="O92" s="112"/>
      <c r="P92" s="112"/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</row>
    <row r="93" spans="2:29">
      <c r="B93" s="112"/>
      <c r="C93" s="112"/>
      <c r="D93" s="112"/>
      <c r="H93" s="112"/>
      <c r="I93" s="112"/>
      <c r="J93" s="112"/>
      <c r="K93" s="112"/>
      <c r="L93" s="112"/>
      <c r="M93" s="112"/>
      <c r="N93" s="112"/>
      <c r="O93" s="112"/>
      <c r="P93" s="112"/>
      <c r="Q93" s="112"/>
      <c r="R93" s="112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</row>
    <row r="94" spans="2:29">
      <c r="B94" s="112"/>
      <c r="C94" s="112"/>
      <c r="D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</row>
    <row r="95" spans="2:29">
      <c r="B95" s="112"/>
      <c r="C95" s="112"/>
      <c r="D95" s="112"/>
      <c r="H95" s="112"/>
      <c r="I95" s="112"/>
      <c r="J95" s="112"/>
      <c r="K95" s="112"/>
      <c r="L95" s="112"/>
      <c r="M95" s="112"/>
      <c r="N95" s="112"/>
      <c r="O95" s="112"/>
      <c r="P95" s="112"/>
      <c r="Q95" s="112"/>
      <c r="R95" s="112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</row>
    <row r="96" spans="2:29">
      <c r="B96" s="112"/>
      <c r="C96" s="112"/>
      <c r="D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</row>
    <row r="97" spans="2:29">
      <c r="B97" s="112"/>
      <c r="C97" s="112"/>
      <c r="D97" s="112"/>
      <c r="H97" s="112"/>
      <c r="I97" s="112"/>
      <c r="J97" s="112"/>
      <c r="K97" s="112"/>
      <c r="L97" s="112"/>
      <c r="M97" s="112"/>
      <c r="N97" s="112"/>
      <c r="O97" s="112"/>
      <c r="P97" s="112"/>
      <c r="Q97" s="112"/>
      <c r="R97" s="112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</row>
    <row r="98" spans="2:29">
      <c r="B98" s="112"/>
      <c r="C98" s="112"/>
      <c r="D98" s="112"/>
      <c r="H98" s="112"/>
      <c r="I98" s="112"/>
      <c r="J98" s="112"/>
      <c r="K98" s="112"/>
      <c r="L98" s="112"/>
      <c r="M98" s="112"/>
      <c r="N98" s="112"/>
      <c r="O98" s="112"/>
      <c r="P98" s="112"/>
      <c r="Q98" s="112"/>
      <c r="R98" s="112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</row>
    <row r="99" spans="2:29">
      <c r="B99" s="112"/>
      <c r="C99" s="112"/>
      <c r="D99" s="112"/>
      <c r="H99" s="112"/>
      <c r="I99" s="112"/>
      <c r="J99" s="112"/>
      <c r="K99" s="112"/>
      <c r="L99" s="112"/>
      <c r="M99" s="112"/>
      <c r="N99" s="112"/>
      <c r="O99" s="112"/>
      <c r="P99" s="112"/>
      <c r="Q99" s="112"/>
      <c r="R99" s="112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</row>
    <row r="100" spans="2:29">
      <c r="B100" s="112"/>
      <c r="C100" s="112"/>
      <c r="D100" s="112"/>
      <c r="H100" s="112"/>
      <c r="I100" s="112"/>
      <c r="J100" s="112"/>
      <c r="K100" s="112"/>
      <c r="L100" s="112"/>
      <c r="M100" s="112"/>
      <c r="N100" s="112"/>
      <c r="O100" s="112"/>
      <c r="P100" s="112"/>
      <c r="Q100" s="112"/>
      <c r="R100" s="112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</row>
    <row r="101" spans="2:29">
      <c r="B101" s="112"/>
      <c r="C101" s="112"/>
      <c r="D101" s="112"/>
      <c r="H101" s="112"/>
      <c r="I101" s="112"/>
      <c r="J101" s="112"/>
      <c r="K101" s="112"/>
      <c r="L101" s="112"/>
      <c r="M101" s="112"/>
      <c r="N101" s="112"/>
      <c r="O101" s="112"/>
      <c r="P101" s="112"/>
      <c r="Q101" s="112"/>
      <c r="R101" s="112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</row>
    <row r="102" spans="2:29">
      <c r="B102" s="112"/>
      <c r="C102" s="112"/>
      <c r="D102" s="112"/>
      <c r="H102" s="112"/>
      <c r="I102" s="112"/>
      <c r="J102" s="112"/>
      <c r="K102" s="112"/>
      <c r="L102" s="112"/>
      <c r="M102" s="112"/>
      <c r="N102" s="112"/>
      <c r="O102" s="112"/>
      <c r="P102" s="112"/>
      <c r="Q102" s="112"/>
      <c r="R102" s="112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</row>
    <row r="103" spans="2:29">
      <c r="B103" s="112"/>
      <c r="C103" s="112"/>
      <c r="D103" s="112"/>
      <c r="H103" s="112"/>
      <c r="I103" s="112"/>
      <c r="J103" s="112"/>
      <c r="K103" s="112"/>
      <c r="L103" s="112"/>
      <c r="M103" s="112"/>
      <c r="N103" s="112"/>
      <c r="O103" s="112"/>
      <c r="P103" s="112"/>
      <c r="Q103" s="112"/>
      <c r="R103" s="112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</row>
    <row r="104" spans="2:29">
      <c r="B104" s="112"/>
      <c r="C104" s="112"/>
      <c r="D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112"/>
      <c r="R104" s="112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</row>
    <row r="105" spans="2:29">
      <c r="B105" s="112"/>
      <c r="C105" s="112"/>
      <c r="D105" s="112"/>
      <c r="H105" s="112"/>
      <c r="I105" s="112"/>
      <c r="J105" s="112"/>
      <c r="K105" s="112"/>
      <c r="L105" s="112"/>
      <c r="M105" s="112"/>
      <c r="N105" s="112"/>
      <c r="O105" s="112"/>
      <c r="P105" s="112"/>
      <c r="Q105" s="112"/>
      <c r="R105" s="112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</row>
    <row r="106" spans="2:29">
      <c r="B106" s="112"/>
      <c r="C106" s="112"/>
      <c r="D106" s="112"/>
      <c r="H106" s="112"/>
      <c r="I106" s="112"/>
      <c r="J106" s="112"/>
      <c r="K106" s="112"/>
      <c r="L106" s="112"/>
      <c r="M106" s="112"/>
      <c r="N106" s="112"/>
      <c r="O106" s="112"/>
      <c r="P106" s="112"/>
      <c r="Q106" s="112"/>
      <c r="R106" s="112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</row>
    <row r="107" spans="2:29">
      <c r="B107" s="112"/>
      <c r="C107" s="112"/>
      <c r="D107" s="112"/>
      <c r="H107" s="112"/>
      <c r="I107" s="112"/>
      <c r="J107" s="112"/>
      <c r="K107" s="112"/>
      <c r="L107" s="112"/>
      <c r="M107" s="112"/>
      <c r="N107" s="112"/>
      <c r="O107" s="112"/>
      <c r="P107" s="112"/>
      <c r="Q107" s="112"/>
      <c r="R107" s="112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</row>
    <row r="108" spans="2:29">
      <c r="B108" s="112"/>
      <c r="C108" s="112"/>
      <c r="D108" s="112"/>
      <c r="H108" s="112"/>
      <c r="I108" s="112"/>
      <c r="J108" s="112"/>
      <c r="K108" s="112"/>
      <c r="L108" s="112"/>
      <c r="M108" s="112"/>
      <c r="N108" s="112"/>
      <c r="O108" s="112"/>
      <c r="P108" s="112"/>
      <c r="Q108" s="112"/>
      <c r="R108" s="112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</row>
    <row r="109" spans="2:29">
      <c r="B109" s="112"/>
      <c r="C109" s="112"/>
      <c r="D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</row>
    <row r="110" spans="2:29">
      <c r="B110" s="112"/>
      <c r="C110" s="112"/>
      <c r="D110" s="112"/>
      <c r="H110" s="112"/>
      <c r="I110" s="112"/>
      <c r="J110" s="112"/>
      <c r="K110" s="112"/>
      <c r="L110" s="112"/>
      <c r="M110" s="112"/>
      <c r="N110" s="112"/>
      <c r="O110" s="112"/>
      <c r="P110" s="112"/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</row>
    <row r="111" spans="2:29">
      <c r="B111" s="112"/>
      <c r="C111" s="112"/>
      <c r="D111" s="112"/>
      <c r="H111" s="112"/>
      <c r="I111" s="112"/>
      <c r="J111" s="112"/>
      <c r="K111" s="112"/>
      <c r="L111" s="112"/>
      <c r="M111" s="112"/>
      <c r="N111" s="112"/>
      <c r="O111" s="112"/>
      <c r="P111" s="112"/>
      <c r="Q111" s="112"/>
      <c r="R111" s="112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</row>
    <row r="112" spans="2:29">
      <c r="B112" s="112"/>
      <c r="C112" s="112"/>
      <c r="D112" s="112"/>
      <c r="H112" s="112"/>
      <c r="I112" s="112"/>
      <c r="J112" s="112"/>
      <c r="K112" s="112"/>
      <c r="L112" s="112"/>
      <c r="M112" s="112"/>
      <c r="N112" s="112"/>
      <c r="O112" s="112"/>
      <c r="P112" s="112"/>
      <c r="Q112" s="112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</row>
    <row r="113" spans="2:29">
      <c r="B113" s="112"/>
      <c r="C113" s="112"/>
      <c r="D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</row>
    <row r="114" spans="2:29">
      <c r="B114" s="112"/>
      <c r="C114" s="112"/>
      <c r="D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</row>
    <row r="115" spans="2:29">
      <c r="B115" s="112"/>
      <c r="C115" s="112"/>
      <c r="D115" s="112"/>
      <c r="H115" s="112"/>
      <c r="I115" s="112"/>
      <c r="J115" s="112"/>
      <c r="K115" s="112"/>
      <c r="L115" s="112"/>
      <c r="M115" s="112"/>
      <c r="N115" s="112"/>
      <c r="O115" s="112"/>
      <c r="P115" s="112"/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</row>
    <row r="116" spans="2:29">
      <c r="B116" s="112"/>
      <c r="C116" s="112"/>
      <c r="D116" s="112"/>
      <c r="H116" s="112"/>
      <c r="I116" s="112"/>
      <c r="J116" s="112"/>
      <c r="K116" s="112"/>
      <c r="L116" s="112"/>
      <c r="M116" s="112"/>
      <c r="N116" s="112"/>
      <c r="O116" s="112"/>
      <c r="P116" s="112"/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</row>
    <row r="117" spans="2:29">
      <c r="B117" s="112"/>
      <c r="C117" s="112"/>
      <c r="D117" s="112"/>
      <c r="H117" s="112"/>
      <c r="I117" s="112"/>
      <c r="J117" s="112"/>
      <c r="K117" s="112"/>
      <c r="L117" s="112"/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</row>
    <row r="118" spans="2:29">
      <c r="B118" s="112"/>
      <c r="C118" s="112"/>
      <c r="D118" s="112"/>
      <c r="H118" s="112"/>
      <c r="I118" s="112"/>
      <c r="J118" s="112"/>
      <c r="K118" s="112"/>
      <c r="L118" s="112"/>
      <c r="M118" s="112"/>
      <c r="N118" s="112"/>
      <c r="O118" s="112"/>
      <c r="P118" s="112"/>
      <c r="Q118" s="112"/>
      <c r="R118" s="112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</row>
    <row r="119" spans="2:29">
      <c r="B119" s="112"/>
      <c r="C119" s="112"/>
      <c r="D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112"/>
      <c r="R119" s="112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</row>
    <row r="120" spans="2:29">
      <c r="B120" s="112"/>
      <c r="C120" s="112"/>
      <c r="D120" s="112"/>
      <c r="H120" s="112"/>
      <c r="I120" s="112"/>
      <c r="J120" s="112"/>
      <c r="K120" s="112"/>
      <c r="L120" s="112"/>
      <c r="M120" s="112"/>
      <c r="N120" s="112"/>
      <c r="O120" s="112"/>
      <c r="P120" s="112"/>
      <c r="Q120" s="112"/>
      <c r="R120" s="112"/>
      <c r="S120" s="112"/>
      <c r="T120" s="112"/>
      <c r="U120" s="112"/>
      <c r="V120" s="112"/>
      <c r="W120" s="112"/>
      <c r="X120" s="112"/>
      <c r="Y120" s="112"/>
      <c r="Z120" s="112"/>
      <c r="AA120" s="112"/>
      <c r="AB120" s="112"/>
      <c r="AC120" s="112"/>
    </row>
    <row r="121" spans="2:29">
      <c r="B121" s="112"/>
      <c r="C121" s="112"/>
      <c r="D121" s="112"/>
      <c r="H121" s="112"/>
      <c r="I121" s="112"/>
      <c r="J121" s="112"/>
      <c r="K121" s="112"/>
      <c r="L121" s="112"/>
      <c r="M121" s="112"/>
      <c r="N121" s="112"/>
      <c r="O121" s="112"/>
      <c r="P121" s="112"/>
      <c r="Q121" s="112"/>
      <c r="R121" s="112"/>
      <c r="S121" s="112"/>
      <c r="T121" s="112"/>
      <c r="U121" s="112"/>
      <c r="V121" s="112"/>
      <c r="W121" s="112"/>
      <c r="X121" s="112"/>
      <c r="Y121" s="112"/>
      <c r="Z121" s="112"/>
      <c r="AA121" s="112"/>
      <c r="AB121" s="112"/>
      <c r="AC121" s="112"/>
    </row>
    <row r="122" spans="2:29">
      <c r="B122" s="112"/>
      <c r="C122" s="112"/>
      <c r="D122" s="112"/>
      <c r="H122" s="112"/>
      <c r="I122" s="112"/>
      <c r="J122" s="112"/>
      <c r="K122" s="112"/>
      <c r="L122" s="112"/>
      <c r="M122" s="112"/>
      <c r="N122" s="112"/>
      <c r="O122" s="112"/>
      <c r="P122" s="112"/>
      <c r="Q122" s="112"/>
      <c r="R122" s="112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</row>
    <row r="123" spans="2:29">
      <c r="B123" s="112"/>
      <c r="C123" s="112"/>
      <c r="D123" s="112"/>
      <c r="H123" s="112"/>
      <c r="I123" s="112"/>
      <c r="J123" s="112"/>
      <c r="K123" s="112"/>
      <c r="L123" s="112"/>
      <c r="M123" s="112"/>
      <c r="N123" s="112"/>
      <c r="O123" s="112"/>
      <c r="P123" s="112"/>
      <c r="Q123" s="112"/>
      <c r="R123" s="112"/>
      <c r="S123" s="112"/>
      <c r="T123" s="112"/>
      <c r="U123" s="112"/>
      <c r="V123" s="112"/>
      <c r="W123" s="112"/>
      <c r="X123" s="112"/>
      <c r="Y123" s="112"/>
      <c r="Z123" s="112"/>
      <c r="AA123" s="112"/>
      <c r="AB123" s="112"/>
      <c r="AC123" s="112"/>
    </row>
    <row r="124" spans="2:29">
      <c r="B124" s="112"/>
      <c r="C124" s="112"/>
      <c r="D124" s="112"/>
      <c r="H124" s="112"/>
      <c r="I124" s="112"/>
      <c r="J124" s="112"/>
      <c r="K124" s="112"/>
      <c r="L124" s="112"/>
      <c r="M124" s="112"/>
      <c r="N124" s="112"/>
      <c r="O124" s="112"/>
      <c r="P124" s="112"/>
      <c r="Q124" s="112"/>
      <c r="R124" s="112"/>
      <c r="S124" s="112"/>
      <c r="T124" s="112"/>
      <c r="U124" s="112"/>
      <c r="V124" s="112"/>
      <c r="W124" s="112"/>
      <c r="X124" s="112"/>
      <c r="Y124" s="112"/>
      <c r="Z124" s="112"/>
      <c r="AA124" s="112"/>
      <c r="AB124" s="112"/>
      <c r="AC124" s="112"/>
    </row>
    <row r="125" spans="2:29">
      <c r="B125" s="112"/>
      <c r="C125" s="112"/>
      <c r="D125" s="112"/>
      <c r="H125" s="112"/>
      <c r="I125" s="112"/>
      <c r="J125" s="112"/>
      <c r="K125" s="112"/>
      <c r="L125" s="112"/>
      <c r="M125" s="112"/>
      <c r="N125" s="112"/>
      <c r="O125" s="112"/>
      <c r="P125" s="112"/>
      <c r="Q125" s="112"/>
      <c r="R125" s="112"/>
      <c r="S125" s="112"/>
      <c r="T125" s="112"/>
      <c r="U125" s="112"/>
      <c r="V125" s="112"/>
      <c r="W125" s="112"/>
      <c r="X125" s="112"/>
      <c r="Y125" s="112"/>
      <c r="Z125" s="112"/>
      <c r="AA125" s="112"/>
      <c r="AB125" s="112"/>
      <c r="AC125" s="112"/>
    </row>
    <row r="126" spans="2:29">
      <c r="B126" s="112"/>
      <c r="C126" s="112"/>
      <c r="D126" s="112"/>
      <c r="H126" s="112"/>
      <c r="I126" s="112"/>
      <c r="J126" s="112"/>
      <c r="K126" s="112"/>
      <c r="L126" s="112"/>
      <c r="M126" s="112"/>
      <c r="N126" s="112"/>
      <c r="O126" s="112"/>
      <c r="P126" s="112"/>
      <c r="Q126" s="112"/>
      <c r="R126" s="112"/>
      <c r="S126" s="112"/>
      <c r="T126" s="112"/>
      <c r="U126" s="112"/>
      <c r="V126" s="112"/>
      <c r="W126" s="112"/>
      <c r="X126" s="112"/>
      <c r="Y126" s="112"/>
      <c r="Z126" s="112"/>
      <c r="AA126" s="112"/>
      <c r="AB126" s="112"/>
      <c r="AC126" s="112"/>
    </row>
    <row r="127" spans="2:29">
      <c r="B127" s="112"/>
      <c r="C127" s="112"/>
      <c r="D127" s="112"/>
      <c r="H127" s="112"/>
      <c r="I127" s="112"/>
      <c r="J127" s="112"/>
      <c r="K127" s="112"/>
      <c r="L127" s="112"/>
      <c r="M127" s="112"/>
      <c r="N127" s="112"/>
      <c r="O127" s="112"/>
      <c r="P127" s="112"/>
      <c r="Q127" s="112"/>
      <c r="R127" s="112"/>
      <c r="S127" s="112"/>
      <c r="T127" s="112"/>
      <c r="U127" s="112"/>
      <c r="V127" s="112"/>
      <c r="W127" s="112"/>
      <c r="X127" s="112"/>
      <c r="Y127" s="112"/>
      <c r="Z127" s="112"/>
      <c r="AA127" s="112"/>
      <c r="AB127" s="112"/>
      <c r="AC127" s="112"/>
    </row>
    <row r="128" spans="2:29">
      <c r="B128" s="112"/>
      <c r="C128" s="112"/>
      <c r="D128" s="112"/>
      <c r="H128" s="112"/>
      <c r="I128" s="112"/>
      <c r="J128" s="112"/>
      <c r="K128" s="112"/>
      <c r="L128" s="112"/>
      <c r="M128" s="112"/>
      <c r="N128" s="112"/>
      <c r="O128" s="112"/>
      <c r="P128" s="112"/>
      <c r="Q128" s="112"/>
      <c r="R128" s="112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</row>
    <row r="129" spans="2:29">
      <c r="B129" s="112"/>
      <c r="C129" s="112"/>
      <c r="D129" s="112"/>
      <c r="H129" s="112"/>
      <c r="I129" s="112"/>
      <c r="J129" s="112"/>
      <c r="K129" s="112"/>
      <c r="L129" s="112"/>
      <c r="M129" s="112"/>
      <c r="N129" s="112"/>
      <c r="O129" s="112"/>
      <c r="P129" s="112"/>
      <c r="Q129" s="112"/>
      <c r="R129" s="112"/>
      <c r="S129" s="112"/>
      <c r="T129" s="112"/>
      <c r="U129" s="112"/>
      <c r="V129" s="112"/>
      <c r="W129" s="112"/>
      <c r="X129" s="112"/>
      <c r="Y129" s="112"/>
      <c r="Z129" s="112"/>
      <c r="AA129" s="112"/>
      <c r="AB129" s="112"/>
      <c r="AC129" s="112"/>
    </row>
    <row r="130" spans="2:29">
      <c r="B130" s="112"/>
      <c r="C130" s="112"/>
      <c r="D130" s="112"/>
      <c r="H130" s="112"/>
      <c r="I130" s="112"/>
      <c r="J130" s="112"/>
      <c r="K130" s="112"/>
      <c r="L130" s="112"/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  <c r="AB130" s="112"/>
      <c r="AC130" s="112"/>
    </row>
    <row r="131" spans="2:29">
      <c r="B131" s="112"/>
      <c r="C131" s="112"/>
      <c r="D131" s="112"/>
      <c r="H131" s="112"/>
      <c r="I131" s="112"/>
      <c r="J131" s="112"/>
      <c r="K131" s="112"/>
      <c r="L131" s="112"/>
      <c r="M131" s="112"/>
      <c r="N131" s="112"/>
      <c r="O131" s="112"/>
      <c r="P131" s="112"/>
      <c r="Q131" s="112"/>
      <c r="R131" s="112"/>
      <c r="S131" s="112"/>
      <c r="T131" s="112"/>
      <c r="U131" s="112"/>
      <c r="V131" s="112"/>
      <c r="W131" s="112"/>
      <c r="X131" s="112"/>
      <c r="Y131" s="112"/>
      <c r="Z131" s="112"/>
      <c r="AA131" s="112"/>
      <c r="AB131" s="112"/>
      <c r="AC131" s="112"/>
    </row>
    <row r="132" spans="2:29">
      <c r="B132" s="112"/>
      <c r="C132" s="112"/>
      <c r="D132" s="112"/>
      <c r="H132" s="112"/>
      <c r="I132" s="112"/>
      <c r="J132" s="112"/>
      <c r="K132" s="112"/>
      <c r="L132" s="112"/>
      <c r="M132" s="112"/>
      <c r="N132" s="112"/>
      <c r="O132" s="112"/>
      <c r="P132" s="112"/>
      <c r="Q132" s="112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  <c r="AB132" s="112"/>
      <c r="AC132" s="112"/>
    </row>
    <row r="133" spans="2:29">
      <c r="B133" s="112"/>
      <c r="C133" s="112"/>
      <c r="D133" s="112"/>
      <c r="H133" s="112"/>
      <c r="I133" s="112"/>
      <c r="J133" s="112"/>
      <c r="K133" s="112"/>
      <c r="L133" s="112"/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  <c r="AB133" s="112"/>
      <c r="AC133" s="112"/>
    </row>
    <row r="134" spans="2:29">
      <c r="B134" s="112"/>
      <c r="C134" s="112"/>
      <c r="D134" s="112"/>
      <c r="H134" s="112"/>
      <c r="I134" s="112"/>
      <c r="J134" s="112"/>
      <c r="K134" s="112"/>
      <c r="L134" s="112"/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  <c r="AB134" s="112"/>
      <c r="AC134" s="112"/>
    </row>
    <row r="135" spans="2:29">
      <c r="B135" s="112"/>
      <c r="C135" s="112"/>
      <c r="D135" s="112"/>
      <c r="H135" s="112"/>
      <c r="I135" s="112"/>
      <c r="J135" s="112"/>
      <c r="K135" s="112"/>
      <c r="L135" s="112"/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  <c r="AB135" s="112"/>
      <c r="AC135" s="112"/>
    </row>
    <row r="136" spans="2:29">
      <c r="B136" s="112"/>
      <c r="C136" s="112"/>
      <c r="D136" s="112"/>
      <c r="H136" s="112"/>
      <c r="I136" s="112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  <c r="AB136" s="112"/>
      <c r="AC136" s="112"/>
    </row>
    <row r="137" spans="2:29">
      <c r="B137" s="112"/>
      <c r="C137" s="112"/>
      <c r="D137" s="112"/>
      <c r="H137" s="112"/>
      <c r="I137" s="112"/>
      <c r="J137" s="112"/>
      <c r="K137" s="112"/>
      <c r="L137" s="112"/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  <c r="AB137" s="112"/>
      <c r="AC137" s="112"/>
    </row>
    <row r="138" spans="2:29">
      <c r="B138" s="112"/>
      <c r="C138" s="112"/>
      <c r="D138" s="112"/>
      <c r="H138" s="112"/>
      <c r="I138" s="112"/>
      <c r="J138" s="112"/>
      <c r="K138" s="112"/>
      <c r="L138" s="112"/>
      <c r="M138" s="112"/>
      <c r="N138" s="112"/>
      <c r="O138" s="112"/>
      <c r="P138" s="112"/>
      <c r="Q138" s="112"/>
      <c r="R138" s="112"/>
      <c r="S138" s="112"/>
      <c r="T138" s="112"/>
      <c r="U138" s="112"/>
      <c r="V138" s="112"/>
      <c r="W138" s="112"/>
      <c r="X138" s="112"/>
      <c r="Y138" s="112"/>
      <c r="Z138" s="112"/>
      <c r="AA138" s="112"/>
      <c r="AB138" s="112"/>
      <c r="AC138" s="112"/>
    </row>
    <row r="139" spans="2:29">
      <c r="B139" s="112"/>
      <c r="C139" s="112"/>
      <c r="D139" s="112"/>
      <c r="H139" s="112"/>
      <c r="I139" s="112"/>
      <c r="J139" s="112"/>
      <c r="K139" s="112"/>
      <c r="L139" s="112"/>
      <c r="M139" s="112"/>
      <c r="N139" s="112"/>
      <c r="O139" s="112"/>
      <c r="P139" s="112"/>
      <c r="Q139" s="112"/>
      <c r="R139" s="112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</row>
    <row r="140" spans="2:29">
      <c r="B140" s="112"/>
      <c r="C140" s="112"/>
      <c r="D140" s="112"/>
      <c r="H140" s="112"/>
      <c r="I140" s="112"/>
      <c r="J140" s="112"/>
      <c r="K140" s="112"/>
      <c r="L140" s="112"/>
      <c r="M140" s="112"/>
      <c r="N140" s="112"/>
      <c r="O140" s="112"/>
      <c r="P140" s="112"/>
      <c r="Q140" s="112"/>
      <c r="R140" s="112"/>
      <c r="S140" s="112"/>
      <c r="T140" s="112"/>
      <c r="U140" s="112"/>
      <c r="V140" s="112"/>
      <c r="W140" s="112"/>
      <c r="X140" s="112"/>
      <c r="Y140" s="112"/>
      <c r="Z140" s="112"/>
      <c r="AA140" s="112"/>
      <c r="AB140" s="112"/>
      <c r="AC140" s="112"/>
    </row>
    <row r="141" spans="2:29">
      <c r="B141" s="112"/>
      <c r="C141" s="112"/>
      <c r="D141" s="112"/>
      <c r="H141" s="112"/>
      <c r="I141" s="112"/>
      <c r="J141" s="112"/>
      <c r="K141" s="112"/>
      <c r="L141" s="112"/>
      <c r="M141" s="112"/>
      <c r="N141" s="112"/>
      <c r="O141" s="112"/>
      <c r="P141" s="112"/>
      <c r="Q141" s="112"/>
      <c r="R141" s="112"/>
      <c r="S141" s="112"/>
      <c r="T141" s="112"/>
      <c r="U141" s="112"/>
      <c r="V141" s="112"/>
      <c r="W141" s="112"/>
      <c r="X141" s="112"/>
      <c r="Y141" s="112"/>
      <c r="Z141" s="112"/>
      <c r="AA141" s="112"/>
      <c r="AB141" s="112"/>
      <c r="AC141" s="112"/>
    </row>
    <row r="142" spans="2:29">
      <c r="B142" s="112"/>
      <c r="C142" s="112"/>
      <c r="D142" s="112"/>
      <c r="H142" s="112"/>
      <c r="I142" s="112"/>
      <c r="J142" s="112"/>
      <c r="K142" s="112"/>
      <c r="L142" s="112"/>
      <c r="M142" s="112"/>
      <c r="N142" s="112"/>
      <c r="O142" s="112"/>
      <c r="P142" s="112"/>
      <c r="Q142" s="112"/>
      <c r="R142" s="112"/>
      <c r="S142" s="112"/>
      <c r="T142" s="112"/>
      <c r="U142" s="112"/>
      <c r="V142" s="112"/>
      <c r="W142" s="112"/>
      <c r="X142" s="112"/>
      <c r="Y142" s="112"/>
      <c r="Z142" s="112"/>
      <c r="AA142" s="112"/>
      <c r="AB142" s="112"/>
      <c r="AC142" s="112"/>
    </row>
    <row r="143" spans="2:29">
      <c r="B143" s="112"/>
      <c r="C143" s="112"/>
      <c r="D143" s="112"/>
      <c r="H143" s="112"/>
      <c r="I143" s="112"/>
      <c r="J143" s="112"/>
      <c r="K143" s="112"/>
      <c r="L143" s="112"/>
      <c r="M143" s="112"/>
      <c r="N143" s="112"/>
      <c r="O143" s="112"/>
      <c r="P143" s="112"/>
      <c r="Q143" s="112"/>
      <c r="R143" s="112"/>
      <c r="S143" s="112"/>
      <c r="T143" s="112"/>
      <c r="U143" s="112"/>
      <c r="V143" s="112"/>
      <c r="W143" s="112"/>
      <c r="X143" s="112"/>
      <c r="Y143" s="112"/>
      <c r="Z143" s="112"/>
      <c r="AA143" s="112"/>
      <c r="AB143" s="112"/>
      <c r="AC143" s="112"/>
    </row>
    <row r="144" spans="2:29">
      <c r="B144" s="112"/>
      <c r="C144" s="112"/>
      <c r="D144" s="112"/>
      <c r="H144" s="112"/>
      <c r="I144" s="112"/>
      <c r="J144" s="112"/>
      <c r="K144" s="112"/>
      <c r="L144" s="112"/>
      <c r="M144" s="112"/>
      <c r="N144" s="112"/>
      <c r="O144" s="112"/>
      <c r="P144" s="112"/>
      <c r="Q144" s="112"/>
      <c r="R144" s="112"/>
      <c r="S144" s="112"/>
      <c r="T144" s="112"/>
      <c r="U144" s="112"/>
      <c r="V144" s="112"/>
      <c r="W144" s="112"/>
      <c r="X144" s="112"/>
      <c r="Y144" s="112"/>
      <c r="Z144" s="112"/>
      <c r="AA144" s="112"/>
      <c r="AB144" s="112"/>
      <c r="AC144" s="112"/>
    </row>
    <row r="145" spans="2:29">
      <c r="B145" s="112"/>
      <c r="C145" s="112"/>
      <c r="D145" s="112"/>
      <c r="H145" s="112"/>
      <c r="I145" s="112"/>
      <c r="J145" s="112"/>
      <c r="K145" s="112"/>
      <c r="L145" s="112"/>
      <c r="M145" s="112"/>
      <c r="N145" s="112"/>
      <c r="O145" s="112"/>
      <c r="P145" s="112"/>
      <c r="Q145" s="112"/>
      <c r="R145" s="112"/>
      <c r="S145" s="112"/>
      <c r="T145" s="112"/>
      <c r="U145" s="112"/>
      <c r="V145" s="112"/>
      <c r="W145" s="112"/>
      <c r="X145" s="112"/>
      <c r="Y145" s="112"/>
      <c r="Z145" s="112"/>
      <c r="AA145" s="112"/>
      <c r="AB145" s="112"/>
      <c r="AC145" s="112"/>
    </row>
    <row r="146" spans="2:29">
      <c r="B146" s="112"/>
      <c r="C146" s="112"/>
      <c r="D146" s="112"/>
      <c r="H146" s="112"/>
      <c r="I146" s="112"/>
      <c r="J146" s="112"/>
      <c r="K146" s="112"/>
      <c r="L146" s="112"/>
      <c r="M146" s="112"/>
      <c r="N146" s="112"/>
      <c r="O146" s="112"/>
      <c r="P146" s="112"/>
      <c r="Q146" s="112"/>
      <c r="R146" s="112"/>
      <c r="S146" s="112"/>
      <c r="T146" s="112"/>
      <c r="U146" s="112"/>
      <c r="V146" s="112"/>
      <c r="W146" s="112"/>
      <c r="X146" s="112"/>
      <c r="Y146" s="112"/>
      <c r="Z146" s="112"/>
      <c r="AA146" s="112"/>
      <c r="AB146" s="112"/>
      <c r="AC146" s="112"/>
    </row>
    <row r="147" spans="2:29">
      <c r="B147" s="112"/>
      <c r="C147" s="112"/>
      <c r="D147" s="112"/>
      <c r="H147" s="112"/>
      <c r="I147" s="112"/>
      <c r="J147" s="112"/>
      <c r="K147" s="112"/>
      <c r="L147" s="112"/>
      <c r="M147" s="112"/>
      <c r="N147" s="112"/>
      <c r="O147" s="112"/>
      <c r="P147" s="112"/>
      <c r="Q147" s="112"/>
      <c r="R147" s="112"/>
      <c r="S147" s="112"/>
      <c r="T147" s="112"/>
      <c r="U147" s="112"/>
      <c r="V147" s="112"/>
      <c r="W147" s="112"/>
      <c r="X147" s="112"/>
      <c r="Y147" s="112"/>
      <c r="Z147" s="112"/>
      <c r="AA147" s="112"/>
      <c r="AB147" s="112"/>
      <c r="AC147" s="112"/>
    </row>
    <row r="148" spans="2:29">
      <c r="B148" s="112"/>
      <c r="C148" s="112"/>
      <c r="D148" s="112"/>
      <c r="H148" s="112"/>
      <c r="I148" s="112"/>
      <c r="J148" s="112"/>
      <c r="K148" s="112"/>
      <c r="L148" s="112"/>
      <c r="M148" s="112"/>
      <c r="N148" s="112"/>
      <c r="O148" s="112"/>
      <c r="P148" s="112"/>
      <c r="Q148" s="112"/>
      <c r="R148" s="112"/>
      <c r="S148" s="112"/>
      <c r="T148" s="112"/>
      <c r="U148" s="112"/>
      <c r="V148" s="112"/>
      <c r="W148" s="112"/>
      <c r="X148" s="112"/>
      <c r="Y148" s="112"/>
      <c r="Z148" s="112"/>
      <c r="AA148" s="112"/>
      <c r="AB148" s="112"/>
      <c r="AC148" s="112"/>
    </row>
    <row r="149" spans="2:29">
      <c r="B149" s="112"/>
      <c r="C149" s="112"/>
      <c r="D149" s="112"/>
      <c r="H149" s="112"/>
      <c r="I149" s="112"/>
      <c r="J149" s="112"/>
      <c r="K149" s="112"/>
      <c r="L149" s="112"/>
      <c r="M149" s="112"/>
      <c r="N149" s="112"/>
      <c r="O149" s="112"/>
      <c r="P149" s="112"/>
      <c r="Q149" s="112"/>
      <c r="R149" s="112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</row>
    <row r="150" spans="2:29">
      <c r="B150" s="112"/>
      <c r="C150" s="112"/>
      <c r="D150" s="112"/>
      <c r="H150" s="112"/>
      <c r="I150" s="112"/>
      <c r="J150" s="112"/>
      <c r="K150" s="112"/>
      <c r="L150" s="112"/>
      <c r="M150" s="112"/>
      <c r="N150" s="112"/>
      <c r="O150" s="112"/>
      <c r="P150" s="112"/>
      <c r="Q150" s="112"/>
      <c r="R150" s="112"/>
      <c r="S150" s="112"/>
      <c r="T150" s="112"/>
      <c r="U150" s="112"/>
      <c r="V150" s="112"/>
      <c r="W150" s="112"/>
      <c r="X150" s="112"/>
      <c r="Y150" s="112"/>
      <c r="Z150" s="112"/>
      <c r="AA150" s="112"/>
      <c r="AB150" s="112"/>
      <c r="AC150" s="112"/>
    </row>
    <row r="151" spans="2:29">
      <c r="B151" s="112"/>
      <c r="C151" s="112"/>
      <c r="D151" s="112"/>
      <c r="H151" s="112"/>
      <c r="I151" s="112"/>
      <c r="J151" s="112"/>
      <c r="K151" s="112"/>
      <c r="L151" s="112"/>
      <c r="M151" s="112"/>
      <c r="N151" s="112"/>
      <c r="O151" s="112"/>
      <c r="P151" s="112"/>
      <c r="Q151" s="112"/>
      <c r="R151" s="112"/>
      <c r="S151" s="112"/>
      <c r="T151" s="112"/>
      <c r="U151" s="112"/>
      <c r="V151" s="112"/>
      <c r="W151" s="112"/>
      <c r="X151" s="112"/>
      <c r="Y151" s="112"/>
      <c r="Z151" s="112"/>
      <c r="AA151" s="112"/>
      <c r="AB151" s="112"/>
      <c r="AC151" s="112"/>
    </row>
    <row r="152" spans="2:29">
      <c r="B152" s="112"/>
      <c r="C152" s="112"/>
      <c r="D152" s="112"/>
      <c r="H152" s="112"/>
      <c r="I152" s="112"/>
      <c r="J152" s="112"/>
      <c r="K152" s="112"/>
      <c r="L152" s="112"/>
      <c r="M152" s="112"/>
      <c r="N152" s="112"/>
      <c r="O152" s="112"/>
      <c r="P152" s="112"/>
      <c r="Q152" s="112"/>
      <c r="R152" s="112"/>
      <c r="S152" s="112"/>
      <c r="T152" s="112"/>
      <c r="U152" s="112"/>
      <c r="V152" s="112"/>
      <c r="W152" s="112"/>
      <c r="X152" s="112"/>
      <c r="Y152" s="112"/>
      <c r="Z152" s="112"/>
      <c r="AA152" s="112"/>
      <c r="AB152" s="112"/>
      <c r="AC152" s="112"/>
    </row>
    <row r="153" spans="2:29">
      <c r="B153" s="112"/>
      <c r="C153" s="112"/>
      <c r="D153" s="112"/>
      <c r="H153" s="112"/>
      <c r="I153" s="112"/>
      <c r="J153" s="112"/>
      <c r="K153" s="112"/>
      <c r="L153" s="112"/>
      <c r="M153" s="112"/>
      <c r="N153" s="112"/>
      <c r="O153" s="112"/>
      <c r="P153" s="112"/>
      <c r="Q153" s="112"/>
      <c r="R153" s="112"/>
      <c r="S153" s="112"/>
      <c r="T153" s="112"/>
      <c r="U153" s="112"/>
      <c r="V153" s="112"/>
      <c r="W153" s="112"/>
      <c r="X153" s="112"/>
      <c r="Y153" s="112"/>
      <c r="Z153" s="112"/>
      <c r="AA153" s="112"/>
      <c r="AB153" s="112"/>
      <c r="AC153" s="112"/>
    </row>
    <row r="154" spans="2:29">
      <c r="B154" s="112"/>
      <c r="C154" s="112"/>
      <c r="D154" s="112"/>
      <c r="H154" s="112"/>
      <c r="I154" s="112"/>
      <c r="J154" s="112"/>
      <c r="K154" s="112"/>
      <c r="L154" s="112"/>
      <c r="M154" s="112"/>
      <c r="N154" s="112"/>
      <c r="O154" s="112"/>
      <c r="P154" s="112"/>
      <c r="Q154" s="112"/>
      <c r="R154" s="112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</row>
    <row r="155" spans="2:29">
      <c r="B155" s="112"/>
      <c r="C155" s="112"/>
      <c r="D155" s="112"/>
      <c r="H155" s="112"/>
      <c r="I155" s="112"/>
      <c r="J155" s="112"/>
      <c r="K155" s="112"/>
      <c r="L155" s="112"/>
      <c r="M155" s="112"/>
      <c r="N155" s="112"/>
      <c r="O155" s="112"/>
      <c r="P155" s="112"/>
      <c r="Q155" s="112"/>
      <c r="R155" s="112"/>
      <c r="S155" s="112"/>
      <c r="T155" s="112"/>
      <c r="U155" s="112"/>
      <c r="V155" s="112"/>
      <c r="W155" s="112"/>
      <c r="X155" s="112"/>
      <c r="Y155" s="112"/>
      <c r="Z155" s="112"/>
      <c r="AA155" s="112"/>
      <c r="AB155" s="112"/>
      <c r="AC155" s="112"/>
    </row>
    <row r="156" spans="2:29">
      <c r="B156" s="112"/>
      <c r="C156" s="112"/>
      <c r="D156" s="112"/>
      <c r="H156" s="112"/>
      <c r="I156" s="112"/>
      <c r="J156" s="112"/>
      <c r="K156" s="112"/>
      <c r="L156" s="112"/>
      <c r="M156" s="112"/>
      <c r="N156" s="112"/>
      <c r="O156" s="112"/>
      <c r="P156" s="112"/>
      <c r="Q156" s="112"/>
      <c r="R156" s="112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</row>
    <row r="157" spans="2:29">
      <c r="B157" s="112"/>
      <c r="C157" s="112"/>
      <c r="D157" s="112"/>
      <c r="H157" s="112"/>
      <c r="I157" s="112"/>
      <c r="J157" s="112"/>
      <c r="K157" s="112"/>
      <c r="L157" s="112"/>
      <c r="M157" s="112"/>
      <c r="N157" s="112"/>
      <c r="O157" s="112"/>
      <c r="P157" s="112"/>
      <c r="Q157" s="112"/>
      <c r="R157" s="112"/>
      <c r="S157" s="112"/>
      <c r="T157" s="112"/>
      <c r="U157" s="112"/>
      <c r="V157" s="112"/>
      <c r="W157" s="112"/>
      <c r="X157" s="112"/>
      <c r="Y157" s="112"/>
      <c r="Z157" s="112"/>
      <c r="AA157" s="112"/>
      <c r="AB157" s="112"/>
      <c r="AC157" s="112"/>
    </row>
    <row r="158" spans="2:29">
      <c r="B158" s="112"/>
      <c r="C158" s="112"/>
      <c r="D158" s="112"/>
      <c r="H158" s="112"/>
      <c r="I158" s="112"/>
      <c r="J158" s="112"/>
      <c r="K158" s="112"/>
      <c r="L158" s="112"/>
      <c r="M158" s="112"/>
      <c r="N158" s="112"/>
      <c r="O158" s="112"/>
      <c r="P158" s="112"/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  <c r="AB158" s="112"/>
      <c r="AC158" s="112"/>
    </row>
    <row r="159" spans="2:29">
      <c r="B159" s="112"/>
      <c r="C159" s="112"/>
      <c r="D159" s="112"/>
      <c r="H159" s="112"/>
      <c r="I159" s="112"/>
      <c r="J159" s="112"/>
      <c r="K159" s="112"/>
      <c r="L159" s="112"/>
      <c r="M159" s="112"/>
      <c r="N159" s="112"/>
      <c r="O159" s="112"/>
      <c r="P159" s="112"/>
      <c r="Q159" s="112"/>
      <c r="R159" s="112"/>
      <c r="S159" s="112"/>
      <c r="T159" s="112"/>
      <c r="U159" s="112"/>
      <c r="V159" s="112"/>
      <c r="W159" s="112"/>
      <c r="X159" s="112"/>
      <c r="Y159" s="112"/>
      <c r="Z159" s="112"/>
      <c r="AA159" s="112"/>
      <c r="AB159" s="112"/>
      <c r="AC159" s="112"/>
    </row>
    <row r="160" spans="2:29">
      <c r="B160" s="112"/>
      <c r="C160" s="112"/>
      <c r="D160" s="112"/>
      <c r="H160" s="112"/>
      <c r="I160" s="112"/>
      <c r="J160" s="112"/>
      <c r="K160" s="112"/>
      <c r="L160" s="112"/>
      <c r="M160" s="112"/>
      <c r="N160" s="112"/>
      <c r="O160" s="112"/>
      <c r="P160" s="112"/>
      <c r="Q160" s="112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  <c r="AB160" s="112"/>
      <c r="AC160" s="112"/>
    </row>
    <row r="161" spans="2:29">
      <c r="B161" s="112"/>
      <c r="C161" s="112"/>
      <c r="D161" s="112"/>
      <c r="H161" s="112"/>
      <c r="I161" s="112"/>
      <c r="J161" s="112"/>
      <c r="K161" s="112"/>
      <c r="L161" s="112"/>
      <c r="M161" s="112"/>
      <c r="N161" s="112"/>
      <c r="O161" s="112"/>
      <c r="P161" s="112"/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  <c r="AB161" s="112"/>
      <c r="AC161" s="112"/>
    </row>
    <row r="162" spans="2:29">
      <c r="B162" s="112"/>
      <c r="C162" s="112"/>
      <c r="D162" s="112"/>
      <c r="H162" s="112"/>
      <c r="I162" s="112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  <c r="AB162" s="112"/>
      <c r="AC162" s="112"/>
    </row>
    <row r="163" spans="2:29">
      <c r="B163" s="112"/>
      <c r="C163" s="112"/>
      <c r="D163" s="112"/>
      <c r="H163" s="112"/>
      <c r="I163" s="112"/>
      <c r="J163" s="112"/>
      <c r="K163" s="112"/>
      <c r="L163" s="112"/>
      <c r="M163" s="112"/>
      <c r="N163" s="112"/>
      <c r="O163" s="112"/>
      <c r="P163" s="112"/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  <c r="AB163" s="112"/>
      <c r="AC163" s="112"/>
    </row>
    <row r="164" spans="2:29">
      <c r="B164" s="112"/>
      <c r="C164" s="112"/>
      <c r="D164" s="112"/>
      <c r="H164" s="112"/>
      <c r="I164" s="112"/>
      <c r="J164" s="112"/>
      <c r="K164" s="112"/>
      <c r="L164" s="112"/>
      <c r="M164" s="112"/>
      <c r="N164" s="112"/>
      <c r="O164" s="112"/>
      <c r="P164" s="112"/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  <c r="AB164" s="112"/>
      <c r="AC164" s="112"/>
    </row>
    <row r="165" spans="2:29">
      <c r="B165" s="112"/>
      <c r="C165" s="112"/>
      <c r="D165" s="112"/>
      <c r="H165" s="112"/>
      <c r="I165" s="112"/>
      <c r="J165" s="112"/>
      <c r="K165" s="112"/>
      <c r="L165" s="112"/>
      <c r="M165" s="112"/>
      <c r="N165" s="112"/>
      <c r="O165" s="112"/>
      <c r="P165" s="112"/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  <c r="AB165" s="112"/>
      <c r="AC165" s="112"/>
    </row>
    <row r="166" spans="2:29">
      <c r="B166" s="112"/>
      <c r="C166" s="112"/>
      <c r="D166" s="112"/>
      <c r="H166" s="112"/>
      <c r="I166" s="112"/>
      <c r="J166" s="112"/>
      <c r="K166" s="112"/>
      <c r="L166" s="112"/>
      <c r="M166" s="112"/>
      <c r="N166" s="112"/>
      <c r="O166" s="112"/>
      <c r="P166" s="112"/>
      <c r="Q166" s="112"/>
      <c r="R166" s="112"/>
      <c r="S166" s="112"/>
      <c r="T166" s="112"/>
      <c r="U166" s="112"/>
      <c r="V166" s="112"/>
      <c r="W166" s="112"/>
      <c r="X166" s="112"/>
      <c r="Y166" s="112"/>
      <c r="Z166" s="112"/>
      <c r="AA166" s="112"/>
      <c r="AB166" s="112"/>
      <c r="AC166" s="112"/>
    </row>
    <row r="167" spans="2:29">
      <c r="B167" s="112"/>
      <c r="C167" s="112"/>
      <c r="D167" s="112"/>
      <c r="H167" s="112"/>
      <c r="I167" s="112"/>
      <c r="J167" s="112"/>
      <c r="K167" s="112"/>
      <c r="L167" s="112"/>
      <c r="M167" s="112"/>
      <c r="N167" s="112"/>
      <c r="O167" s="112"/>
      <c r="P167" s="112"/>
      <c r="Q167" s="112"/>
      <c r="R167" s="112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</row>
    <row r="168" spans="2:29">
      <c r="B168" s="112"/>
      <c r="C168" s="112"/>
      <c r="D168" s="112"/>
      <c r="H168" s="112"/>
      <c r="I168" s="112"/>
      <c r="J168" s="112"/>
      <c r="K168" s="112"/>
      <c r="L168" s="112"/>
      <c r="M168" s="112"/>
      <c r="N168" s="112"/>
      <c r="O168" s="112"/>
      <c r="P168" s="112"/>
      <c r="Q168" s="112"/>
      <c r="R168" s="112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</row>
    <row r="169" spans="2:29">
      <c r="B169" s="112"/>
      <c r="C169" s="112"/>
      <c r="D169" s="112"/>
      <c r="H169" s="112"/>
      <c r="I169" s="112"/>
      <c r="J169" s="112"/>
      <c r="K169" s="112"/>
      <c r="L169" s="112"/>
      <c r="M169" s="112"/>
      <c r="N169" s="112"/>
      <c r="O169" s="112"/>
      <c r="P169" s="112"/>
      <c r="Q169" s="112"/>
      <c r="R169" s="112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</row>
    <row r="170" spans="2:29">
      <c r="B170" s="112"/>
      <c r="C170" s="112"/>
      <c r="D170" s="112"/>
      <c r="H170" s="112"/>
      <c r="I170" s="112"/>
      <c r="J170" s="112"/>
      <c r="K170" s="112"/>
      <c r="L170" s="112"/>
      <c r="M170" s="112"/>
      <c r="N170" s="112"/>
      <c r="O170" s="112"/>
      <c r="P170" s="112"/>
      <c r="Q170" s="112"/>
      <c r="R170" s="112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</row>
    <row r="171" spans="2:29">
      <c r="B171" s="112"/>
      <c r="C171" s="112"/>
      <c r="D171" s="112"/>
      <c r="H171" s="112"/>
      <c r="I171" s="112"/>
      <c r="J171" s="112"/>
      <c r="K171" s="112"/>
      <c r="L171" s="112"/>
      <c r="M171" s="112"/>
      <c r="N171" s="112"/>
      <c r="O171" s="112"/>
      <c r="P171" s="112"/>
      <c r="Q171" s="112"/>
      <c r="R171" s="112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</row>
    <row r="172" spans="2:29">
      <c r="B172" s="112"/>
      <c r="C172" s="112"/>
      <c r="D172" s="112"/>
      <c r="H172" s="112"/>
      <c r="I172" s="112"/>
      <c r="J172" s="112"/>
      <c r="K172" s="112"/>
      <c r="L172" s="112"/>
      <c r="M172" s="112"/>
      <c r="N172" s="112"/>
      <c r="O172" s="112"/>
      <c r="P172" s="112"/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</row>
    <row r="173" spans="2:29">
      <c r="B173" s="112"/>
      <c r="C173" s="112"/>
      <c r="D173" s="112"/>
      <c r="H173" s="112"/>
      <c r="I173" s="112"/>
      <c r="J173" s="112"/>
      <c r="K173" s="112"/>
      <c r="L173" s="112"/>
      <c r="M173" s="112"/>
      <c r="N173" s="112"/>
      <c r="O173" s="112"/>
      <c r="P173" s="112"/>
      <c r="Q173" s="112"/>
      <c r="R173" s="112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</row>
    <row r="174" spans="2:29">
      <c r="B174" s="112"/>
      <c r="C174" s="112"/>
      <c r="D174" s="112"/>
      <c r="H174" s="112"/>
      <c r="I174" s="112"/>
      <c r="J174" s="112"/>
      <c r="K174" s="112"/>
      <c r="L174" s="112"/>
      <c r="M174" s="112"/>
      <c r="N174" s="112"/>
      <c r="O174" s="112"/>
      <c r="P174" s="112"/>
      <c r="Q174" s="112"/>
      <c r="R174" s="112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</row>
    <row r="175" spans="2:29">
      <c r="B175" s="112"/>
      <c r="C175" s="112"/>
      <c r="D175" s="112"/>
      <c r="H175" s="112"/>
      <c r="I175" s="112"/>
      <c r="J175" s="112"/>
      <c r="K175" s="112"/>
      <c r="L175" s="112"/>
      <c r="M175" s="112"/>
      <c r="N175" s="112"/>
      <c r="O175" s="112"/>
      <c r="P175" s="112"/>
      <c r="Q175" s="112"/>
      <c r="R175" s="112"/>
      <c r="S175" s="112"/>
      <c r="T175" s="112"/>
      <c r="U175" s="112"/>
      <c r="V175" s="112"/>
      <c r="W175" s="112"/>
      <c r="X175" s="112"/>
      <c r="Y175" s="112"/>
      <c r="Z175" s="112"/>
      <c r="AA175" s="112"/>
      <c r="AB175" s="112"/>
      <c r="AC175" s="112"/>
    </row>
    <row r="176" spans="2:29">
      <c r="B176" s="112"/>
      <c r="C176" s="112"/>
      <c r="D176" s="112"/>
      <c r="H176" s="112"/>
      <c r="I176" s="112"/>
      <c r="J176" s="112"/>
      <c r="K176" s="112"/>
      <c r="L176" s="112"/>
      <c r="M176" s="112"/>
      <c r="N176" s="112"/>
      <c r="O176" s="112"/>
      <c r="P176" s="112"/>
      <c r="Q176" s="112"/>
      <c r="R176" s="112"/>
      <c r="S176" s="112"/>
      <c r="T176" s="112"/>
      <c r="U176" s="112"/>
      <c r="V176" s="112"/>
      <c r="W176" s="112"/>
      <c r="X176" s="112"/>
      <c r="Y176" s="112"/>
      <c r="Z176" s="112"/>
      <c r="AA176" s="112"/>
      <c r="AB176" s="112"/>
      <c r="AC176" s="112"/>
    </row>
    <row r="177" spans="2:29">
      <c r="B177" s="112"/>
      <c r="C177" s="112"/>
      <c r="D177" s="112"/>
      <c r="H177" s="112"/>
      <c r="I177" s="112"/>
      <c r="J177" s="112"/>
      <c r="K177" s="112"/>
      <c r="L177" s="112"/>
      <c r="M177" s="112"/>
      <c r="N177" s="112"/>
      <c r="O177" s="112"/>
      <c r="P177" s="112"/>
      <c r="Q177" s="112"/>
      <c r="R177" s="112"/>
      <c r="S177" s="112"/>
      <c r="T177" s="112"/>
      <c r="U177" s="112"/>
      <c r="V177" s="112"/>
      <c r="W177" s="112"/>
      <c r="X177" s="112"/>
      <c r="Y177" s="112"/>
      <c r="Z177" s="112"/>
      <c r="AA177" s="112"/>
      <c r="AB177" s="112"/>
      <c r="AC177" s="112"/>
    </row>
    <row r="178" spans="2:29">
      <c r="B178" s="112"/>
      <c r="C178" s="112"/>
      <c r="D178" s="112"/>
      <c r="H178" s="112"/>
      <c r="I178" s="112"/>
      <c r="J178" s="112"/>
      <c r="K178" s="112"/>
      <c r="L178" s="112"/>
      <c r="M178" s="112"/>
      <c r="N178" s="112"/>
      <c r="O178" s="112"/>
      <c r="P178" s="112"/>
      <c r="Q178" s="112"/>
      <c r="R178" s="112"/>
      <c r="S178" s="112"/>
      <c r="T178" s="112"/>
      <c r="U178" s="112"/>
      <c r="V178" s="112"/>
      <c r="W178" s="112"/>
      <c r="X178" s="112"/>
      <c r="Y178" s="112"/>
      <c r="Z178" s="112"/>
      <c r="AA178" s="112"/>
      <c r="AB178" s="112"/>
      <c r="AC178" s="112"/>
    </row>
    <row r="179" spans="2:29">
      <c r="B179" s="112"/>
      <c r="C179" s="112"/>
      <c r="D179" s="112"/>
      <c r="H179" s="112"/>
      <c r="I179" s="112"/>
      <c r="J179" s="112"/>
      <c r="K179" s="112"/>
      <c r="L179" s="112"/>
      <c r="M179" s="112"/>
      <c r="N179" s="112"/>
      <c r="O179" s="112"/>
      <c r="P179" s="112"/>
      <c r="Q179" s="112"/>
      <c r="R179" s="112"/>
      <c r="S179" s="112"/>
      <c r="T179" s="112"/>
      <c r="U179" s="112"/>
      <c r="V179" s="112"/>
      <c r="W179" s="112"/>
      <c r="X179" s="112"/>
      <c r="Y179" s="112"/>
      <c r="Z179" s="112"/>
      <c r="AA179" s="112"/>
      <c r="AB179" s="112"/>
      <c r="AC179" s="112"/>
    </row>
    <row r="180" spans="2:29">
      <c r="B180" s="112"/>
      <c r="C180" s="112"/>
      <c r="D180" s="112"/>
      <c r="H180" s="112"/>
      <c r="I180" s="112"/>
      <c r="J180" s="112"/>
      <c r="K180" s="112"/>
      <c r="L180" s="112"/>
      <c r="M180" s="112"/>
      <c r="N180" s="112"/>
      <c r="O180" s="112"/>
      <c r="P180" s="112"/>
      <c r="Q180" s="112"/>
      <c r="R180" s="112"/>
      <c r="S180" s="112"/>
      <c r="T180" s="112"/>
      <c r="U180" s="112"/>
      <c r="V180" s="112"/>
      <c r="W180" s="112"/>
      <c r="X180" s="112"/>
      <c r="Y180" s="112"/>
      <c r="Z180" s="112"/>
      <c r="AA180" s="112"/>
      <c r="AB180" s="112"/>
      <c r="AC180" s="112"/>
    </row>
    <row r="181" spans="2:29">
      <c r="B181" s="112"/>
      <c r="C181" s="112"/>
      <c r="D181" s="112"/>
      <c r="H181" s="112"/>
      <c r="I181" s="112"/>
      <c r="J181" s="112"/>
      <c r="K181" s="112"/>
      <c r="L181" s="112"/>
      <c r="M181" s="112"/>
      <c r="N181" s="112"/>
      <c r="O181" s="112"/>
      <c r="P181" s="112"/>
      <c r="Q181" s="112"/>
      <c r="R181" s="112"/>
      <c r="S181" s="112"/>
      <c r="T181" s="112"/>
      <c r="U181" s="112"/>
      <c r="V181" s="112"/>
      <c r="W181" s="112"/>
      <c r="X181" s="112"/>
      <c r="Y181" s="112"/>
      <c r="Z181" s="112"/>
      <c r="AA181" s="112"/>
      <c r="AB181" s="112"/>
      <c r="AC181" s="112"/>
    </row>
    <row r="182" spans="2:29">
      <c r="B182" s="112"/>
      <c r="C182" s="112"/>
      <c r="D182" s="112"/>
      <c r="H182" s="112"/>
      <c r="I182" s="112"/>
      <c r="J182" s="112"/>
      <c r="K182" s="112"/>
      <c r="L182" s="112"/>
      <c r="M182" s="112"/>
      <c r="N182" s="112"/>
      <c r="O182" s="112"/>
      <c r="P182" s="112"/>
      <c r="Q182" s="112"/>
      <c r="R182" s="112"/>
      <c r="S182" s="112"/>
      <c r="T182" s="112"/>
      <c r="U182" s="112"/>
      <c r="V182" s="112"/>
      <c r="W182" s="112"/>
      <c r="X182" s="112"/>
      <c r="Y182" s="112"/>
      <c r="Z182" s="112"/>
      <c r="AA182" s="112"/>
      <c r="AB182" s="112"/>
      <c r="AC182" s="112"/>
    </row>
    <row r="183" spans="2:29">
      <c r="B183" s="112"/>
      <c r="C183" s="112"/>
      <c r="D183" s="112"/>
      <c r="H183" s="112"/>
      <c r="I183" s="112"/>
      <c r="J183" s="112"/>
      <c r="K183" s="112"/>
      <c r="L183" s="112"/>
      <c r="M183" s="112"/>
      <c r="N183" s="112"/>
      <c r="O183" s="112"/>
      <c r="P183" s="112"/>
      <c r="Q183" s="112"/>
      <c r="R183" s="112"/>
      <c r="S183" s="112"/>
      <c r="T183" s="112"/>
      <c r="U183" s="112"/>
      <c r="V183" s="112"/>
      <c r="W183" s="112"/>
      <c r="X183" s="112"/>
      <c r="Y183" s="112"/>
      <c r="Z183" s="112"/>
      <c r="AA183" s="112"/>
      <c r="AB183" s="112"/>
      <c r="AC183" s="112"/>
    </row>
    <row r="184" spans="2:29">
      <c r="B184" s="112"/>
      <c r="C184" s="112"/>
      <c r="D184" s="112"/>
      <c r="H184" s="112"/>
      <c r="I184" s="112"/>
      <c r="J184" s="112"/>
      <c r="K184" s="112"/>
      <c r="L184" s="112"/>
      <c r="M184" s="112"/>
      <c r="N184" s="112"/>
      <c r="O184" s="112"/>
      <c r="P184" s="112"/>
      <c r="Q184" s="112"/>
      <c r="R184" s="112"/>
      <c r="S184" s="112"/>
      <c r="T184" s="112"/>
      <c r="U184" s="112"/>
      <c r="V184" s="112"/>
      <c r="W184" s="112"/>
      <c r="X184" s="112"/>
      <c r="Y184" s="112"/>
      <c r="Z184" s="112"/>
      <c r="AA184" s="112"/>
      <c r="AB184" s="112"/>
      <c r="AC184" s="112"/>
    </row>
    <row r="185" spans="2:29">
      <c r="B185" s="112"/>
      <c r="C185" s="112"/>
      <c r="D185" s="112"/>
      <c r="H185" s="112"/>
      <c r="I185" s="112"/>
      <c r="J185" s="112"/>
      <c r="K185" s="112"/>
      <c r="L185" s="112"/>
      <c r="M185" s="112"/>
      <c r="N185" s="112"/>
      <c r="O185" s="112"/>
      <c r="P185" s="112"/>
      <c r="Q185" s="112"/>
      <c r="R185" s="112"/>
      <c r="S185" s="112"/>
      <c r="T185" s="112"/>
      <c r="U185" s="112"/>
      <c r="V185" s="112"/>
      <c r="W185" s="112"/>
      <c r="X185" s="112"/>
      <c r="Y185" s="112"/>
      <c r="Z185" s="112"/>
      <c r="AA185" s="112"/>
      <c r="AB185" s="112"/>
      <c r="AC185" s="112"/>
    </row>
    <row r="186" spans="2:29">
      <c r="B186" s="112"/>
      <c r="C186" s="112"/>
      <c r="D186" s="112"/>
      <c r="H186" s="112"/>
      <c r="I186" s="112"/>
      <c r="J186" s="112"/>
      <c r="K186" s="112"/>
      <c r="L186" s="112"/>
      <c r="M186" s="112"/>
      <c r="N186" s="112"/>
      <c r="O186" s="112"/>
      <c r="P186" s="112"/>
      <c r="Q186" s="112"/>
      <c r="R186" s="112"/>
      <c r="S186" s="112"/>
      <c r="T186" s="112"/>
      <c r="U186" s="112"/>
      <c r="V186" s="112"/>
      <c r="W186" s="112"/>
      <c r="X186" s="112"/>
      <c r="Y186" s="112"/>
      <c r="Z186" s="112"/>
      <c r="AA186" s="112"/>
      <c r="AB186" s="112"/>
      <c r="AC186" s="112"/>
    </row>
    <row r="187" spans="2:29">
      <c r="B187" s="112"/>
      <c r="C187" s="112"/>
      <c r="D187" s="112"/>
      <c r="H187" s="112"/>
      <c r="I187" s="112"/>
      <c r="J187" s="112"/>
      <c r="K187" s="112"/>
      <c r="L187" s="112"/>
      <c r="M187" s="112"/>
      <c r="N187" s="112"/>
      <c r="O187" s="112"/>
      <c r="P187" s="112"/>
      <c r="Q187" s="112"/>
      <c r="R187" s="112"/>
      <c r="S187" s="112"/>
      <c r="T187" s="112"/>
      <c r="U187" s="112"/>
      <c r="V187" s="112"/>
      <c r="W187" s="112"/>
      <c r="X187" s="112"/>
      <c r="Y187" s="112"/>
      <c r="Z187" s="112"/>
      <c r="AA187" s="112"/>
      <c r="AB187" s="112"/>
      <c r="AC187" s="112"/>
    </row>
    <row r="188" spans="2:29">
      <c r="B188" s="112"/>
      <c r="C188" s="112"/>
      <c r="D188" s="112"/>
      <c r="H188" s="112"/>
      <c r="I188" s="112"/>
      <c r="J188" s="112"/>
      <c r="K188" s="112"/>
      <c r="L188" s="112"/>
      <c r="M188" s="112"/>
      <c r="N188" s="112"/>
      <c r="O188" s="112"/>
      <c r="P188" s="112"/>
      <c r="Q188" s="112"/>
      <c r="R188" s="112"/>
      <c r="S188" s="112"/>
      <c r="T188" s="112"/>
      <c r="U188" s="112"/>
      <c r="V188" s="112"/>
      <c r="W188" s="112"/>
      <c r="X188" s="112"/>
      <c r="Y188" s="112"/>
      <c r="Z188" s="112"/>
      <c r="AA188" s="112"/>
      <c r="AB188" s="112"/>
      <c r="AC188" s="112"/>
    </row>
    <row r="189" spans="2:29">
      <c r="B189" s="112"/>
      <c r="C189" s="112"/>
      <c r="D189" s="112"/>
      <c r="H189" s="112"/>
      <c r="I189" s="112"/>
      <c r="J189" s="112"/>
      <c r="K189" s="112"/>
      <c r="L189" s="112"/>
      <c r="M189" s="112"/>
      <c r="N189" s="112"/>
      <c r="O189" s="112"/>
      <c r="P189" s="112"/>
      <c r="Q189" s="112"/>
      <c r="R189" s="112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</row>
    <row r="190" spans="2:29">
      <c r="B190" s="112"/>
      <c r="C190" s="112"/>
      <c r="D190" s="112"/>
      <c r="H190" s="112"/>
      <c r="I190" s="112"/>
      <c r="J190" s="112"/>
      <c r="K190" s="112"/>
      <c r="L190" s="112"/>
      <c r="M190" s="112"/>
      <c r="N190" s="112"/>
      <c r="O190" s="112"/>
      <c r="P190" s="112"/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</row>
    <row r="191" spans="2:29">
      <c r="B191" s="112"/>
      <c r="C191" s="112"/>
      <c r="D191" s="112"/>
      <c r="H191" s="112"/>
      <c r="I191" s="112"/>
      <c r="J191" s="112"/>
      <c r="K191" s="112"/>
      <c r="L191" s="112"/>
      <c r="M191" s="112"/>
      <c r="N191" s="112"/>
      <c r="O191" s="112"/>
      <c r="P191" s="112"/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</row>
    <row r="192" spans="2:29">
      <c r="B192" s="112"/>
      <c r="C192" s="112"/>
      <c r="D192" s="112"/>
      <c r="H192" s="112"/>
      <c r="I192" s="112"/>
      <c r="J192" s="112"/>
      <c r="K192" s="112"/>
      <c r="L192" s="112"/>
      <c r="M192" s="112"/>
      <c r="N192" s="112"/>
      <c r="O192" s="112"/>
      <c r="P192" s="112"/>
      <c r="Q192" s="112"/>
      <c r="R192" s="112"/>
      <c r="S192" s="112"/>
      <c r="T192" s="112"/>
      <c r="U192" s="112"/>
      <c r="V192" s="112"/>
      <c r="W192" s="112"/>
      <c r="X192" s="112"/>
      <c r="Y192" s="112"/>
      <c r="Z192" s="112"/>
      <c r="AA192" s="112"/>
      <c r="AB192" s="112"/>
      <c r="AC192" s="112"/>
    </row>
    <row r="193" spans="2:29">
      <c r="B193" s="112"/>
      <c r="C193" s="112"/>
      <c r="D193" s="112"/>
      <c r="H193" s="112"/>
      <c r="I193" s="112"/>
      <c r="J193" s="112"/>
      <c r="K193" s="112"/>
      <c r="L193" s="112"/>
      <c r="M193" s="112"/>
      <c r="N193" s="112"/>
      <c r="O193" s="112"/>
      <c r="P193" s="112"/>
      <c r="Q193" s="112"/>
      <c r="R193" s="112"/>
      <c r="S193" s="112"/>
      <c r="T193" s="112"/>
      <c r="U193" s="112"/>
      <c r="V193" s="112"/>
      <c r="W193" s="112"/>
      <c r="X193" s="112"/>
      <c r="Y193" s="112"/>
      <c r="Z193" s="112"/>
      <c r="AA193" s="112"/>
      <c r="AB193" s="112"/>
      <c r="AC193" s="112"/>
    </row>
    <row r="194" spans="2:29">
      <c r="B194" s="112"/>
      <c r="C194" s="112"/>
      <c r="D194" s="112"/>
      <c r="H194" s="112"/>
      <c r="I194" s="112"/>
      <c r="J194" s="112"/>
      <c r="K194" s="112"/>
      <c r="L194" s="112"/>
      <c r="M194" s="112"/>
      <c r="N194" s="112"/>
      <c r="O194" s="112"/>
      <c r="P194" s="112"/>
      <c r="Q194" s="112"/>
      <c r="R194" s="112"/>
      <c r="S194" s="112"/>
      <c r="T194" s="112"/>
      <c r="U194" s="112"/>
      <c r="V194" s="112"/>
      <c r="W194" s="112"/>
      <c r="X194" s="112"/>
      <c r="Y194" s="112"/>
      <c r="Z194" s="112"/>
      <c r="AA194" s="112"/>
      <c r="AB194" s="112"/>
      <c r="AC194" s="112"/>
    </row>
    <row r="195" spans="2:29">
      <c r="B195" s="112"/>
      <c r="C195" s="112"/>
      <c r="D195" s="112"/>
      <c r="H195" s="112"/>
      <c r="I195" s="112"/>
      <c r="J195" s="112"/>
      <c r="K195" s="112"/>
      <c r="L195" s="112"/>
      <c r="M195" s="112"/>
      <c r="N195" s="112"/>
      <c r="O195" s="112"/>
      <c r="P195" s="112"/>
      <c r="Q195" s="112"/>
      <c r="R195" s="112"/>
      <c r="S195" s="112"/>
      <c r="T195" s="112"/>
      <c r="U195" s="112"/>
      <c r="V195" s="112"/>
      <c r="W195" s="112"/>
      <c r="X195" s="112"/>
      <c r="Y195" s="112"/>
      <c r="Z195" s="112"/>
      <c r="AA195" s="112"/>
      <c r="AB195" s="112"/>
      <c r="AC195" s="112"/>
    </row>
    <row r="196" spans="2:29">
      <c r="B196" s="112"/>
      <c r="C196" s="112"/>
      <c r="D196" s="112"/>
      <c r="H196" s="112"/>
      <c r="I196" s="112"/>
      <c r="J196" s="112"/>
      <c r="K196" s="112"/>
      <c r="L196" s="112"/>
      <c r="M196" s="112"/>
      <c r="N196" s="112"/>
      <c r="O196" s="112"/>
      <c r="P196" s="112"/>
      <c r="Q196" s="112"/>
      <c r="R196" s="112"/>
      <c r="S196" s="112"/>
      <c r="T196" s="112"/>
      <c r="U196" s="112"/>
      <c r="V196" s="112"/>
      <c r="W196" s="112"/>
      <c r="X196" s="112"/>
      <c r="Y196" s="112"/>
      <c r="Z196" s="112"/>
      <c r="AA196" s="112"/>
      <c r="AB196" s="112"/>
      <c r="AC196" s="112"/>
    </row>
    <row r="197" spans="2:29">
      <c r="B197" s="112"/>
      <c r="C197" s="112"/>
      <c r="D197" s="112"/>
      <c r="H197" s="112"/>
      <c r="I197" s="112"/>
      <c r="J197" s="112"/>
      <c r="K197" s="112"/>
      <c r="L197" s="112"/>
      <c r="M197" s="112"/>
      <c r="N197" s="112"/>
      <c r="O197" s="112"/>
      <c r="P197" s="112"/>
      <c r="Q197" s="112"/>
      <c r="R197" s="112"/>
      <c r="S197" s="112"/>
      <c r="T197" s="112"/>
      <c r="U197" s="112"/>
      <c r="V197" s="112"/>
      <c r="W197" s="112"/>
      <c r="X197" s="112"/>
      <c r="Y197" s="112"/>
      <c r="Z197" s="112"/>
      <c r="AA197" s="112"/>
      <c r="AB197" s="112"/>
      <c r="AC197" s="112"/>
    </row>
    <row r="198" spans="2:29">
      <c r="B198" s="112"/>
      <c r="C198" s="112"/>
      <c r="D198" s="112"/>
      <c r="H198" s="112"/>
      <c r="I198" s="112"/>
      <c r="J198" s="112"/>
      <c r="K198" s="112"/>
      <c r="L198" s="112"/>
      <c r="M198" s="112"/>
      <c r="N198" s="112"/>
      <c r="O198" s="112"/>
      <c r="P198" s="112"/>
      <c r="Q198" s="112"/>
      <c r="R198" s="112"/>
      <c r="S198" s="112"/>
      <c r="T198" s="112"/>
      <c r="U198" s="112"/>
      <c r="V198" s="112"/>
      <c r="W198" s="112"/>
      <c r="X198" s="112"/>
      <c r="Y198" s="112"/>
      <c r="Z198" s="112"/>
      <c r="AA198" s="112"/>
      <c r="AB198" s="112"/>
      <c r="AC198" s="112"/>
    </row>
    <row r="199" spans="2:29">
      <c r="B199" s="112"/>
      <c r="C199" s="112"/>
      <c r="D199" s="112"/>
      <c r="H199" s="112"/>
      <c r="I199" s="112"/>
      <c r="J199" s="112"/>
      <c r="K199" s="112"/>
      <c r="L199" s="112"/>
      <c r="M199" s="112"/>
      <c r="N199" s="112"/>
      <c r="O199" s="112"/>
      <c r="P199" s="112"/>
      <c r="Q199" s="112"/>
      <c r="R199" s="112"/>
      <c r="S199" s="112"/>
      <c r="T199" s="112"/>
      <c r="U199" s="112"/>
      <c r="V199" s="112"/>
      <c r="W199" s="112"/>
      <c r="X199" s="112"/>
      <c r="Y199" s="112"/>
      <c r="Z199" s="112"/>
      <c r="AA199" s="112"/>
      <c r="AB199" s="112"/>
      <c r="AC199" s="112"/>
    </row>
    <row r="200" spans="2:29">
      <c r="B200" s="112"/>
      <c r="C200" s="112"/>
      <c r="D200" s="112"/>
      <c r="H200" s="112"/>
      <c r="I200" s="112"/>
      <c r="J200" s="112"/>
      <c r="K200" s="112"/>
      <c r="L200" s="112"/>
      <c r="M200" s="112"/>
      <c r="N200" s="112"/>
      <c r="O200" s="112"/>
      <c r="P200" s="112"/>
      <c r="Q200" s="112"/>
      <c r="R200" s="112"/>
      <c r="S200" s="112"/>
      <c r="T200" s="112"/>
      <c r="U200" s="112"/>
      <c r="V200" s="112"/>
      <c r="W200" s="112"/>
      <c r="X200" s="112"/>
      <c r="Y200" s="112"/>
      <c r="Z200" s="112"/>
      <c r="AA200" s="112"/>
      <c r="AB200" s="112"/>
      <c r="AC200" s="112"/>
    </row>
    <row r="201" spans="2:29">
      <c r="B201" s="112"/>
      <c r="C201" s="112"/>
      <c r="D201" s="112"/>
      <c r="H201" s="112"/>
      <c r="I201" s="112"/>
      <c r="J201" s="112"/>
      <c r="K201" s="112"/>
      <c r="L201" s="112"/>
      <c r="M201" s="112"/>
      <c r="N201" s="112"/>
      <c r="O201" s="112"/>
      <c r="P201" s="112"/>
      <c r="Q201" s="112"/>
      <c r="R201" s="112"/>
      <c r="S201" s="112"/>
      <c r="T201" s="112"/>
      <c r="U201" s="112"/>
      <c r="V201" s="112"/>
      <c r="W201" s="112"/>
      <c r="X201" s="112"/>
      <c r="Y201" s="112"/>
      <c r="Z201" s="112"/>
      <c r="AA201" s="112"/>
      <c r="AB201" s="112"/>
      <c r="AC201" s="112"/>
    </row>
    <row r="202" spans="2:29">
      <c r="B202" s="112"/>
      <c r="C202" s="112"/>
      <c r="D202" s="112"/>
      <c r="H202" s="112"/>
      <c r="I202" s="112"/>
      <c r="J202" s="112"/>
      <c r="K202" s="112"/>
      <c r="L202" s="112"/>
      <c r="M202" s="112"/>
      <c r="N202" s="112"/>
      <c r="O202" s="112"/>
      <c r="P202" s="112"/>
      <c r="Q202" s="112"/>
      <c r="R202" s="112"/>
      <c r="S202" s="112"/>
      <c r="T202" s="112"/>
      <c r="U202" s="112"/>
      <c r="V202" s="112"/>
      <c r="W202" s="112"/>
      <c r="X202" s="112"/>
      <c r="Y202" s="112"/>
      <c r="Z202" s="112"/>
      <c r="AA202" s="112"/>
      <c r="AB202" s="112"/>
      <c r="AC202" s="112"/>
    </row>
    <row r="203" spans="2:29">
      <c r="B203" s="112"/>
      <c r="C203" s="112"/>
      <c r="D203" s="112"/>
      <c r="H203" s="112"/>
      <c r="I203" s="112"/>
      <c r="J203" s="112"/>
      <c r="K203" s="112"/>
      <c r="L203" s="112"/>
      <c r="M203" s="112"/>
      <c r="N203" s="112"/>
      <c r="O203" s="112"/>
      <c r="P203" s="112"/>
      <c r="Q203" s="112"/>
      <c r="R203" s="112"/>
      <c r="S203" s="112"/>
      <c r="T203" s="112"/>
      <c r="U203" s="112"/>
      <c r="V203" s="112"/>
      <c r="W203" s="112"/>
      <c r="X203" s="112"/>
      <c r="Y203" s="112"/>
      <c r="Z203" s="112"/>
      <c r="AA203" s="112"/>
      <c r="AB203" s="112"/>
      <c r="AC203" s="112"/>
    </row>
    <row r="204" spans="2:29">
      <c r="B204" s="112"/>
      <c r="C204" s="112"/>
      <c r="D204" s="112"/>
      <c r="H204" s="112"/>
      <c r="I204" s="112"/>
      <c r="J204" s="112"/>
      <c r="K204" s="112"/>
      <c r="L204" s="112"/>
      <c r="M204" s="112"/>
      <c r="N204" s="112"/>
      <c r="O204" s="112"/>
      <c r="P204" s="112"/>
      <c r="Q204" s="112"/>
      <c r="R204" s="112"/>
      <c r="S204" s="112"/>
      <c r="T204" s="112"/>
      <c r="U204" s="112"/>
      <c r="V204" s="112"/>
      <c r="W204" s="112"/>
      <c r="X204" s="112"/>
      <c r="Y204" s="112"/>
      <c r="Z204" s="112"/>
      <c r="AA204" s="112"/>
      <c r="AB204" s="112"/>
      <c r="AC204" s="112"/>
    </row>
    <row r="205" spans="2:29">
      <c r="B205" s="112"/>
      <c r="C205" s="112"/>
      <c r="D205" s="112"/>
      <c r="H205" s="112"/>
      <c r="I205" s="112"/>
      <c r="J205" s="112"/>
      <c r="K205" s="112"/>
      <c r="L205" s="112"/>
      <c r="M205" s="112"/>
      <c r="N205" s="112"/>
      <c r="O205" s="112"/>
      <c r="P205" s="112"/>
      <c r="Q205" s="112"/>
      <c r="R205" s="112"/>
      <c r="S205" s="112"/>
      <c r="T205" s="112"/>
      <c r="U205" s="112"/>
      <c r="V205" s="112"/>
      <c r="W205" s="112"/>
      <c r="X205" s="112"/>
      <c r="Y205" s="112"/>
      <c r="Z205" s="112"/>
      <c r="AA205" s="112"/>
      <c r="AB205" s="112"/>
      <c r="AC205" s="112"/>
    </row>
    <row r="206" spans="2:29">
      <c r="B206" s="112"/>
      <c r="C206" s="112"/>
      <c r="D206" s="112"/>
      <c r="H206" s="112"/>
      <c r="I206" s="112"/>
      <c r="J206" s="112"/>
      <c r="K206" s="112"/>
      <c r="L206" s="112"/>
      <c r="M206" s="112"/>
      <c r="N206" s="112"/>
      <c r="O206" s="112"/>
      <c r="P206" s="112"/>
      <c r="Q206" s="112"/>
      <c r="R206" s="112"/>
      <c r="S206" s="112"/>
      <c r="T206" s="112"/>
      <c r="U206" s="112"/>
      <c r="V206" s="112"/>
      <c r="W206" s="112"/>
      <c r="X206" s="112"/>
      <c r="Y206" s="112"/>
      <c r="Z206" s="112"/>
      <c r="AA206" s="112"/>
      <c r="AB206" s="112"/>
      <c r="AC206" s="112"/>
    </row>
    <row r="207" spans="2:29">
      <c r="B207" s="112"/>
      <c r="C207" s="112"/>
      <c r="D207" s="112"/>
      <c r="H207" s="112"/>
      <c r="I207" s="112"/>
      <c r="J207" s="112"/>
      <c r="K207" s="112"/>
      <c r="L207" s="112"/>
      <c r="M207" s="112"/>
      <c r="N207" s="112"/>
      <c r="O207" s="112"/>
      <c r="P207" s="112"/>
      <c r="Q207" s="112"/>
      <c r="R207" s="112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</row>
    <row r="208" spans="2:29">
      <c r="B208" s="112"/>
      <c r="C208" s="112"/>
      <c r="D208" s="112"/>
      <c r="H208" s="112"/>
      <c r="I208" s="112"/>
      <c r="J208" s="112"/>
      <c r="K208" s="112"/>
      <c r="L208" s="112"/>
      <c r="M208" s="112"/>
      <c r="N208" s="112"/>
      <c r="O208" s="112"/>
      <c r="P208" s="112"/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  <c r="AB208" s="112"/>
      <c r="AC208" s="112"/>
    </row>
    <row r="209" spans="2:29">
      <c r="B209" s="112"/>
      <c r="C209" s="112"/>
      <c r="D209" s="112"/>
      <c r="H209" s="112"/>
      <c r="I209" s="112"/>
      <c r="J209" s="112"/>
      <c r="K209" s="112"/>
      <c r="L209" s="112"/>
      <c r="M209" s="112"/>
      <c r="N209" s="112"/>
      <c r="O209" s="112"/>
      <c r="P209" s="112"/>
      <c r="Q209" s="112"/>
      <c r="R209" s="112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</row>
    <row r="210" spans="2:29">
      <c r="B210" s="112"/>
      <c r="C210" s="112"/>
      <c r="D210" s="112"/>
      <c r="H210" s="112"/>
      <c r="I210" s="112"/>
      <c r="J210" s="112"/>
      <c r="K210" s="112"/>
      <c r="L210" s="112"/>
      <c r="M210" s="112"/>
      <c r="N210" s="112"/>
      <c r="O210" s="112"/>
      <c r="P210" s="112"/>
      <c r="Q210" s="112"/>
      <c r="R210" s="112"/>
      <c r="S210" s="112"/>
      <c r="T210" s="112"/>
      <c r="U210" s="112"/>
      <c r="V210" s="112"/>
      <c r="W210" s="112"/>
      <c r="X210" s="112"/>
      <c r="Y210" s="112"/>
      <c r="Z210" s="112"/>
      <c r="AA210" s="112"/>
      <c r="AB210" s="112"/>
      <c r="AC210" s="112"/>
    </row>
    <row r="211" spans="2:29">
      <c r="B211" s="112"/>
      <c r="C211" s="112"/>
      <c r="D211" s="112"/>
      <c r="H211" s="112"/>
      <c r="I211" s="112"/>
      <c r="J211" s="112"/>
      <c r="K211" s="112"/>
      <c r="L211" s="112"/>
      <c r="M211" s="112"/>
      <c r="N211" s="112"/>
      <c r="O211" s="112"/>
      <c r="P211" s="112"/>
      <c r="Q211" s="112"/>
      <c r="R211" s="112"/>
      <c r="S211" s="112"/>
      <c r="T211" s="112"/>
      <c r="U211" s="112"/>
      <c r="V211" s="112"/>
      <c r="W211" s="112"/>
      <c r="X211" s="112"/>
      <c r="Y211" s="112"/>
      <c r="Z211" s="112"/>
      <c r="AA211" s="112"/>
      <c r="AB211" s="112"/>
      <c r="AC211" s="112"/>
    </row>
    <row r="212" spans="2:29">
      <c r="B212" s="112"/>
      <c r="C212" s="112"/>
      <c r="D212" s="112"/>
      <c r="H212" s="112"/>
      <c r="I212" s="112"/>
      <c r="J212" s="112"/>
      <c r="K212" s="112"/>
      <c r="L212" s="112"/>
      <c r="M212" s="112"/>
      <c r="N212" s="112"/>
      <c r="O212" s="112"/>
      <c r="P212" s="112"/>
      <c r="Q212" s="112"/>
      <c r="R212" s="112"/>
      <c r="S212" s="112"/>
      <c r="T212" s="112"/>
      <c r="U212" s="112"/>
      <c r="V212" s="112"/>
      <c r="W212" s="112"/>
      <c r="X212" s="112"/>
      <c r="Y212" s="112"/>
      <c r="Z212" s="112"/>
      <c r="AA212" s="112"/>
      <c r="AB212" s="112"/>
      <c r="AC212" s="112"/>
    </row>
    <row r="213" spans="2:29">
      <c r="B213" s="112"/>
      <c r="C213" s="112"/>
      <c r="D213" s="112"/>
      <c r="H213" s="112"/>
      <c r="I213" s="112"/>
      <c r="J213" s="112"/>
      <c r="K213" s="112"/>
      <c r="L213" s="112"/>
      <c r="M213" s="112"/>
      <c r="N213" s="112"/>
      <c r="O213" s="112"/>
      <c r="P213" s="112"/>
      <c r="Q213" s="112"/>
      <c r="R213" s="112"/>
      <c r="S213" s="112"/>
      <c r="T213" s="112"/>
      <c r="U213" s="112"/>
      <c r="V213" s="112"/>
      <c r="W213" s="112"/>
      <c r="X213" s="112"/>
      <c r="Y213" s="112"/>
      <c r="Z213" s="112"/>
      <c r="AA213" s="112"/>
      <c r="AB213" s="112"/>
      <c r="AC213" s="112"/>
    </row>
    <row r="214" spans="2:29">
      <c r="B214" s="112"/>
      <c r="C214" s="112"/>
      <c r="D214" s="112"/>
      <c r="H214" s="112"/>
      <c r="I214" s="112"/>
      <c r="J214" s="112"/>
      <c r="K214" s="112"/>
      <c r="L214" s="112"/>
      <c r="M214" s="112"/>
      <c r="N214" s="112"/>
      <c r="O214" s="112"/>
      <c r="P214" s="112"/>
      <c r="Q214" s="112"/>
      <c r="R214" s="112"/>
      <c r="S214" s="112"/>
      <c r="T214" s="112"/>
      <c r="U214" s="112"/>
      <c r="V214" s="112"/>
      <c r="W214" s="112"/>
      <c r="X214" s="112"/>
      <c r="Y214" s="112"/>
      <c r="Z214" s="112"/>
      <c r="AA214" s="112"/>
      <c r="AB214" s="112"/>
      <c r="AC214" s="112"/>
    </row>
    <row r="215" spans="2:29">
      <c r="B215" s="112"/>
      <c r="C215" s="112"/>
      <c r="D215" s="112"/>
      <c r="H215" s="112"/>
      <c r="I215" s="112"/>
      <c r="J215" s="112"/>
      <c r="K215" s="112"/>
      <c r="L215" s="112"/>
      <c r="M215" s="112"/>
      <c r="N215" s="112"/>
      <c r="O215" s="112"/>
      <c r="P215" s="112"/>
      <c r="Q215" s="112"/>
      <c r="R215" s="112"/>
      <c r="S215" s="112"/>
      <c r="T215" s="112"/>
      <c r="U215" s="112"/>
      <c r="V215" s="112"/>
      <c r="W215" s="112"/>
      <c r="X215" s="112"/>
      <c r="Y215" s="112"/>
      <c r="Z215" s="112"/>
      <c r="AA215" s="112"/>
      <c r="AB215" s="112"/>
      <c r="AC215" s="112"/>
    </row>
    <row r="216" spans="2:29">
      <c r="B216" s="112"/>
      <c r="C216" s="112"/>
      <c r="D216" s="112"/>
      <c r="H216" s="112"/>
      <c r="I216" s="112"/>
      <c r="J216" s="112"/>
      <c r="K216" s="112"/>
      <c r="L216" s="112"/>
      <c r="M216" s="112"/>
      <c r="N216" s="112"/>
      <c r="O216" s="112"/>
      <c r="P216" s="112"/>
      <c r="Q216" s="112"/>
      <c r="R216" s="112"/>
      <c r="S216" s="112"/>
      <c r="T216" s="112"/>
      <c r="U216" s="112"/>
      <c r="V216" s="112"/>
      <c r="W216" s="112"/>
      <c r="X216" s="112"/>
      <c r="Y216" s="112"/>
      <c r="Z216" s="112"/>
      <c r="AA216" s="112"/>
      <c r="AB216" s="112"/>
      <c r="AC216" s="112"/>
    </row>
    <row r="217" spans="2:29">
      <c r="B217" s="112"/>
      <c r="C217" s="112"/>
      <c r="D217" s="112"/>
      <c r="H217" s="112"/>
      <c r="I217" s="112"/>
      <c r="J217" s="112"/>
      <c r="K217" s="112"/>
      <c r="L217" s="112"/>
      <c r="M217" s="112"/>
      <c r="N217" s="112"/>
      <c r="O217" s="112"/>
      <c r="P217" s="112"/>
      <c r="Q217" s="112"/>
      <c r="R217" s="112"/>
      <c r="S217" s="112"/>
      <c r="T217" s="112"/>
      <c r="U217" s="112"/>
      <c r="V217" s="112"/>
      <c r="W217" s="112"/>
      <c r="X217" s="112"/>
      <c r="Y217" s="112"/>
      <c r="Z217" s="112"/>
      <c r="AA217" s="112"/>
      <c r="AB217" s="112"/>
      <c r="AC217" s="112"/>
    </row>
    <row r="218" spans="2:29">
      <c r="B218" s="112"/>
      <c r="C218" s="112"/>
      <c r="D218" s="112"/>
      <c r="H218" s="112"/>
      <c r="I218" s="112"/>
      <c r="J218" s="112"/>
      <c r="K218" s="112"/>
      <c r="L218" s="112"/>
      <c r="M218" s="112"/>
      <c r="N218" s="112"/>
      <c r="O218" s="112"/>
      <c r="P218" s="112"/>
      <c r="Q218" s="112"/>
      <c r="R218" s="112"/>
      <c r="S218" s="112"/>
      <c r="T218" s="112"/>
      <c r="U218" s="112"/>
      <c r="V218" s="112"/>
      <c r="W218" s="112"/>
      <c r="X218" s="112"/>
      <c r="Y218" s="112"/>
      <c r="Z218" s="112"/>
      <c r="AA218" s="112"/>
      <c r="AB218" s="112"/>
      <c r="AC218" s="112"/>
    </row>
    <row r="219" spans="2:29">
      <c r="B219" s="112"/>
      <c r="C219" s="112"/>
      <c r="D219" s="112"/>
      <c r="H219" s="112"/>
      <c r="I219" s="112"/>
      <c r="J219" s="112"/>
      <c r="K219" s="112"/>
      <c r="L219" s="112"/>
      <c r="M219" s="112"/>
      <c r="N219" s="112"/>
      <c r="O219" s="112"/>
      <c r="P219" s="112"/>
      <c r="Q219" s="112"/>
      <c r="R219" s="112"/>
      <c r="S219" s="112"/>
      <c r="T219" s="112"/>
      <c r="U219" s="112"/>
      <c r="V219" s="112"/>
      <c r="W219" s="112"/>
      <c r="X219" s="112"/>
      <c r="Y219" s="112"/>
      <c r="Z219" s="112"/>
      <c r="AA219" s="112"/>
      <c r="AB219" s="112"/>
      <c r="AC219" s="112"/>
    </row>
    <row r="220" spans="2:29">
      <c r="B220" s="112"/>
      <c r="C220" s="112"/>
      <c r="D220" s="112"/>
      <c r="H220" s="112"/>
      <c r="I220" s="112"/>
      <c r="J220" s="112"/>
      <c r="K220" s="112"/>
      <c r="L220" s="112"/>
      <c r="M220" s="112"/>
      <c r="N220" s="112"/>
      <c r="O220" s="112"/>
      <c r="P220" s="112"/>
      <c r="Q220" s="112"/>
      <c r="R220" s="112"/>
      <c r="S220" s="112"/>
      <c r="T220" s="112"/>
      <c r="U220" s="112"/>
      <c r="V220" s="112"/>
      <c r="W220" s="112"/>
      <c r="X220" s="112"/>
      <c r="Y220" s="112"/>
      <c r="Z220" s="112"/>
      <c r="AA220" s="112"/>
      <c r="AB220" s="112"/>
      <c r="AC220" s="112"/>
    </row>
    <row r="221" spans="2:29">
      <c r="B221" s="112"/>
      <c r="C221" s="112"/>
      <c r="D221" s="112"/>
      <c r="H221" s="112"/>
      <c r="I221" s="112"/>
      <c r="J221" s="112"/>
      <c r="K221" s="112"/>
      <c r="L221" s="112"/>
      <c r="M221" s="112"/>
      <c r="N221" s="112"/>
      <c r="O221" s="112"/>
      <c r="P221" s="112"/>
      <c r="Q221" s="112"/>
      <c r="R221" s="112"/>
      <c r="S221" s="112"/>
      <c r="T221" s="112"/>
      <c r="U221" s="112"/>
      <c r="V221" s="112"/>
      <c r="W221" s="112"/>
      <c r="X221" s="112"/>
      <c r="Y221" s="112"/>
      <c r="Z221" s="112"/>
      <c r="AA221" s="112"/>
      <c r="AB221" s="112"/>
      <c r="AC221" s="112"/>
    </row>
    <row r="222" spans="2:29">
      <c r="B222" s="112"/>
      <c r="C222" s="112"/>
      <c r="D222" s="112"/>
      <c r="H222" s="112"/>
      <c r="I222" s="112"/>
      <c r="J222" s="112"/>
      <c r="K222" s="112"/>
      <c r="L222" s="112"/>
      <c r="M222" s="112"/>
      <c r="N222" s="112"/>
      <c r="O222" s="112"/>
      <c r="P222" s="112"/>
      <c r="Q222" s="112"/>
      <c r="R222" s="112"/>
      <c r="S222" s="112"/>
      <c r="T222" s="112"/>
      <c r="U222" s="112"/>
      <c r="V222" s="112"/>
      <c r="W222" s="112"/>
      <c r="X222" s="112"/>
      <c r="Y222" s="112"/>
      <c r="Z222" s="112"/>
      <c r="AA222" s="112"/>
      <c r="AB222" s="112"/>
      <c r="AC222" s="112"/>
    </row>
    <row r="223" spans="2:29">
      <c r="B223" s="112"/>
      <c r="C223" s="112"/>
      <c r="D223" s="112"/>
      <c r="H223" s="112"/>
      <c r="I223" s="112"/>
      <c r="J223" s="112"/>
      <c r="K223" s="112"/>
      <c r="L223" s="112"/>
      <c r="M223" s="112"/>
      <c r="N223" s="112"/>
      <c r="O223" s="112"/>
      <c r="P223" s="112"/>
      <c r="Q223" s="112"/>
      <c r="R223" s="112"/>
      <c r="S223" s="112"/>
      <c r="T223" s="112"/>
      <c r="U223" s="112"/>
      <c r="V223" s="112"/>
      <c r="W223" s="112"/>
      <c r="X223" s="112"/>
      <c r="Y223" s="112"/>
      <c r="Z223" s="112"/>
      <c r="AA223" s="112"/>
      <c r="AB223" s="112"/>
      <c r="AC223" s="112"/>
    </row>
    <row r="224" spans="2:29">
      <c r="B224" s="112"/>
      <c r="C224" s="112"/>
      <c r="D224" s="112"/>
      <c r="H224" s="112"/>
      <c r="I224" s="112"/>
      <c r="J224" s="112"/>
      <c r="K224" s="112"/>
      <c r="L224" s="112"/>
      <c r="M224" s="112"/>
      <c r="N224" s="112"/>
      <c r="O224" s="112"/>
      <c r="P224" s="112"/>
      <c r="Q224" s="112"/>
      <c r="R224" s="112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</row>
    <row r="225" spans="2:29">
      <c r="B225" s="112"/>
      <c r="C225" s="112"/>
      <c r="D225" s="112"/>
      <c r="H225" s="112"/>
      <c r="I225" s="112"/>
      <c r="J225" s="112"/>
      <c r="K225" s="112"/>
      <c r="L225" s="112"/>
      <c r="M225" s="112"/>
      <c r="N225" s="112"/>
      <c r="O225" s="112"/>
      <c r="P225" s="112"/>
      <c r="Q225" s="112"/>
      <c r="R225" s="112"/>
      <c r="S225" s="112"/>
      <c r="T225" s="112"/>
      <c r="U225" s="112"/>
      <c r="V225" s="112"/>
      <c r="W225" s="112"/>
      <c r="X225" s="112"/>
      <c r="Y225" s="112"/>
      <c r="Z225" s="112"/>
      <c r="AA225" s="112"/>
      <c r="AB225" s="112"/>
      <c r="AC225" s="112"/>
    </row>
    <row r="226" spans="2:29">
      <c r="B226" s="112"/>
      <c r="C226" s="112"/>
      <c r="D226" s="112"/>
      <c r="H226" s="112"/>
      <c r="I226" s="112"/>
      <c r="J226" s="112"/>
      <c r="K226" s="112"/>
      <c r="L226" s="112"/>
      <c r="M226" s="112"/>
      <c r="N226" s="112"/>
      <c r="O226" s="112"/>
      <c r="P226" s="112"/>
      <c r="Q226" s="112"/>
      <c r="R226" s="112"/>
      <c r="S226" s="112"/>
      <c r="T226" s="112"/>
      <c r="U226" s="112"/>
      <c r="V226" s="112"/>
      <c r="W226" s="112"/>
      <c r="X226" s="112"/>
      <c r="Y226" s="112"/>
      <c r="Z226" s="112"/>
      <c r="AA226" s="112"/>
      <c r="AB226" s="112"/>
      <c r="AC226" s="112"/>
    </row>
    <row r="227" spans="2:29">
      <c r="B227" s="112"/>
      <c r="C227" s="112"/>
      <c r="D227" s="112"/>
      <c r="H227" s="112"/>
      <c r="I227" s="112"/>
      <c r="J227" s="112"/>
      <c r="K227" s="112"/>
      <c r="L227" s="112"/>
      <c r="M227" s="112"/>
      <c r="N227" s="112"/>
      <c r="O227" s="112"/>
      <c r="P227" s="112"/>
      <c r="Q227" s="112"/>
      <c r="R227" s="112"/>
      <c r="S227" s="112"/>
      <c r="T227" s="112"/>
      <c r="U227" s="112"/>
      <c r="V227" s="112"/>
      <c r="W227" s="112"/>
      <c r="X227" s="112"/>
      <c r="Y227" s="112"/>
      <c r="Z227" s="112"/>
      <c r="AA227" s="112"/>
      <c r="AB227" s="112"/>
      <c r="AC227" s="112"/>
    </row>
    <row r="228" spans="2:29">
      <c r="B228" s="112"/>
      <c r="C228" s="112"/>
      <c r="D228" s="112"/>
      <c r="H228" s="112"/>
      <c r="I228" s="112"/>
      <c r="J228" s="112"/>
      <c r="K228" s="112"/>
      <c r="L228" s="112"/>
      <c r="M228" s="112"/>
      <c r="N228" s="112"/>
      <c r="O228" s="112"/>
      <c r="P228" s="112"/>
      <c r="Q228" s="112"/>
      <c r="R228" s="112"/>
      <c r="S228" s="112"/>
      <c r="T228" s="112"/>
      <c r="U228" s="112"/>
      <c r="V228" s="112"/>
      <c r="W228" s="112"/>
      <c r="X228" s="112"/>
      <c r="Y228" s="112"/>
      <c r="Z228" s="112"/>
      <c r="AA228" s="112"/>
      <c r="AB228" s="112"/>
      <c r="AC228" s="112"/>
    </row>
    <row r="229" spans="2:29">
      <c r="B229" s="112"/>
      <c r="C229" s="112"/>
      <c r="D229" s="112"/>
      <c r="H229" s="112"/>
      <c r="I229" s="112"/>
      <c r="J229" s="112"/>
      <c r="K229" s="112"/>
      <c r="L229" s="112"/>
      <c r="M229" s="112"/>
      <c r="N229" s="112"/>
      <c r="O229" s="112"/>
      <c r="P229" s="112"/>
      <c r="Q229" s="112"/>
      <c r="R229" s="112"/>
      <c r="S229" s="112"/>
      <c r="T229" s="112"/>
      <c r="U229" s="112"/>
      <c r="V229" s="112"/>
      <c r="W229" s="112"/>
      <c r="X229" s="112"/>
      <c r="Y229" s="112"/>
      <c r="Z229" s="112"/>
      <c r="AA229" s="112"/>
      <c r="AB229" s="112"/>
      <c r="AC229" s="112"/>
    </row>
    <row r="230" spans="2:29">
      <c r="B230" s="112"/>
      <c r="C230" s="112"/>
      <c r="D230" s="112"/>
      <c r="H230" s="112"/>
      <c r="I230" s="112"/>
      <c r="J230" s="112"/>
      <c r="K230" s="112"/>
      <c r="L230" s="112"/>
      <c r="M230" s="112"/>
      <c r="N230" s="112"/>
      <c r="O230" s="112"/>
      <c r="P230" s="112"/>
      <c r="Q230" s="112"/>
      <c r="R230" s="112"/>
      <c r="S230" s="112"/>
      <c r="T230" s="112"/>
      <c r="U230" s="112"/>
      <c r="V230" s="112"/>
      <c r="W230" s="112"/>
      <c r="X230" s="112"/>
      <c r="Y230" s="112"/>
      <c r="Z230" s="112"/>
      <c r="AA230" s="112"/>
      <c r="AB230" s="112"/>
      <c r="AC230" s="112"/>
    </row>
    <row r="231" spans="2:29">
      <c r="B231" s="112"/>
      <c r="C231" s="112"/>
      <c r="D231" s="112"/>
      <c r="H231" s="112"/>
      <c r="I231" s="112"/>
      <c r="J231" s="112"/>
      <c r="K231" s="112"/>
      <c r="L231" s="112"/>
      <c r="M231" s="112"/>
      <c r="N231" s="112"/>
      <c r="O231" s="112"/>
      <c r="P231" s="112"/>
      <c r="Q231" s="112"/>
      <c r="R231" s="112"/>
      <c r="S231" s="112"/>
      <c r="T231" s="112"/>
      <c r="U231" s="112"/>
      <c r="V231" s="112"/>
      <c r="W231" s="112"/>
      <c r="X231" s="112"/>
      <c r="Y231" s="112"/>
      <c r="Z231" s="112"/>
      <c r="AA231" s="112"/>
      <c r="AB231" s="112"/>
      <c r="AC231" s="112"/>
    </row>
    <row r="232" spans="2:29">
      <c r="B232" s="112"/>
      <c r="C232" s="112"/>
      <c r="D232" s="112"/>
      <c r="H232" s="112"/>
      <c r="I232" s="112"/>
      <c r="J232" s="112"/>
      <c r="K232" s="112"/>
      <c r="L232" s="112"/>
      <c r="M232" s="112"/>
      <c r="N232" s="112"/>
      <c r="O232" s="112"/>
      <c r="P232" s="112"/>
      <c r="Q232" s="112"/>
      <c r="R232" s="112"/>
      <c r="S232" s="112"/>
      <c r="T232" s="112"/>
      <c r="U232" s="112"/>
      <c r="V232" s="112"/>
      <c r="W232" s="112"/>
      <c r="X232" s="112"/>
      <c r="Y232" s="112"/>
      <c r="Z232" s="112"/>
      <c r="AA232" s="112"/>
      <c r="AB232" s="112"/>
      <c r="AC232" s="112"/>
    </row>
    <row r="233" spans="2:29">
      <c r="B233" s="112"/>
      <c r="C233" s="112"/>
      <c r="D233" s="112"/>
      <c r="H233" s="112"/>
      <c r="I233" s="112"/>
      <c r="J233" s="112"/>
      <c r="K233" s="112"/>
      <c r="L233" s="112"/>
      <c r="M233" s="112"/>
      <c r="N233" s="112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</row>
    <row r="234" spans="2:29">
      <c r="B234" s="112"/>
      <c r="C234" s="112"/>
      <c r="D234" s="112"/>
      <c r="H234" s="112"/>
      <c r="I234" s="112"/>
      <c r="J234" s="112"/>
      <c r="K234" s="112"/>
      <c r="L234" s="112"/>
      <c r="M234" s="112"/>
      <c r="N234" s="112"/>
      <c r="O234" s="112"/>
      <c r="P234" s="112"/>
      <c r="Q234" s="112"/>
      <c r="R234" s="112"/>
      <c r="S234" s="112"/>
      <c r="T234" s="112"/>
      <c r="U234" s="112"/>
      <c r="V234" s="112"/>
      <c r="W234" s="112"/>
      <c r="X234" s="112"/>
      <c r="Y234" s="112"/>
      <c r="Z234" s="112"/>
      <c r="AA234" s="112"/>
      <c r="AB234" s="112"/>
      <c r="AC234" s="112"/>
    </row>
    <row r="235" spans="2:29">
      <c r="B235" s="112"/>
      <c r="C235" s="112"/>
      <c r="D235" s="112"/>
      <c r="H235" s="112"/>
      <c r="I235" s="112"/>
      <c r="J235" s="112"/>
      <c r="K235" s="112"/>
      <c r="L235" s="112"/>
      <c r="M235" s="112"/>
      <c r="N235" s="112"/>
      <c r="O235" s="112"/>
      <c r="P235" s="112"/>
      <c r="Q235" s="112"/>
      <c r="R235" s="112"/>
      <c r="S235" s="112"/>
      <c r="T235" s="112"/>
      <c r="U235" s="112"/>
      <c r="V235" s="112"/>
      <c r="W235" s="112"/>
      <c r="X235" s="112"/>
      <c r="Y235" s="112"/>
      <c r="Z235" s="112"/>
      <c r="AA235" s="112"/>
      <c r="AB235" s="112"/>
      <c r="AC235" s="112"/>
    </row>
    <row r="236" spans="2:29">
      <c r="B236" s="112"/>
      <c r="C236" s="112"/>
      <c r="D236" s="112"/>
      <c r="H236" s="112"/>
      <c r="I236" s="112"/>
      <c r="J236" s="112"/>
      <c r="K236" s="112"/>
      <c r="L236" s="112"/>
      <c r="M236" s="112"/>
      <c r="N236" s="112"/>
      <c r="O236" s="112"/>
      <c r="P236" s="112"/>
      <c r="Q236" s="112"/>
      <c r="R236" s="112"/>
      <c r="S236" s="112"/>
      <c r="T236" s="112"/>
      <c r="U236" s="112"/>
      <c r="V236" s="112"/>
      <c r="W236" s="112"/>
      <c r="X236" s="112"/>
      <c r="Y236" s="112"/>
      <c r="Z236" s="112"/>
      <c r="AA236" s="112"/>
      <c r="AB236" s="112"/>
      <c r="AC236" s="112"/>
    </row>
    <row r="237" spans="2:29">
      <c r="B237" s="112"/>
      <c r="C237" s="112"/>
      <c r="D237" s="112"/>
      <c r="H237" s="112"/>
      <c r="I237" s="112"/>
      <c r="J237" s="112"/>
      <c r="K237" s="112"/>
      <c r="L237" s="112"/>
      <c r="M237" s="112"/>
      <c r="N237" s="112"/>
      <c r="O237" s="112"/>
      <c r="P237" s="112"/>
      <c r="Q237" s="112"/>
      <c r="R237" s="112"/>
      <c r="S237" s="112"/>
      <c r="T237" s="112"/>
      <c r="U237" s="112"/>
      <c r="V237" s="112"/>
      <c r="W237" s="112"/>
      <c r="X237" s="112"/>
      <c r="Y237" s="112"/>
      <c r="Z237" s="112"/>
      <c r="AA237" s="112"/>
      <c r="AB237" s="112"/>
      <c r="AC237" s="112"/>
    </row>
    <row r="238" spans="2:29">
      <c r="B238" s="112"/>
      <c r="C238" s="112"/>
      <c r="D238" s="112"/>
      <c r="H238" s="112"/>
      <c r="I238" s="112"/>
      <c r="J238" s="112"/>
      <c r="K238" s="112"/>
      <c r="L238" s="112"/>
      <c r="M238" s="112"/>
      <c r="N238" s="112"/>
      <c r="O238" s="112"/>
      <c r="P238" s="112"/>
      <c r="Q238" s="112"/>
      <c r="R238" s="112"/>
      <c r="S238" s="112"/>
      <c r="T238" s="112"/>
      <c r="U238" s="112"/>
      <c r="V238" s="112"/>
      <c r="W238" s="112"/>
      <c r="X238" s="112"/>
      <c r="Y238" s="112"/>
      <c r="Z238" s="112"/>
      <c r="AA238" s="112"/>
      <c r="AB238" s="112"/>
      <c r="AC238" s="112"/>
    </row>
    <row r="239" spans="2:29">
      <c r="B239" s="112"/>
      <c r="C239" s="112"/>
      <c r="D239" s="112"/>
      <c r="H239" s="112"/>
      <c r="I239" s="112"/>
      <c r="J239" s="112"/>
      <c r="K239" s="112"/>
      <c r="L239" s="112"/>
      <c r="M239" s="112"/>
      <c r="N239" s="112"/>
      <c r="O239" s="112"/>
      <c r="P239" s="112"/>
      <c r="Q239" s="112"/>
      <c r="R239" s="112"/>
      <c r="S239" s="112"/>
      <c r="T239" s="112"/>
      <c r="U239" s="112"/>
      <c r="V239" s="112"/>
      <c r="W239" s="112"/>
      <c r="X239" s="112"/>
      <c r="Y239" s="112"/>
      <c r="Z239" s="112"/>
      <c r="AA239" s="112"/>
      <c r="AB239" s="112"/>
      <c r="AC239" s="112"/>
    </row>
    <row r="240" spans="2:29">
      <c r="B240" s="112"/>
      <c r="C240" s="112"/>
      <c r="D240" s="112"/>
      <c r="H240" s="112"/>
      <c r="I240" s="112"/>
      <c r="J240" s="112"/>
      <c r="K240" s="112"/>
      <c r="L240" s="112"/>
      <c r="M240" s="112"/>
      <c r="N240" s="112"/>
      <c r="O240" s="112"/>
      <c r="P240" s="112"/>
      <c r="Q240" s="112"/>
      <c r="R240" s="112"/>
      <c r="S240" s="112"/>
      <c r="T240" s="112"/>
      <c r="U240" s="112"/>
      <c r="V240" s="112"/>
      <c r="W240" s="112"/>
      <c r="X240" s="112"/>
      <c r="Y240" s="112"/>
      <c r="Z240" s="112"/>
      <c r="AA240" s="112"/>
      <c r="AB240" s="112"/>
      <c r="AC240" s="112"/>
    </row>
    <row r="241" spans="2:29">
      <c r="B241" s="112"/>
      <c r="C241" s="112"/>
      <c r="D241" s="112"/>
      <c r="H241" s="112"/>
      <c r="I241" s="112"/>
      <c r="J241" s="112"/>
      <c r="K241" s="112"/>
      <c r="L241" s="112"/>
      <c r="M241" s="112"/>
      <c r="N241" s="112"/>
      <c r="O241" s="112"/>
      <c r="P241" s="112"/>
      <c r="Q241" s="112"/>
      <c r="R241" s="112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</row>
    <row r="242" spans="2:29">
      <c r="B242" s="112"/>
      <c r="C242" s="112"/>
      <c r="D242" s="112"/>
      <c r="H242" s="112"/>
      <c r="I242" s="112"/>
      <c r="J242" s="112"/>
      <c r="K242" s="112"/>
      <c r="L242" s="112"/>
      <c r="M242" s="112"/>
      <c r="N242" s="112"/>
      <c r="O242" s="112"/>
      <c r="P242" s="112"/>
      <c r="Q242" s="112"/>
      <c r="R242" s="112"/>
      <c r="S242" s="112"/>
      <c r="T242" s="112"/>
      <c r="U242" s="112"/>
      <c r="V242" s="112"/>
      <c r="W242" s="112"/>
      <c r="X242" s="112"/>
      <c r="Y242" s="112"/>
      <c r="Z242" s="112"/>
      <c r="AA242" s="112"/>
      <c r="AB242" s="112"/>
      <c r="AC242" s="112"/>
    </row>
    <row r="243" spans="2:29">
      <c r="B243" s="112"/>
      <c r="C243" s="112"/>
      <c r="D243" s="112"/>
      <c r="H243" s="112"/>
      <c r="I243" s="112"/>
      <c r="J243" s="112"/>
      <c r="K243" s="112"/>
      <c r="L243" s="112"/>
      <c r="M243" s="112"/>
      <c r="N243" s="112"/>
      <c r="O243" s="112"/>
      <c r="P243" s="112"/>
      <c r="Q243" s="112"/>
      <c r="R243" s="112"/>
      <c r="S243" s="112"/>
      <c r="T243" s="112"/>
      <c r="U243" s="112"/>
      <c r="V243" s="112"/>
      <c r="W243" s="112"/>
      <c r="X243" s="112"/>
      <c r="Y243" s="112"/>
      <c r="Z243" s="112"/>
      <c r="AA243" s="112"/>
      <c r="AB243" s="112"/>
      <c r="AC243" s="112"/>
    </row>
    <row r="244" spans="2:29">
      <c r="B244" s="112"/>
      <c r="C244" s="112"/>
      <c r="D244" s="112"/>
      <c r="H244" s="112"/>
      <c r="I244" s="112"/>
      <c r="J244" s="112"/>
      <c r="K244" s="112"/>
      <c r="L244" s="112"/>
      <c r="M244" s="112"/>
      <c r="N244" s="112"/>
      <c r="O244" s="112"/>
      <c r="P244" s="112"/>
      <c r="Q244" s="112"/>
      <c r="R244" s="112"/>
      <c r="S244" s="112"/>
      <c r="T244" s="112"/>
      <c r="U244" s="112"/>
      <c r="V244" s="112"/>
      <c r="W244" s="112"/>
      <c r="X244" s="112"/>
      <c r="Y244" s="112"/>
      <c r="Z244" s="112"/>
      <c r="AA244" s="112"/>
      <c r="AB244" s="112"/>
      <c r="AC244" s="112"/>
    </row>
    <row r="245" spans="2:29">
      <c r="B245" s="112"/>
      <c r="C245" s="112"/>
      <c r="D245" s="112"/>
      <c r="H245" s="112"/>
      <c r="I245" s="112"/>
      <c r="J245" s="112"/>
      <c r="K245" s="112"/>
      <c r="L245" s="112"/>
      <c r="M245" s="112"/>
      <c r="N245" s="112"/>
      <c r="O245" s="112"/>
      <c r="P245" s="112"/>
      <c r="Q245" s="112"/>
      <c r="R245" s="112"/>
      <c r="S245" s="112"/>
      <c r="T245" s="112"/>
      <c r="U245" s="112"/>
      <c r="V245" s="112"/>
      <c r="W245" s="112"/>
      <c r="X245" s="112"/>
      <c r="Y245" s="112"/>
      <c r="Z245" s="112"/>
      <c r="AA245" s="112"/>
      <c r="AB245" s="112"/>
      <c r="AC245" s="112"/>
    </row>
    <row r="246" spans="2:29">
      <c r="B246" s="112"/>
      <c r="C246" s="112"/>
      <c r="D246" s="112"/>
      <c r="H246" s="112"/>
      <c r="I246" s="112"/>
      <c r="J246" s="112"/>
      <c r="K246" s="112"/>
      <c r="L246" s="112"/>
      <c r="M246" s="112"/>
      <c r="N246" s="112"/>
      <c r="O246" s="112"/>
      <c r="P246" s="112"/>
      <c r="Q246" s="112"/>
      <c r="R246" s="112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</row>
    <row r="247" spans="2:29">
      <c r="B247" s="112"/>
      <c r="C247" s="112"/>
      <c r="D247" s="112"/>
      <c r="H247" s="112"/>
      <c r="I247" s="112"/>
      <c r="J247" s="112"/>
      <c r="K247" s="112"/>
      <c r="L247" s="112"/>
      <c r="M247" s="112"/>
      <c r="N247" s="112"/>
      <c r="O247" s="112"/>
      <c r="P247" s="112"/>
      <c r="Q247" s="112"/>
      <c r="R247" s="112"/>
      <c r="S247" s="112"/>
      <c r="T247" s="112"/>
      <c r="U247" s="112"/>
      <c r="V247" s="112"/>
      <c r="W247" s="112"/>
      <c r="X247" s="112"/>
      <c r="Y247" s="112"/>
      <c r="Z247" s="112"/>
      <c r="AA247" s="112"/>
      <c r="AB247" s="112"/>
      <c r="AC247" s="112"/>
    </row>
    <row r="248" spans="2:29">
      <c r="B248" s="112"/>
      <c r="C248" s="112"/>
      <c r="D248" s="112"/>
      <c r="H248" s="112"/>
      <c r="I248" s="112"/>
      <c r="J248" s="112"/>
      <c r="K248" s="112"/>
      <c r="L248" s="112"/>
      <c r="M248" s="112"/>
      <c r="N248" s="112"/>
      <c r="O248" s="112"/>
      <c r="P248" s="112"/>
      <c r="Q248" s="112"/>
      <c r="R248" s="112"/>
      <c r="S248" s="112"/>
      <c r="T248" s="112"/>
      <c r="U248" s="112"/>
      <c r="V248" s="112"/>
      <c r="W248" s="112"/>
      <c r="X248" s="112"/>
      <c r="Y248" s="112"/>
      <c r="Z248" s="112"/>
      <c r="AA248" s="112"/>
      <c r="AB248" s="112"/>
      <c r="AC248" s="112"/>
    </row>
    <row r="249" spans="2:29">
      <c r="B249" s="112"/>
      <c r="C249" s="112"/>
      <c r="D249" s="112"/>
      <c r="H249" s="112"/>
      <c r="I249" s="112"/>
      <c r="J249" s="112"/>
      <c r="K249" s="112"/>
      <c r="L249" s="112"/>
      <c r="M249" s="112"/>
      <c r="N249" s="112"/>
      <c r="O249" s="112"/>
      <c r="P249" s="112"/>
      <c r="Q249" s="112"/>
      <c r="R249" s="112"/>
      <c r="S249" s="112"/>
      <c r="T249" s="112"/>
      <c r="U249" s="112"/>
      <c r="V249" s="112"/>
      <c r="W249" s="112"/>
      <c r="X249" s="112"/>
      <c r="Y249" s="112"/>
      <c r="Z249" s="112"/>
      <c r="AA249" s="112"/>
      <c r="AB249" s="112"/>
      <c r="AC249" s="112"/>
    </row>
    <row r="250" spans="2:29">
      <c r="B250" s="112"/>
      <c r="C250" s="112"/>
      <c r="D250" s="112"/>
      <c r="H250" s="112"/>
      <c r="I250" s="112"/>
      <c r="J250" s="112"/>
      <c r="K250" s="112"/>
      <c r="L250" s="112"/>
      <c r="M250" s="112"/>
      <c r="N250" s="112"/>
      <c r="O250" s="112"/>
      <c r="P250" s="112"/>
      <c r="Q250" s="112"/>
      <c r="R250" s="112"/>
      <c r="S250" s="112"/>
      <c r="T250" s="112"/>
      <c r="U250" s="112"/>
      <c r="V250" s="112"/>
      <c r="W250" s="112"/>
      <c r="X250" s="112"/>
      <c r="Y250" s="112"/>
      <c r="Z250" s="112"/>
      <c r="AA250" s="112"/>
      <c r="AB250" s="112"/>
      <c r="AC250" s="112"/>
    </row>
    <row r="251" spans="2:29">
      <c r="B251" s="112"/>
      <c r="C251" s="112"/>
      <c r="D251" s="112"/>
      <c r="H251" s="112"/>
      <c r="I251" s="112"/>
      <c r="J251" s="112"/>
      <c r="K251" s="112"/>
      <c r="L251" s="112"/>
      <c r="M251" s="112"/>
      <c r="N251" s="112"/>
      <c r="O251" s="112"/>
      <c r="P251" s="112"/>
      <c r="Q251" s="112"/>
      <c r="R251" s="112"/>
      <c r="S251" s="112"/>
      <c r="T251" s="112"/>
      <c r="U251" s="112"/>
      <c r="V251" s="112"/>
      <c r="W251" s="112"/>
      <c r="X251" s="112"/>
      <c r="Y251" s="112"/>
      <c r="Z251" s="112"/>
      <c r="AA251" s="112"/>
      <c r="AB251" s="112"/>
      <c r="AC251" s="112"/>
    </row>
    <row r="252" spans="2:29">
      <c r="B252" s="112"/>
      <c r="C252" s="112"/>
      <c r="D252" s="112"/>
      <c r="H252" s="112"/>
      <c r="I252" s="112"/>
      <c r="J252" s="112"/>
      <c r="K252" s="112"/>
      <c r="L252" s="112"/>
      <c r="M252" s="112"/>
      <c r="N252" s="112"/>
      <c r="O252" s="112"/>
      <c r="P252" s="112"/>
      <c r="Q252" s="112"/>
      <c r="R252" s="112"/>
      <c r="S252" s="112"/>
      <c r="T252" s="112"/>
      <c r="U252" s="112"/>
      <c r="V252" s="112"/>
      <c r="W252" s="112"/>
      <c r="X252" s="112"/>
      <c r="Y252" s="112"/>
      <c r="Z252" s="112"/>
      <c r="AA252" s="112"/>
      <c r="AB252" s="112"/>
      <c r="AC252" s="112"/>
    </row>
    <row r="253" spans="2:29">
      <c r="B253" s="112"/>
      <c r="C253" s="112"/>
      <c r="D253" s="112"/>
      <c r="H253" s="112"/>
      <c r="I253" s="112"/>
      <c r="J253" s="112"/>
      <c r="K253" s="112"/>
      <c r="L253" s="112"/>
      <c r="M253" s="112"/>
      <c r="N253" s="112"/>
      <c r="O253" s="112"/>
      <c r="P253" s="112"/>
      <c r="Q253" s="112"/>
      <c r="R253" s="112"/>
      <c r="S253" s="112"/>
      <c r="T253" s="112"/>
      <c r="U253" s="112"/>
      <c r="V253" s="112"/>
      <c r="W253" s="112"/>
      <c r="X253" s="112"/>
      <c r="Y253" s="112"/>
      <c r="Z253" s="112"/>
      <c r="AA253" s="112"/>
      <c r="AB253" s="112"/>
      <c r="AC253" s="112"/>
    </row>
    <row r="254" spans="2:29">
      <c r="B254" s="112"/>
      <c r="C254" s="112"/>
      <c r="D254" s="112"/>
      <c r="H254" s="112"/>
      <c r="I254" s="112"/>
      <c r="J254" s="112"/>
      <c r="K254" s="112"/>
      <c r="L254" s="112"/>
      <c r="M254" s="112"/>
      <c r="N254" s="112"/>
      <c r="O254" s="112"/>
      <c r="P254" s="112"/>
      <c r="Q254" s="112"/>
      <c r="R254" s="112"/>
      <c r="S254" s="112"/>
      <c r="T254" s="112"/>
      <c r="U254" s="112"/>
      <c r="V254" s="112"/>
      <c r="W254" s="112"/>
      <c r="X254" s="112"/>
      <c r="Y254" s="112"/>
      <c r="Z254" s="112"/>
      <c r="AA254" s="112"/>
      <c r="AB254" s="112"/>
      <c r="AC254" s="112"/>
    </row>
    <row r="255" spans="2:29">
      <c r="B255" s="112"/>
      <c r="C255" s="112"/>
      <c r="D255" s="112"/>
      <c r="H255" s="112"/>
      <c r="I255" s="112"/>
      <c r="J255" s="112"/>
      <c r="K255" s="112"/>
      <c r="L255" s="112"/>
      <c r="M255" s="112"/>
      <c r="N255" s="112"/>
      <c r="O255" s="112"/>
      <c r="P255" s="112"/>
      <c r="Q255" s="112"/>
      <c r="R255" s="112"/>
      <c r="S255" s="112"/>
      <c r="T255" s="112"/>
      <c r="U255" s="112"/>
      <c r="V255" s="112"/>
      <c r="W255" s="112"/>
      <c r="X255" s="112"/>
      <c r="Y255" s="112"/>
      <c r="Z255" s="112"/>
      <c r="AA255" s="112"/>
      <c r="AB255" s="112"/>
      <c r="AC255" s="112"/>
    </row>
    <row r="256" spans="2:29">
      <c r="B256" s="112"/>
      <c r="C256" s="112"/>
      <c r="D256" s="112"/>
      <c r="H256" s="112"/>
      <c r="I256" s="112"/>
      <c r="J256" s="112"/>
      <c r="K256" s="112"/>
      <c r="L256" s="112"/>
      <c r="M256" s="112"/>
      <c r="N256" s="112"/>
      <c r="O256" s="112"/>
      <c r="P256" s="112"/>
      <c r="Q256" s="112"/>
      <c r="R256" s="112"/>
      <c r="S256" s="112"/>
      <c r="T256" s="112"/>
      <c r="U256" s="112"/>
      <c r="V256" s="112"/>
      <c r="W256" s="112"/>
      <c r="X256" s="112"/>
      <c r="Y256" s="112"/>
      <c r="Z256" s="112"/>
      <c r="AA256" s="112"/>
      <c r="AB256" s="112"/>
      <c r="AC256" s="112"/>
    </row>
    <row r="257" spans="2:29">
      <c r="B257" s="112"/>
      <c r="C257" s="112"/>
      <c r="D257" s="112"/>
      <c r="H257" s="112"/>
      <c r="I257" s="112"/>
      <c r="J257" s="112"/>
      <c r="K257" s="112"/>
      <c r="L257" s="112"/>
      <c r="M257" s="112"/>
      <c r="N257" s="112"/>
      <c r="O257" s="112"/>
      <c r="P257" s="112"/>
      <c r="Q257" s="112"/>
      <c r="R257" s="112"/>
      <c r="S257" s="112"/>
      <c r="T257" s="112"/>
      <c r="U257" s="112"/>
      <c r="V257" s="112"/>
      <c r="W257" s="112"/>
      <c r="X257" s="112"/>
      <c r="Y257" s="112"/>
      <c r="Z257" s="112"/>
      <c r="AA257" s="112"/>
      <c r="AB257" s="112"/>
      <c r="AC257" s="112"/>
    </row>
    <row r="258" spans="2:29">
      <c r="B258" s="112"/>
      <c r="C258" s="112"/>
      <c r="D258" s="112"/>
      <c r="H258" s="112"/>
      <c r="I258" s="112"/>
      <c r="J258" s="112"/>
      <c r="K258" s="112"/>
      <c r="L258" s="112"/>
      <c r="M258" s="112"/>
      <c r="N258" s="112"/>
      <c r="O258" s="112"/>
      <c r="P258" s="112"/>
      <c r="Q258" s="112"/>
      <c r="R258" s="112"/>
      <c r="S258" s="112"/>
      <c r="T258" s="112"/>
      <c r="U258" s="112"/>
      <c r="V258" s="112"/>
      <c r="W258" s="112"/>
      <c r="X258" s="112"/>
      <c r="Y258" s="112"/>
      <c r="Z258" s="112"/>
      <c r="AA258" s="112"/>
      <c r="AB258" s="112"/>
      <c r="AC258" s="112"/>
    </row>
    <row r="259" spans="2:29">
      <c r="B259" s="112"/>
      <c r="C259" s="112"/>
      <c r="D259" s="112"/>
      <c r="H259" s="112"/>
      <c r="I259" s="112"/>
      <c r="J259" s="112"/>
      <c r="K259" s="112"/>
      <c r="L259" s="112"/>
      <c r="M259" s="112"/>
      <c r="N259" s="112"/>
      <c r="O259" s="112"/>
      <c r="P259" s="112"/>
      <c r="Q259" s="112"/>
      <c r="R259" s="112"/>
      <c r="S259" s="112"/>
      <c r="T259" s="112"/>
      <c r="U259" s="112"/>
      <c r="V259" s="112"/>
      <c r="W259" s="112"/>
      <c r="X259" s="112"/>
      <c r="Y259" s="112"/>
      <c r="Z259" s="112"/>
      <c r="AA259" s="112"/>
      <c r="AB259" s="112"/>
      <c r="AC259" s="112"/>
    </row>
    <row r="260" spans="2:29">
      <c r="B260" s="112"/>
      <c r="C260" s="112"/>
      <c r="D260" s="112"/>
      <c r="H260" s="112"/>
      <c r="I260" s="112"/>
      <c r="J260" s="112"/>
      <c r="K260" s="112"/>
      <c r="L260" s="112"/>
      <c r="M260" s="112"/>
      <c r="N260" s="112"/>
      <c r="O260" s="112"/>
      <c r="P260" s="112"/>
      <c r="Q260" s="112"/>
      <c r="R260" s="112"/>
      <c r="S260" s="112"/>
      <c r="T260" s="112"/>
      <c r="U260" s="112"/>
      <c r="V260" s="112"/>
      <c r="W260" s="112"/>
      <c r="X260" s="112"/>
      <c r="Y260" s="112"/>
      <c r="Z260" s="112"/>
      <c r="AA260" s="112"/>
      <c r="AB260" s="112"/>
      <c r="AC260" s="112"/>
    </row>
    <row r="261" spans="2:29">
      <c r="B261" s="112"/>
      <c r="C261" s="112"/>
      <c r="D261" s="112"/>
      <c r="H261" s="112"/>
      <c r="I261" s="112"/>
      <c r="J261" s="112"/>
      <c r="K261" s="112"/>
      <c r="L261" s="112"/>
      <c r="M261" s="112"/>
      <c r="N261" s="112"/>
      <c r="O261" s="112"/>
      <c r="P261" s="112"/>
      <c r="Q261" s="112"/>
      <c r="R261" s="112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</row>
    <row r="262" spans="2:29">
      <c r="B262" s="112"/>
      <c r="C262" s="112"/>
      <c r="D262" s="112"/>
      <c r="H262" s="112"/>
      <c r="I262" s="112"/>
      <c r="J262" s="112"/>
      <c r="K262" s="112"/>
      <c r="L262" s="112"/>
      <c r="M262" s="112"/>
      <c r="N262" s="112"/>
      <c r="O262" s="112"/>
      <c r="P262" s="112"/>
      <c r="Q262" s="112"/>
      <c r="R262" s="112"/>
      <c r="S262" s="112"/>
      <c r="T262" s="112"/>
      <c r="U262" s="112"/>
      <c r="V262" s="112"/>
      <c r="W262" s="112"/>
      <c r="X262" s="112"/>
      <c r="Y262" s="112"/>
      <c r="Z262" s="112"/>
      <c r="AA262" s="112"/>
      <c r="AB262" s="112"/>
      <c r="AC262" s="112"/>
    </row>
    <row r="263" spans="2:29">
      <c r="B263" s="112"/>
      <c r="C263" s="112"/>
      <c r="D263" s="112"/>
      <c r="H263" s="112"/>
      <c r="I263" s="112"/>
      <c r="J263" s="112"/>
      <c r="K263" s="112"/>
      <c r="L263" s="112"/>
      <c r="M263" s="112"/>
      <c r="N263" s="112"/>
      <c r="O263" s="112"/>
      <c r="P263" s="112"/>
      <c r="Q263" s="112"/>
      <c r="R263" s="112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</row>
    <row r="264" spans="2:29">
      <c r="B264" s="112"/>
      <c r="C264" s="112"/>
      <c r="D264" s="112"/>
      <c r="H264" s="112"/>
      <c r="I264" s="112"/>
      <c r="J264" s="112"/>
      <c r="K264" s="112"/>
      <c r="L264" s="112"/>
      <c r="M264" s="112"/>
      <c r="N264" s="112"/>
      <c r="O264" s="112"/>
      <c r="P264" s="112"/>
      <c r="Q264" s="112"/>
      <c r="R264" s="112"/>
      <c r="S264" s="112"/>
      <c r="T264" s="112"/>
      <c r="U264" s="112"/>
      <c r="V264" s="112"/>
      <c r="W264" s="112"/>
      <c r="X264" s="112"/>
      <c r="Y264" s="112"/>
      <c r="Z264" s="112"/>
      <c r="AA264" s="112"/>
      <c r="AB264" s="112"/>
      <c r="AC264" s="112"/>
    </row>
    <row r="265" spans="2:29">
      <c r="B265" s="112"/>
      <c r="C265" s="112"/>
      <c r="D265" s="112"/>
      <c r="H265" s="112"/>
      <c r="I265" s="112"/>
      <c r="J265" s="112"/>
      <c r="K265" s="112"/>
      <c r="L265" s="112"/>
      <c r="M265" s="112"/>
      <c r="N265" s="112"/>
      <c r="O265" s="112"/>
      <c r="P265" s="112"/>
      <c r="Q265" s="112"/>
      <c r="R265" s="112"/>
      <c r="S265" s="112"/>
      <c r="T265" s="112"/>
      <c r="U265" s="112"/>
      <c r="V265" s="112"/>
      <c r="W265" s="112"/>
      <c r="X265" s="112"/>
      <c r="Y265" s="112"/>
      <c r="Z265" s="112"/>
      <c r="AA265" s="112"/>
      <c r="AB265" s="112"/>
      <c r="AC265" s="112"/>
    </row>
    <row r="266" spans="2:29">
      <c r="B266" s="112"/>
      <c r="C266" s="112"/>
      <c r="D266" s="112"/>
      <c r="H266" s="112"/>
      <c r="I266" s="112"/>
      <c r="J266" s="112"/>
      <c r="K266" s="112"/>
      <c r="L266" s="112"/>
      <c r="M266" s="112"/>
      <c r="N266" s="112"/>
      <c r="O266" s="112"/>
      <c r="P266" s="112"/>
      <c r="Q266" s="112"/>
      <c r="R266" s="112"/>
      <c r="S266" s="112"/>
      <c r="T266" s="112"/>
      <c r="U266" s="112"/>
      <c r="V266" s="112"/>
      <c r="W266" s="112"/>
      <c r="X266" s="112"/>
      <c r="Y266" s="112"/>
      <c r="Z266" s="112"/>
      <c r="AA266" s="112"/>
      <c r="AB266" s="112"/>
      <c r="AC266" s="112"/>
    </row>
    <row r="267" spans="2:29">
      <c r="B267" s="112"/>
      <c r="C267" s="112"/>
      <c r="D267" s="112"/>
      <c r="H267" s="112"/>
      <c r="I267" s="112"/>
      <c r="J267" s="112"/>
      <c r="K267" s="112"/>
      <c r="L267" s="112"/>
      <c r="M267" s="112"/>
      <c r="N267" s="112"/>
      <c r="O267" s="112"/>
      <c r="P267" s="112"/>
      <c r="Q267" s="112"/>
      <c r="R267" s="112"/>
      <c r="S267" s="112"/>
      <c r="T267" s="112"/>
      <c r="U267" s="112"/>
      <c r="V267" s="112"/>
      <c r="W267" s="112"/>
      <c r="X267" s="112"/>
      <c r="Y267" s="112"/>
      <c r="Z267" s="112"/>
      <c r="AA267" s="112"/>
      <c r="AB267" s="112"/>
      <c r="AC267" s="112"/>
    </row>
    <row r="268" spans="2:29">
      <c r="B268" s="112"/>
      <c r="C268" s="112"/>
      <c r="D268" s="112"/>
      <c r="H268" s="112"/>
      <c r="I268" s="112"/>
      <c r="J268" s="112"/>
      <c r="K268" s="112"/>
      <c r="L268" s="112"/>
      <c r="M268" s="112"/>
      <c r="N268" s="112"/>
      <c r="O268" s="112"/>
      <c r="P268" s="112"/>
      <c r="Q268" s="112"/>
      <c r="R268" s="112"/>
      <c r="S268" s="112"/>
      <c r="T268" s="112"/>
      <c r="U268" s="112"/>
      <c r="V268" s="112"/>
      <c r="W268" s="112"/>
      <c r="X268" s="112"/>
      <c r="Y268" s="112"/>
      <c r="Z268" s="112"/>
      <c r="AA268" s="112"/>
      <c r="AB268" s="112"/>
      <c r="AC268" s="112"/>
    </row>
    <row r="269" spans="2:29">
      <c r="B269" s="112"/>
      <c r="C269" s="112"/>
      <c r="D269" s="112"/>
      <c r="H269" s="112"/>
      <c r="I269" s="112"/>
      <c r="J269" s="112"/>
      <c r="K269" s="112"/>
      <c r="L269" s="112"/>
      <c r="M269" s="112"/>
      <c r="N269" s="112"/>
      <c r="O269" s="112"/>
      <c r="P269" s="112"/>
      <c r="Q269" s="112"/>
      <c r="R269" s="112"/>
      <c r="S269" s="112"/>
      <c r="T269" s="112"/>
      <c r="U269" s="112"/>
      <c r="V269" s="112"/>
      <c r="W269" s="112"/>
      <c r="X269" s="112"/>
      <c r="Y269" s="112"/>
      <c r="Z269" s="112"/>
      <c r="AA269" s="112"/>
      <c r="AB269" s="112"/>
      <c r="AC269" s="112"/>
    </row>
    <row r="270" spans="2:29">
      <c r="B270" s="112"/>
      <c r="C270" s="112"/>
      <c r="D270" s="112"/>
      <c r="H270" s="112"/>
      <c r="I270" s="112"/>
      <c r="J270" s="112"/>
      <c r="K270" s="112"/>
      <c r="L270" s="112"/>
      <c r="M270" s="112"/>
      <c r="N270" s="112"/>
      <c r="O270" s="112"/>
      <c r="P270" s="112"/>
      <c r="Q270" s="112"/>
      <c r="R270" s="112"/>
      <c r="S270" s="112"/>
      <c r="T270" s="112"/>
      <c r="U270" s="112"/>
      <c r="V270" s="112"/>
      <c r="W270" s="112"/>
      <c r="X270" s="112"/>
      <c r="Y270" s="112"/>
      <c r="Z270" s="112"/>
      <c r="AA270" s="112"/>
      <c r="AB270" s="112"/>
      <c r="AC270" s="112"/>
    </row>
    <row r="271" spans="2:29">
      <c r="B271" s="112"/>
      <c r="C271" s="112"/>
      <c r="D271" s="112"/>
      <c r="H271" s="112"/>
      <c r="I271" s="112"/>
      <c r="J271" s="112"/>
      <c r="K271" s="112"/>
      <c r="L271" s="112"/>
      <c r="M271" s="112"/>
      <c r="N271" s="112"/>
      <c r="O271" s="112"/>
      <c r="P271" s="112"/>
      <c r="Q271" s="112"/>
      <c r="R271" s="112"/>
      <c r="S271" s="112"/>
      <c r="T271" s="112"/>
      <c r="U271" s="112"/>
      <c r="V271" s="112"/>
      <c r="W271" s="112"/>
      <c r="X271" s="112"/>
      <c r="Y271" s="112"/>
      <c r="Z271" s="112"/>
      <c r="AA271" s="112"/>
      <c r="AB271" s="112"/>
      <c r="AC271" s="112"/>
    </row>
    <row r="272" spans="2:29">
      <c r="B272" s="112"/>
      <c r="C272" s="112"/>
      <c r="D272" s="112"/>
      <c r="H272" s="112"/>
      <c r="I272" s="112"/>
      <c r="J272" s="112"/>
      <c r="K272" s="112"/>
      <c r="L272" s="112"/>
      <c r="M272" s="112"/>
      <c r="N272" s="112"/>
      <c r="O272" s="112"/>
      <c r="P272" s="112"/>
      <c r="Q272" s="112"/>
      <c r="R272" s="112"/>
      <c r="S272" s="112"/>
      <c r="T272" s="112"/>
      <c r="U272" s="112"/>
      <c r="V272" s="112"/>
      <c r="W272" s="112"/>
      <c r="X272" s="112"/>
      <c r="Y272" s="112"/>
      <c r="Z272" s="112"/>
      <c r="AA272" s="112"/>
      <c r="AB272" s="112"/>
      <c r="AC272" s="112"/>
    </row>
    <row r="273" spans="2:29">
      <c r="B273" s="112"/>
      <c r="C273" s="112"/>
      <c r="D273" s="112"/>
      <c r="H273" s="112"/>
      <c r="I273" s="112"/>
      <c r="J273" s="112"/>
      <c r="K273" s="112"/>
      <c r="L273" s="112"/>
      <c r="M273" s="112"/>
      <c r="N273" s="112"/>
      <c r="O273" s="112"/>
      <c r="P273" s="112"/>
      <c r="Q273" s="112"/>
      <c r="R273" s="112"/>
      <c r="S273" s="112"/>
      <c r="T273" s="112"/>
      <c r="U273" s="112"/>
      <c r="V273" s="112"/>
      <c r="W273" s="112"/>
      <c r="X273" s="112"/>
      <c r="Y273" s="112"/>
      <c r="Z273" s="112"/>
      <c r="AA273" s="112"/>
      <c r="AB273" s="112"/>
      <c r="AC273" s="112"/>
    </row>
    <row r="274" spans="2:29">
      <c r="B274" s="112"/>
      <c r="C274" s="112"/>
      <c r="D274" s="112"/>
      <c r="H274" s="112"/>
      <c r="I274" s="112"/>
      <c r="J274" s="112"/>
      <c r="K274" s="112"/>
      <c r="L274" s="112"/>
      <c r="M274" s="112"/>
      <c r="N274" s="112"/>
      <c r="O274" s="112"/>
      <c r="P274" s="112"/>
      <c r="Q274" s="112"/>
      <c r="R274" s="112"/>
      <c r="S274" s="112"/>
      <c r="T274" s="112"/>
      <c r="U274" s="112"/>
      <c r="V274" s="112"/>
      <c r="W274" s="112"/>
      <c r="X274" s="112"/>
      <c r="Y274" s="112"/>
      <c r="Z274" s="112"/>
      <c r="AA274" s="112"/>
      <c r="AB274" s="112"/>
      <c r="AC274" s="112"/>
    </row>
    <row r="275" spans="2:29">
      <c r="B275" s="112"/>
      <c r="C275" s="112"/>
      <c r="D275" s="112"/>
      <c r="H275" s="112"/>
      <c r="I275" s="112"/>
      <c r="J275" s="112"/>
      <c r="K275" s="112"/>
      <c r="L275" s="112"/>
      <c r="M275" s="112"/>
      <c r="N275" s="112"/>
      <c r="O275" s="112"/>
      <c r="P275" s="112"/>
      <c r="Q275" s="112"/>
      <c r="R275" s="112"/>
      <c r="S275" s="112"/>
      <c r="T275" s="112"/>
      <c r="U275" s="112"/>
      <c r="V275" s="112"/>
      <c r="W275" s="112"/>
      <c r="X275" s="112"/>
      <c r="Y275" s="112"/>
      <c r="Z275" s="112"/>
      <c r="AA275" s="112"/>
      <c r="AB275" s="112"/>
      <c r="AC275" s="112"/>
    </row>
    <row r="276" spans="2:29">
      <c r="B276" s="112"/>
      <c r="C276" s="112"/>
      <c r="D276" s="112"/>
      <c r="H276" s="112"/>
      <c r="I276" s="112"/>
      <c r="J276" s="112"/>
      <c r="K276" s="112"/>
      <c r="L276" s="112"/>
      <c r="M276" s="112"/>
      <c r="N276" s="112"/>
      <c r="O276" s="112"/>
      <c r="P276" s="112"/>
      <c r="Q276" s="112"/>
      <c r="R276" s="112"/>
      <c r="S276" s="112"/>
      <c r="T276" s="112"/>
      <c r="U276" s="112"/>
      <c r="V276" s="112"/>
      <c r="W276" s="112"/>
      <c r="X276" s="112"/>
      <c r="Y276" s="112"/>
      <c r="Z276" s="112"/>
      <c r="AA276" s="112"/>
      <c r="AB276" s="112"/>
      <c r="AC276" s="112"/>
    </row>
    <row r="277" spans="2:29">
      <c r="B277" s="112"/>
      <c r="C277" s="112"/>
      <c r="D277" s="112"/>
      <c r="H277" s="112"/>
      <c r="I277" s="112"/>
      <c r="J277" s="112"/>
      <c r="K277" s="112"/>
      <c r="L277" s="112"/>
      <c r="M277" s="112"/>
      <c r="N277" s="112"/>
      <c r="O277" s="112"/>
      <c r="P277" s="112"/>
      <c r="Q277" s="112"/>
      <c r="R277" s="112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</row>
    <row r="278" spans="2:29">
      <c r="B278" s="112"/>
      <c r="C278" s="112"/>
      <c r="D278" s="112"/>
      <c r="H278" s="112"/>
      <c r="I278" s="112"/>
      <c r="J278" s="112"/>
      <c r="K278" s="112"/>
      <c r="L278" s="112"/>
      <c r="M278" s="112"/>
      <c r="N278" s="112"/>
      <c r="O278" s="112"/>
      <c r="P278" s="112"/>
      <c r="Q278" s="112"/>
      <c r="R278" s="112"/>
      <c r="S278" s="112"/>
      <c r="T278" s="112"/>
      <c r="U278" s="112"/>
      <c r="V278" s="112"/>
      <c r="W278" s="112"/>
      <c r="X278" s="112"/>
      <c r="Y278" s="112"/>
      <c r="Z278" s="112"/>
      <c r="AA278" s="112"/>
      <c r="AB278" s="112"/>
      <c r="AC278" s="112"/>
    </row>
    <row r="279" spans="2:29">
      <c r="B279" s="112"/>
      <c r="C279" s="112"/>
      <c r="D279" s="112"/>
      <c r="H279" s="112"/>
      <c r="I279" s="112"/>
      <c r="J279" s="112"/>
      <c r="K279" s="112"/>
      <c r="L279" s="112"/>
      <c r="M279" s="112"/>
      <c r="N279" s="112"/>
      <c r="O279" s="112"/>
      <c r="P279" s="112"/>
      <c r="Q279" s="112"/>
      <c r="R279" s="112"/>
      <c r="S279" s="112"/>
      <c r="T279" s="112"/>
      <c r="U279" s="112"/>
      <c r="V279" s="112"/>
      <c r="W279" s="112"/>
      <c r="X279" s="112"/>
      <c r="Y279" s="112"/>
      <c r="Z279" s="112"/>
      <c r="AA279" s="112"/>
      <c r="AB279" s="112"/>
      <c r="AC279" s="112"/>
    </row>
    <row r="280" spans="2:29">
      <c r="B280" s="112"/>
      <c r="C280" s="112"/>
      <c r="D280" s="112"/>
      <c r="H280" s="112"/>
      <c r="I280" s="112"/>
      <c r="J280" s="112"/>
      <c r="K280" s="112"/>
      <c r="L280" s="112"/>
      <c r="M280" s="112"/>
      <c r="N280" s="112"/>
      <c r="O280" s="112"/>
      <c r="P280" s="112"/>
      <c r="Q280" s="112"/>
      <c r="R280" s="112"/>
      <c r="S280" s="112"/>
      <c r="T280" s="112"/>
      <c r="U280" s="112"/>
      <c r="V280" s="112"/>
      <c r="W280" s="112"/>
      <c r="X280" s="112"/>
      <c r="Y280" s="112"/>
      <c r="Z280" s="112"/>
      <c r="AA280" s="112"/>
      <c r="AB280" s="112"/>
      <c r="AC280" s="112"/>
    </row>
    <row r="281" spans="2:29">
      <c r="B281" s="112"/>
      <c r="C281" s="112"/>
      <c r="D281" s="112"/>
      <c r="H281" s="112"/>
      <c r="I281" s="112"/>
      <c r="J281" s="112"/>
      <c r="K281" s="112"/>
      <c r="L281" s="112"/>
      <c r="M281" s="112"/>
      <c r="N281" s="112"/>
      <c r="O281" s="112"/>
      <c r="P281" s="112"/>
      <c r="Q281" s="112"/>
      <c r="R281" s="112"/>
      <c r="S281" s="112"/>
      <c r="T281" s="112"/>
      <c r="U281" s="112"/>
      <c r="V281" s="112"/>
      <c r="W281" s="112"/>
      <c r="X281" s="112"/>
      <c r="Y281" s="112"/>
      <c r="Z281" s="112"/>
      <c r="AA281" s="112"/>
      <c r="AB281" s="112"/>
      <c r="AC281" s="112"/>
    </row>
    <row r="282" spans="2:29">
      <c r="B282" s="112"/>
      <c r="C282" s="112"/>
      <c r="D282" s="112"/>
      <c r="H282" s="112"/>
      <c r="I282" s="112"/>
      <c r="J282" s="112"/>
      <c r="K282" s="112"/>
      <c r="L282" s="112"/>
      <c r="M282" s="112"/>
      <c r="N282" s="112"/>
      <c r="O282" s="112"/>
      <c r="P282" s="112"/>
      <c r="Q282" s="112"/>
      <c r="R282" s="112"/>
      <c r="S282" s="112"/>
      <c r="T282" s="112"/>
      <c r="U282" s="112"/>
      <c r="V282" s="112"/>
      <c r="W282" s="112"/>
      <c r="X282" s="112"/>
      <c r="Y282" s="112"/>
      <c r="Z282" s="112"/>
      <c r="AA282" s="112"/>
      <c r="AB282" s="112"/>
      <c r="AC282" s="112"/>
    </row>
    <row r="283" spans="2:29">
      <c r="B283" s="112"/>
      <c r="C283" s="112"/>
      <c r="D283" s="112"/>
      <c r="H283" s="112"/>
      <c r="I283" s="112"/>
      <c r="J283" s="112"/>
      <c r="K283" s="112"/>
      <c r="L283" s="112"/>
      <c r="M283" s="112"/>
      <c r="N283" s="112"/>
      <c r="O283" s="112"/>
      <c r="P283" s="112"/>
      <c r="Q283" s="112"/>
      <c r="R283" s="112"/>
      <c r="S283" s="112"/>
      <c r="T283" s="112"/>
      <c r="U283" s="112"/>
      <c r="V283" s="112"/>
      <c r="W283" s="112"/>
      <c r="X283" s="112"/>
      <c r="Y283" s="112"/>
      <c r="Z283" s="112"/>
      <c r="AA283" s="112"/>
      <c r="AB283" s="112"/>
      <c r="AC283" s="112"/>
    </row>
    <row r="284" spans="2:29">
      <c r="B284" s="112"/>
      <c r="C284" s="112"/>
      <c r="D284" s="112"/>
      <c r="H284" s="112"/>
      <c r="I284" s="112"/>
      <c r="J284" s="112"/>
      <c r="K284" s="112"/>
      <c r="L284" s="112"/>
      <c r="M284" s="112"/>
      <c r="N284" s="112"/>
      <c r="O284" s="112"/>
      <c r="P284" s="112"/>
      <c r="Q284" s="112"/>
      <c r="R284" s="112"/>
      <c r="S284" s="112"/>
      <c r="T284" s="112"/>
      <c r="U284" s="112"/>
      <c r="V284" s="112"/>
      <c r="W284" s="112"/>
      <c r="X284" s="112"/>
      <c r="Y284" s="112"/>
      <c r="Z284" s="112"/>
      <c r="AA284" s="112"/>
      <c r="AB284" s="112"/>
      <c r="AC284" s="112"/>
    </row>
    <row r="285" spans="2:29">
      <c r="B285" s="112"/>
      <c r="C285" s="112"/>
      <c r="D285" s="112"/>
      <c r="H285" s="112"/>
      <c r="I285" s="112"/>
      <c r="J285" s="112"/>
      <c r="K285" s="112"/>
      <c r="L285" s="112"/>
      <c r="M285" s="112"/>
      <c r="N285" s="112"/>
      <c r="O285" s="112"/>
      <c r="P285" s="112"/>
      <c r="Q285" s="112"/>
      <c r="R285" s="112"/>
      <c r="S285" s="112"/>
      <c r="T285" s="112"/>
      <c r="U285" s="112"/>
      <c r="V285" s="112"/>
      <c r="W285" s="112"/>
      <c r="X285" s="112"/>
      <c r="Y285" s="112"/>
      <c r="Z285" s="112"/>
      <c r="AA285" s="112"/>
      <c r="AB285" s="112"/>
      <c r="AC285" s="112"/>
    </row>
    <row r="286" spans="2:29">
      <c r="B286" s="112"/>
      <c r="C286" s="112"/>
      <c r="D286" s="112"/>
      <c r="H286" s="112"/>
      <c r="I286" s="112"/>
      <c r="J286" s="112"/>
      <c r="K286" s="112"/>
      <c r="L286" s="112"/>
      <c r="M286" s="112"/>
      <c r="N286" s="112"/>
      <c r="O286" s="112"/>
      <c r="P286" s="112"/>
      <c r="Q286" s="112"/>
      <c r="R286" s="112"/>
      <c r="S286" s="112"/>
      <c r="T286" s="112"/>
      <c r="U286" s="112"/>
      <c r="V286" s="112"/>
      <c r="W286" s="112"/>
      <c r="X286" s="112"/>
      <c r="Y286" s="112"/>
      <c r="Z286" s="112"/>
      <c r="AA286" s="112"/>
      <c r="AB286" s="112"/>
      <c r="AC286" s="112"/>
    </row>
    <row r="287" spans="2:29">
      <c r="B287" s="112"/>
      <c r="C287" s="112"/>
      <c r="D287" s="112"/>
      <c r="H287" s="112"/>
      <c r="I287" s="112"/>
      <c r="J287" s="112"/>
      <c r="K287" s="112"/>
      <c r="L287" s="112"/>
      <c r="M287" s="112"/>
      <c r="N287" s="112"/>
      <c r="O287" s="112"/>
      <c r="P287" s="112"/>
      <c r="Q287" s="112"/>
      <c r="R287" s="112"/>
      <c r="S287" s="112"/>
      <c r="T287" s="112"/>
      <c r="U287" s="112"/>
      <c r="V287" s="112"/>
      <c r="W287" s="112"/>
      <c r="X287" s="112"/>
      <c r="Y287" s="112"/>
      <c r="Z287" s="112"/>
      <c r="AA287" s="112"/>
      <c r="AB287" s="112"/>
      <c r="AC287" s="112"/>
    </row>
    <row r="288" spans="2:29">
      <c r="B288" s="112"/>
      <c r="C288" s="112"/>
      <c r="D288" s="112"/>
      <c r="H288" s="112"/>
      <c r="I288" s="112"/>
      <c r="J288" s="112"/>
      <c r="K288" s="112"/>
      <c r="L288" s="112"/>
      <c r="M288" s="112"/>
      <c r="N288" s="112"/>
      <c r="O288" s="112"/>
      <c r="P288" s="112"/>
      <c r="Q288" s="112"/>
      <c r="R288" s="112"/>
      <c r="S288" s="112"/>
      <c r="T288" s="112"/>
      <c r="U288" s="112"/>
      <c r="V288" s="112"/>
      <c r="W288" s="112"/>
      <c r="X288" s="112"/>
      <c r="Y288" s="112"/>
      <c r="Z288" s="112"/>
      <c r="AA288" s="112"/>
      <c r="AB288" s="112"/>
      <c r="AC288" s="112"/>
    </row>
    <row r="289" spans="2:29">
      <c r="B289" s="112"/>
      <c r="C289" s="112"/>
      <c r="D289" s="112"/>
      <c r="H289" s="112"/>
      <c r="I289" s="112"/>
      <c r="J289" s="112"/>
      <c r="K289" s="112"/>
      <c r="L289" s="112"/>
      <c r="M289" s="112"/>
      <c r="N289" s="112"/>
      <c r="O289" s="112"/>
      <c r="P289" s="112"/>
      <c r="Q289" s="112"/>
      <c r="R289" s="112"/>
      <c r="S289" s="112"/>
      <c r="T289" s="112"/>
      <c r="U289" s="112"/>
      <c r="V289" s="112"/>
      <c r="W289" s="112"/>
      <c r="X289" s="112"/>
      <c r="Y289" s="112"/>
      <c r="Z289" s="112"/>
      <c r="AA289" s="112"/>
      <c r="AB289" s="112"/>
      <c r="AC289" s="112"/>
    </row>
    <row r="290" spans="2:29">
      <c r="B290" s="112"/>
      <c r="C290" s="112"/>
      <c r="D290" s="112"/>
      <c r="H290" s="112"/>
      <c r="I290" s="112"/>
      <c r="J290" s="112"/>
      <c r="K290" s="112"/>
      <c r="L290" s="112"/>
      <c r="M290" s="112"/>
      <c r="N290" s="112"/>
      <c r="O290" s="112"/>
      <c r="P290" s="112"/>
      <c r="Q290" s="112"/>
      <c r="R290" s="112"/>
      <c r="S290" s="112"/>
      <c r="T290" s="112"/>
      <c r="U290" s="112"/>
      <c r="V290" s="112"/>
      <c r="W290" s="112"/>
      <c r="X290" s="112"/>
      <c r="Y290" s="112"/>
      <c r="Z290" s="112"/>
      <c r="AA290" s="112"/>
      <c r="AB290" s="112"/>
      <c r="AC290" s="112"/>
    </row>
    <row r="291" spans="2:29">
      <c r="B291" s="112"/>
      <c r="C291" s="112"/>
      <c r="D291" s="112"/>
      <c r="H291" s="112"/>
      <c r="I291" s="112"/>
      <c r="J291" s="112"/>
      <c r="K291" s="112"/>
      <c r="L291" s="112"/>
      <c r="M291" s="112"/>
      <c r="N291" s="112"/>
      <c r="O291" s="112"/>
      <c r="P291" s="112"/>
      <c r="Q291" s="112"/>
      <c r="R291" s="112"/>
      <c r="S291" s="112"/>
      <c r="T291" s="112"/>
      <c r="U291" s="112"/>
      <c r="V291" s="112"/>
      <c r="W291" s="112"/>
      <c r="X291" s="112"/>
      <c r="Y291" s="112"/>
      <c r="Z291" s="112"/>
      <c r="AA291" s="112"/>
      <c r="AB291" s="112"/>
      <c r="AC291" s="112"/>
    </row>
    <row r="292" spans="2:29">
      <c r="B292" s="112"/>
      <c r="C292" s="112"/>
      <c r="D292" s="112"/>
      <c r="H292" s="112"/>
      <c r="I292" s="112"/>
      <c r="J292" s="112"/>
      <c r="K292" s="112"/>
      <c r="L292" s="112"/>
      <c r="M292" s="112"/>
      <c r="N292" s="112"/>
      <c r="O292" s="112"/>
      <c r="P292" s="112"/>
      <c r="Q292" s="112"/>
      <c r="R292" s="112"/>
      <c r="S292" s="112"/>
      <c r="T292" s="112"/>
      <c r="U292" s="112"/>
      <c r="V292" s="112"/>
      <c r="W292" s="112"/>
      <c r="X292" s="112"/>
      <c r="Y292" s="112"/>
      <c r="Z292" s="112"/>
      <c r="AA292" s="112"/>
      <c r="AB292" s="112"/>
      <c r="AC292" s="112"/>
    </row>
    <row r="293" spans="2:29">
      <c r="B293" s="112"/>
      <c r="C293" s="112"/>
      <c r="D293" s="112"/>
      <c r="H293" s="112"/>
      <c r="I293" s="112"/>
      <c r="J293" s="112"/>
      <c r="K293" s="112"/>
      <c r="L293" s="112"/>
      <c r="M293" s="112"/>
      <c r="N293" s="112"/>
      <c r="O293" s="112"/>
      <c r="P293" s="112"/>
      <c r="Q293" s="112"/>
      <c r="R293" s="112"/>
      <c r="S293" s="112"/>
      <c r="T293" s="112"/>
      <c r="U293" s="112"/>
      <c r="V293" s="112"/>
      <c r="W293" s="112"/>
      <c r="X293" s="112"/>
      <c r="Y293" s="112"/>
      <c r="Z293" s="112"/>
      <c r="AA293" s="112"/>
      <c r="AB293" s="112"/>
      <c r="AC293" s="112"/>
    </row>
    <row r="294" spans="2:29">
      <c r="B294" s="112"/>
      <c r="C294" s="112"/>
      <c r="D294" s="112"/>
      <c r="H294" s="112"/>
      <c r="I294" s="112"/>
      <c r="J294" s="112"/>
      <c r="K294" s="112"/>
      <c r="L294" s="112"/>
      <c r="M294" s="112"/>
      <c r="N294" s="112"/>
      <c r="O294" s="112"/>
      <c r="P294" s="112"/>
      <c r="Q294" s="112"/>
      <c r="R294" s="112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</row>
    <row r="295" spans="2:29">
      <c r="B295" s="112"/>
      <c r="C295" s="112"/>
      <c r="D295" s="112"/>
      <c r="H295" s="112"/>
      <c r="I295" s="112"/>
      <c r="J295" s="112"/>
      <c r="K295" s="112"/>
      <c r="L295" s="112"/>
      <c r="M295" s="112"/>
      <c r="N295" s="112"/>
      <c r="O295" s="112"/>
      <c r="P295" s="112"/>
      <c r="Q295" s="112"/>
      <c r="R295" s="112"/>
      <c r="S295" s="112"/>
      <c r="T295" s="112"/>
      <c r="U295" s="112"/>
      <c r="V295" s="112"/>
      <c r="W295" s="112"/>
      <c r="X295" s="112"/>
      <c r="Y295" s="112"/>
      <c r="Z295" s="112"/>
      <c r="AA295" s="112"/>
      <c r="AB295" s="112"/>
      <c r="AC295" s="112"/>
    </row>
    <row r="296" spans="2:29">
      <c r="B296" s="112"/>
      <c r="C296" s="112"/>
      <c r="D296" s="112"/>
      <c r="H296" s="112"/>
      <c r="I296" s="112"/>
      <c r="J296" s="112"/>
      <c r="K296" s="112"/>
      <c r="L296" s="112"/>
      <c r="M296" s="112"/>
      <c r="N296" s="112"/>
      <c r="O296" s="112"/>
      <c r="P296" s="112"/>
      <c r="Q296" s="112"/>
      <c r="R296" s="112"/>
      <c r="S296" s="112"/>
      <c r="T296" s="112"/>
      <c r="U296" s="112"/>
      <c r="V296" s="112"/>
      <c r="W296" s="112"/>
      <c r="X296" s="112"/>
      <c r="Y296" s="112"/>
      <c r="Z296" s="112"/>
      <c r="AA296" s="112"/>
      <c r="AB296" s="112"/>
      <c r="AC296" s="112"/>
    </row>
    <row r="297" spans="2:29">
      <c r="B297" s="112"/>
      <c r="C297" s="112"/>
      <c r="D297" s="112"/>
      <c r="H297" s="112"/>
      <c r="I297" s="112"/>
      <c r="J297" s="112"/>
      <c r="K297" s="112"/>
      <c r="L297" s="112"/>
      <c r="M297" s="112"/>
      <c r="N297" s="112"/>
      <c r="O297" s="112"/>
      <c r="P297" s="112"/>
      <c r="Q297" s="112"/>
      <c r="R297" s="112"/>
      <c r="S297" s="112"/>
      <c r="T297" s="112"/>
      <c r="U297" s="112"/>
      <c r="V297" s="112"/>
      <c r="W297" s="112"/>
      <c r="X297" s="112"/>
      <c r="Y297" s="112"/>
      <c r="Z297" s="112"/>
      <c r="AA297" s="112"/>
      <c r="AB297" s="112"/>
      <c r="AC297" s="112"/>
    </row>
    <row r="298" spans="2:29">
      <c r="B298" s="112"/>
      <c r="C298" s="112"/>
      <c r="D298" s="112"/>
      <c r="H298" s="112"/>
      <c r="I298" s="112"/>
      <c r="J298" s="112"/>
      <c r="K298" s="112"/>
      <c r="L298" s="112"/>
      <c r="M298" s="112"/>
      <c r="N298" s="112"/>
      <c r="O298" s="112"/>
      <c r="P298" s="112"/>
      <c r="Q298" s="112"/>
      <c r="R298" s="112"/>
      <c r="S298" s="112"/>
      <c r="T298" s="112"/>
      <c r="U298" s="112"/>
      <c r="V298" s="112"/>
      <c r="W298" s="112"/>
      <c r="X298" s="112"/>
      <c r="Y298" s="112"/>
      <c r="Z298" s="112"/>
      <c r="AA298" s="112"/>
      <c r="AB298" s="112"/>
      <c r="AC298" s="112"/>
    </row>
    <row r="299" spans="2:29">
      <c r="B299" s="112"/>
      <c r="C299" s="112"/>
      <c r="D299" s="112"/>
      <c r="H299" s="112"/>
      <c r="I299" s="112"/>
      <c r="J299" s="112"/>
      <c r="K299" s="112"/>
      <c r="L299" s="112"/>
      <c r="M299" s="112"/>
      <c r="N299" s="112"/>
      <c r="O299" s="112"/>
      <c r="P299" s="112"/>
      <c r="Q299" s="112"/>
      <c r="R299" s="112"/>
      <c r="S299" s="112"/>
      <c r="T299" s="112"/>
      <c r="U299" s="112"/>
      <c r="V299" s="112"/>
      <c r="W299" s="112"/>
      <c r="X299" s="112"/>
      <c r="Y299" s="112"/>
      <c r="Z299" s="112"/>
      <c r="AA299" s="112"/>
      <c r="AB299" s="112"/>
      <c r="AC299" s="112"/>
    </row>
    <row r="300" spans="2:29">
      <c r="B300" s="112"/>
      <c r="C300" s="112"/>
      <c r="D300" s="112"/>
      <c r="H300" s="112"/>
      <c r="I300" s="112"/>
      <c r="J300" s="112"/>
      <c r="K300" s="112"/>
      <c r="L300" s="112"/>
      <c r="M300" s="112"/>
      <c r="N300" s="112"/>
      <c r="O300" s="112"/>
      <c r="P300" s="112"/>
      <c r="Q300" s="112"/>
      <c r="R300" s="112"/>
      <c r="S300" s="112"/>
      <c r="T300" s="112"/>
      <c r="U300" s="112"/>
      <c r="V300" s="112"/>
      <c r="W300" s="112"/>
      <c r="X300" s="112"/>
      <c r="Y300" s="112"/>
      <c r="Z300" s="112"/>
      <c r="AA300" s="112"/>
      <c r="AB300" s="112"/>
      <c r="AC300" s="112"/>
    </row>
  </sheetData>
  <mergeCells count="4">
    <mergeCell ref="B2:G2"/>
    <mergeCell ref="H2:M2"/>
    <mergeCell ref="N2:R2"/>
    <mergeCell ref="S2:Y2"/>
  </mergeCells>
  <phoneticPr fontId="1" type="noConversion"/>
  <hyperlinks>
    <hyperlink ref="A4" display="Select"/>
    <hyperlink ref="AD4" display="Setup"/>
    <hyperlink ref="A5" display="Select"/>
    <hyperlink ref="AD5" display="Setup"/>
    <hyperlink ref="A6" display="Select"/>
    <hyperlink ref="AD6" display="Setup"/>
    <hyperlink ref="A7" display="Select"/>
    <hyperlink ref="AD7" display="Setup"/>
    <hyperlink ref="A8" display="Select"/>
    <hyperlink ref="AD8" display="Setup"/>
    <hyperlink ref="A9" display="Select"/>
    <hyperlink ref="AD9" display="Setup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X777"/>
  <sheetViews>
    <sheetView showGridLines="0" zoomScaleNormal="100" workbookViewId="0">
      <selection activeCell="I42" sqref="I42"/>
    </sheetView>
  </sheetViews>
  <sheetFormatPr defaultRowHeight="14.25"/>
  <cols>
    <col min="1" max="1" width="12" customWidth="1"/>
    <col min="3" max="3" width="7.75" customWidth="1"/>
    <col min="20" max="20" width="2.75" customWidth="1"/>
    <col min="23" max="23" width="10.25" customWidth="1"/>
    <col min="24" max="24" width="15.75" customWidth="1"/>
  </cols>
  <sheetData>
    <row r="1" spans="1:24" ht="22.5" customHeight="1" thickBot="1">
      <c r="A1" s="142"/>
      <c r="B1" s="183"/>
      <c r="C1" s="144">
        <v>8002</v>
      </c>
      <c r="D1" s="145" t="s">
        <v>51</v>
      </c>
      <c r="H1" s="183"/>
      <c r="I1" s="144">
        <v>9072</v>
      </c>
      <c r="J1" s="145" t="s">
        <v>147</v>
      </c>
      <c r="N1" s="184"/>
      <c r="O1" s="143">
        <v>6</v>
      </c>
      <c r="P1" s="143"/>
      <c r="Q1" s="184"/>
      <c r="R1" s="143">
        <v>4</v>
      </c>
      <c r="T1" s="184"/>
      <c r="U1" s="143"/>
    </row>
    <row r="2" spans="1:24">
      <c r="B2" s="100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2"/>
      <c r="W2" s="186"/>
      <c r="X2" s="185">
        <v>2.1590845038233999</v>
      </c>
    </row>
    <row r="3" spans="1:24">
      <c r="B3" s="103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4"/>
      <c r="W3" s="187"/>
      <c r="X3" s="185">
        <v>4.12</v>
      </c>
    </row>
    <row r="4" spans="1:24">
      <c r="B4" s="103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4"/>
      <c r="W4" s="187"/>
      <c r="X4" s="185">
        <v>0.6</v>
      </c>
    </row>
    <row r="5" spans="1:24">
      <c r="B5" s="103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4"/>
      <c r="W5" s="186"/>
      <c r="X5" s="185">
        <v>77791</v>
      </c>
    </row>
    <row r="6" spans="1:24" ht="15" customHeight="1">
      <c r="A6" s="112"/>
      <c r="B6" s="103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4"/>
      <c r="W6" s="188"/>
      <c r="X6" s="185">
        <v>0.94190635641218001</v>
      </c>
    </row>
    <row r="7" spans="1:24">
      <c r="A7">
        <v>0.37221876741825582</v>
      </c>
      <c r="B7" s="103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4"/>
      <c r="W7" s="188"/>
      <c r="X7" s="185">
        <v>0.91178550781720702</v>
      </c>
    </row>
    <row r="8" spans="1:24">
      <c r="A8" s="112"/>
      <c r="B8" s="103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4"/>
      <c r="W8" s="186"/>
      <c r="X8" s="185">
        <v>0.126805220980795</v>
      </c>
    </row>
    <row r="9" spans="1:24">
      <c r="A9">
        <v>0.1314988444602366</v>
      </c>
      <c r="B9" s="103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4"/>
      <c r="W9" s="186"/>
      <c r="X9" s="185">
        <v>2.3393514754840401E-3</v>
      </c>
    </row>
    <row r="10" spans="1:24">
      <c r="B10" s="103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4"/>
    </row>
    <row r="11" spans="1:24">
      <c r="B11" s="103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4"/>
    </row>
    <row r="12" spans="1:24">
      <c r="B12" s="103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4"/>
    </row>
    <row r="13" spans="1:24">
      <c r="B13" s="103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4"/>
    </row>
    <row r="14" spans="1:24">
      <c r="B14" s="103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4"/>
    </row>
    <row r="15" spans="1:24">
      <c r="B15" s="103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4"/>
    </row>
    <row r="16" spans="1:24">
      <c r="B16" s="103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4"/>
    </row>
    <row r="17" spans="2:20">
      <c r="B17" s="103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4"/>
    </row>
    <row r="18" spans="2:20">
      <c r="B18" s="103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4"/>
    </row>
    <row r="19" spans="2:20">
      <c r="B19" s="103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4"/>
    </row>
    <row r="20" spans="2:20">
      <c r="B20" s="103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4"/>
    </row>
    <row r="21" spans="2:20">
      <c r="B21" s="103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4"/>
    </row>
    <row r="22" spans="2:20">
      <c r="B22" s="103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4"/>
    </row>
    <row r="23" spans="2:20">
      <c r="B23" s="103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4"/>
    </row>
    <row r="24" spans="2:20">
      <c r="B24" s="103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4"/>
    </row>
    <row r="25" spans="2:20">
      <c r="B25" s="103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4"/>
    </row>
    <row r="26" spans="2:20">
      <c r="B26" s="103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4"/>
    </row>
    <row r="27" spans="2:20">
      <c r="B27" s="103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4"/>
    </row>
    <row r="28" spans="2:20">
      <c r="B28" s="103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4"/>
    </row>
    <row r="29" spans="2:20">
      <c r="B29" s="103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4"/>
    </row>
    <row r="30" spans="2:20">
      <c r="B30" s="103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4"/>
    </row>
    <row r="31" spans="2:20">
      <c r="B31" s="103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4"/>
    </row>
    <row r="32" spans="2:20">
      <c r="B32" s="103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4"/>
    </row>
    <row r="33" spans="1:20">
      <c r="B33" s="103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4"/>
    </row>
    <row r="34" spans="1:20">
      <c r="B34" s="103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4"/>
    </row>
    <row r="35" spans="1:20">
      <c r="B35" s="103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4"/>
    </row>
    <row r="36" spans="1:20">
      <c r="B36" s="103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4"/>
    </row>
    <row r="37" spans="1:20">
      <c r="B37" s="103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4"/>
    </row>
    <row r="38" spans="1:20" ht="15" thickBot="1">
      <c r="B38" s="105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7"/>
    </row>
    <row r="40" spans="1:20">
      <c r="A40" s="109"/>
      <c r="B40" s="110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</row>
    <row r="41" spans="1:20">
      <c r="A41" s="112" t="s">
        <v>1265</v>
      </c>
      <c r="B41" s="112" t="s">
        <v>1332</v>
      </c>
      <c r="C41" s="112" t="s">
        <v>1333</v>
      </c>
      <c r="D41" s="112" t="s">
        <v>1330</v>
      </c>
      <c r="E41" s="112" t="s">
        <v>1331</v>
      </c>
      <c r="F41" s="112" t="s">
        <v>1266</v>
      </c>
      <c r="G41" s="112" t="s">
        <v>1267</v>
      </c>
      <c r="H41" s="112" t="s">
        <v>1268</v>
      </c>
      <c r="I41" s="112" t="s">
        <v>1269</v>
      </c>
      <c r="J41" s="112" t="s">
        <v>1270</v>
      </c>
      <c r="L41" s="112" t="s">
        <v>297</v>
      </c>
      <c r="M41" s="112" t="s">
        <v>298</v>
      </c>
      <c r="N41" s="112" t="s">
        <v>299</v>
      </c>
      <c r="O41" s="112" t="s">
        <v>300</v>
      </c>
    </row>
    <row r="42" spans="1:20">
      <c r="A42" s="19">
        <v>43812</v>
      </c>
      <c r="B42">
        <v>834.9</v>
      </c>
      <c r="C42">
        <v>837.7</v>
      </c>
      <c r="D42">
        <v>2740</v>
      </c>
      <c r="E42">
        <v>2739</v>
      </c>
      <c r="F42">
        <v>0.30584154801022201</v>
      </c>
      <c r="G42">
        <v>0.29324587384511103</v>
      </c>
      <c r="H42">
        <v>5.8338032359577597E-3</v>
      </c>
      <c r="I42">
        <v>2.1590845038233999</v>
      </c>
      <c r="J42">
        <v>4.12</v>
      </c>
      <c r="L42">
        <v>0.29907967708106881</v>
      </c>
      <c r="M42">
        <v>0.28741207060915325</v>
      </c>
      <c r="N42">
        <v>0.30491348031702653</v>
      </c>
      <c r="O42">
        <v>0.28157826737319552</v>
      </c>
    </row>
    <row r="43" spans="1:20">
      <c r="A43" s="19">
        <v>43811</v>
      </c>
      <c r="B43">
        <v>824</v>
      </c>
      <c r="C43">
        <v>814.9</v>
      </c>
      <c r="D43">
        <v>2726</v>
      </c>
      <c r="E43">
        <v>2711</v>
      </c>
      <c r="F43">
        <v>0.30059018812246402</v>
      </c>
      <c r="G43">
        <v>0.29292682808662301</v>
      </c>
      <c r="H43">
        <v>5.7903835680543202E-3</v>
      </c>
      <c r="I43">
        <v>1.32346328110613</v>
      </c>
      <c r="J43">
        <v>2.5499999999999998</v>
      </c>
      <c r="L43">
        <v>0.29871721165467735</v>
      </c>
      <c r="M43">
        <v>0.28713644451856868</v>
      </c>
      <c r="N43">
        <v>0.30450759522273163</v>
      </c>
      <c r="O43">
        <v>0.2813460609505144</v>
      </c>
    </row>
    <row r="44" spans="1:20">
      <c r="A44" s="19">
        <v>43810</v>
      </c>
      <c r="B44">
        <v>827.2</v>
      </c>
      <c r="C44">
        <v>823.4</v>
      </c>
      <c r="D44">
        <v>2733</v>
      </c>
      <c r="E44">
        <v>2721</v>
      </c>
      <c r="F44">
        <v>0.30260933480338098</v>
      </c>
      <c r="G44">
        <v>0.29273520541025699</v>
      </c>
      <c r="H44">
        <v>5.7713793197452096E-3</v>
      </c>
      <c r="I44">
        <v>1.7108786038967101</v>
      </c>
      <c r="J44">
        <v>3.26</v>
      </c>
      <c r="L44">
        <v>0.29850658473000219</v>
      </c>
      <c r="M44">
        <v>0.2869638260905118</v>
      </c>
      <c r="N44">
        <v>0.30427796404974738</v>
      </c>
      <c r="O44">
        <v>0.2811924467707666</v>
      </c>
    </row>
    <row r="45" spans="1:20">
      <c r="A45" s="19">
        <v>43809</v>
      </c>
      <c r="B45">
        <v>835</v>
      </c>
      <c r="C45">
        <v>829.2</v>
      </c>
      <c r="D45">
        <v>2751</v>
      </c>
      <c r="E45">
        <v>2752</v>
      </c>
      <c r="F45">
        <v>0.301308139534883</v>
      </c>
      <c r="G45">
        <v>0.29248613858188699</v>
      </c>
      <c r="H45">
        <v>5.7428843067083299E-3</v>
      </c>
      <c r="I45">
        <v>1.53616205409038</v>
      </c>
      <c r="J45">
        <v>2.93</v>
      </c>
      <c r="L45">
        <v>0.29822902288859532</v>
      </c>
      <c r="M45">
        <v>0.28674325427517866</v>
      </c>
      <c r="N45">
        <v>0.30397190719530365</v>
      </c>
      <c r="O45">
        <v>0.28100036996847033</v>
      </c>
    </row>
    <row r="46" spans="1:20">
      <c r="A46" s="19">
        <v>43808</v>
      </c>
      <c r="B46">
        <v>830.7</v>
      </c>
      <c r="C46">
        <v>831</v>
      </c>
      <c r="D46">
        <v>2752</v>
      </c>
      <c r="E46">
        <v>2751</v>
      </c>
      <c r="F46">
        <v>0.30207197382769901</v>
      </c>
      <c r="G46">
        <v>0.29220181039522702</v>
      </c>
      <c r="H46">
        <v>5.8263521524913901E-3</v>
      </c>
      <c r="I46">
        <v>1.6940554182346701</v>
      </c>
      <c r="J46">
        <v>3.27</v>
      </c>
      <c r="L46">
        <v>0.29802816254771841</v>
      </c>
      <c r="M46">
        <v>0.28637545824273564</v>
      </c>
      <c r="N46">
        <v>0.3038545147002098</v>
      </c>
      <c r="O46">
        <v>0.28054910609024425</v>
      </c>
    </row>
    <row r="47" spans="1:20">
      <c r="A47" s="19">
        <v>43805</v>
      </c>
      <c r="B47">
        <v>826.6</v>
      </c>
      <c r="C47">
        <v>824.9</v>
      </c>
      <c r="D47">
        <v>2724</v>
      </c>
      <c r="E47">
        <v>2724</v>
      </c>
      <c r="F47">
        <v>0.302826725403817</v>
      </c>
      <c r="G47">
        <v>0.29192539884914798</v>
      </c>
      <c r="H47">
        <v>5.8432672798392898E-3</v>
      </c>
      <c r="I47">
        <v>1.86562175450746</v>
      </c>
      <c r="J47">
        <v>3.6</v>
      </c>
      <c r="L47">
        <v>0.29776866612898728</v>
      </c>
      <c r="M47">
        <v>0.28608213156930867</v>
      </c>
      <c r="N47">
        <v>0.30361193340882653</v>
      </c>
      <c r="O47">
        <v>0.28023886428946942</v>
      </c>
    </row>
    <row r="48" spans="1:20">
      <c r="A48" s="19">
        <v>43804</v>
      </c>
      <c r="B48">
        <v>819.2</v>
      </c>
      <c r="C48">
        <v>826.1</v>
      </c>
      <c r="D48">
        <v>2725</v>
      </c>
      <c r="E48">
        <v>2730</v>
      </c>
      <c r="F48">
        <v>0.302600732600732</v>
      </c>
      <c r="G48">
        <v>0.29161618786747201</v>
      </c>
      <c r="H48">
        <v>5.8717457915459003E-3</v>
      </c>
      <c r="I48">
        <v>1.87074596265314</v>
      </c>
      <c r="J48">
        <v>3.63</v>
      </c>
      <c r="L48">
        <v>0.29748793365901793</v>
      </c>
      <c r="M48">
        <v>0.28574444207592609</v>
      </c>
      <c r="N48">
        <v>0.3033596794505638</v>
      </c>
      <c r="O48">
        <v>0.27987269628438022</v>
      </c>
    </row>
    <row r="49" spans="1:15">
      <c r="A49" s="19">
        <v>43803</v>
      </c>
      <c r="B49">
        <v>809</v>
      </c>
      <c r="C49">
        <v>813.2</v>
      </c>
      <c r="D49">
        <v>2670</v>
      </c>
      <c r="E49">
        <v>2706</v>
      </c>
      <c r="F49">
        <v>0.30051736881005098</v>
      </c>
      <c r="G49">
        <v>0.29132865755151699</v>
      </c>
      <c r="H49">
        <v>5.8547819700548601E-3</v>
      </c>
      <c r="I49">
        <v>1.5694369671716599</v>
      </c>
      <c r="J49">
        <v>3.06</v>
      </c>
      <c r="L49">
        <v>0.29718343952157183</v>
      </c>
      <c r="M49">
        <v>0.28547387558146214</v>
      </c>
      <c r="N49">
        <v>0.30303822149162674</v>
      </c>
      <c r="O49">
        <v>0.27961909361140724</v>
      </c>
    </row>
    <row r="50" spans="1:15">
      <c r="A50" s="19">
        <v>43802</v>
      </c>
      <c r="B50">
        <v>814.4</v>
      </c>
      <c r="C50">
        <v>815.2</v>
      </c>
      <c r="D50">
        <v>2687</v>
      </c>
      <c r="E50">
        <v>2685</v>
      </c>
      <c r="F50">
        <v>0.30361266294227102</v>
      </c>
      <c r="G50">
        <v>0.29101670794290002</v>
      </c>
      <c r="H50">
        <v>5.9788603822714097E-3</v>
      </c>
      <c r="I50">
        <v>2.1067484761345101</v>
      </c>
      <c r="J50">
        <v>4.1500000000000004</v>
      </c>
      <c r="L50">
        <v>0.29699556832517143</v>
      </c>
      <c r="M50">
        <v>0.28503784756062861</v>
      </c>
      <c r="N50">
        <v>0.30297442870744284</v>
      </c>
      <c r="O50">
        <v>0.2790589871783572</v>
      </c>
    </row>
    <row r="51" spans="1:15">
      <c r="A51" s="19">
        <v>43801</v>
      </c>
      <c r="B51">
        <v>810.7</v>
      </c>
      <c r="C51">
        <v>825.2</v>
      </c>
      <c r="D51">
        <v>2706</v>
      </c>
      <c r="E51">
        <v>2730</v>
      </c>
      <c r="F51">
        <v>0.30227106227106199</v>
      </c>
      <c r="G51">
        <v>0.290654339707899</v>
      </c>
      <c r="H51">
        <v>6.0278535234965401E-3</v>
      </c>
      <c r="I51">
        <v>1.9271739961630401</v>
      </c>
      <c r="J51">
        <v>3.84</v>
      </c>
      <c r="L51">
        <v>0.29668219323139555</v>
      </c>
      <c r="M51">
        <v>0.28462648618440245</v>
      </c>
      <c r="N51">
        <v>0.3027100467548921</v>
      </c>
      <c r="O51">
        <v>0.2785986326609059</v>
      </c>
    </row>
    <row r="52" spans="1:15">
      <c r="A52" s="19">
        <v>43798</v>
      </c>
      <c r="B52">
        <v>812</v>
      </c>
      <c r="C52">
        <v>808.2</v>
      </c>
      <c r="D52">
        <v>2724</v>
      </c>
      <c r="E52">
        <v>2715</v>
      </c>
      <c r="F52">
        <v>0.29767955801104901</v>
      </c>
      <c r="G52">
        <v>0.29033560276697801</v>
      </c>
      <c r="H52">
        <v>6.0371814988195898E-3</v>
      </c>
      <c r="I52">
        <v>1.2164542751459899</v>
      </c>
      <c r="J52">
        <v>2.4700000000000002</v>
      </c>
      <c r="L52">
        <v>0.29637278426579761</v>
      </c>
      <c r="M52">
        <v>0.28429842126815841</v>
      </c>
      <c r="N52">
        <v>0.30240996576461721</v>
      </c>
      <c r="O52">
        <v>0.27826123976933881</v>
      </c>
    </row>
    <row r="53" spans="1:15">
      <c r="A53" s="19">
        <v>43797</v>
      </c>
      <c r="B53">
        <v>808.9</v>
      </c>
      <c r="C53">
        <v>811.6</v>
      </c>
      <c r="D53">
        <v>2738</v>
      </c>
      <c r="E53">
        <v>2727</v>
      </c>
      <c r="F53">
        <v>0.29761642830949703</v>
      </c>
      <c r="G53">
        <v>0.290063152162989</v>
      </c>
      <c r="H53">
        <v>6.1594481007064099E-3</v>
      </c>
      <c r="I53">
        <v>1.2262910609868001</v>
      </c>
      <c r="J53">
        <v>2.54</v>
      </c>
      <c r="L53">
        <v>0.2962226002636954</v>
      </c>
      <c r="M53">
        <v>0.2839037040622826</v>
      </c>
      <c r="N53">
        <v>0.3023820483644018</v>
      </c>
      <c r="O53">
        <v>0.2777442559615762</v>
      </c>
    </row>
    <row r="54" spans="1:15">
      <c r="A54" s="19">
        <v>43796</v>
      </c>
      <c r="B54">
        <v>806.3</v>
      </c>
      <c r="C54">
        <v>809.7</v>
      </c>
      <c r="D54">
        <v>2749</v>
      </c>
      <c r="E54">
        <v>2741</v>
      </c>
      <c r="F54">
        <v>0.29540313754104303</v>
      </c>
      <c r="G54">
        <v>0.28985750572121399</v>
      </c>
      <c r="H54">
        <v>6.1613055553055001E-3</v>
      </c>
      <c r="I54">
        <v>0.90007414338571601</v>
      </c>
      <c r="J54">
        <v>1.88</v>
      </c>
      <c r="L54">
        <v>0.29601881127651947</v>
      </c>
      <c r="M54">
        <v>0.28369620016590852</v>
      </c>
      <c r="N54">
        <v>0.302180116831825</v>
      </c>
      <c r="O54">
        <v>0.27753489461060299</v>
      </c>
    </row>
    <row r="55" spans="1:15">
      <c r="A55" s="19">
        <v>43795</v>
      </c>
      <c r="B55">
        <v>809.9</v>
      </c>
      <c r="C55">
        <v>804.8</v>
      </c>
      <c r="D55">
        <v>2766</v>
      </c>
      <c r="E55">
        <v>2725</v>
      </c>
      <c r="F55">
        <v>0.29533944954128399</v>
      </c>
      <c r="G55">
        <v>0.28980797321836999</v>
      </c>
      <c r="H55">
        <v>6.1313835952478404E-3</v>
      </c>
      <c r="I55">
        <v>0.90215792846519705</v>
      </c>
      <c r="J55">
        <v>1.87</v>
      </c>
      <c r="L55">
        <v>0.29593935681361783</v>
      </c>
      <c r="M55">
        <v>0.28367658962312214</v>
      </c>
      <c r="N55">
        <v>0.30207074040886567</v>
      </c>
      <c r="O55">
        <v>0.2775452060278743</v>
      </c>
    </row>
    <row r="56" spans="1:15">
      <c r="A56" s="19">
        <v>43794</v>
      </c>
      <c r="B56">
        <v>806.7</v>
      </c>
      <c r="C56">
        <v>805.2</v>
      </c>
      <c r="D56">
        <v>2743</v>
      </c>
      <c r="E56">
        <v>2758</v>
      </c>
      <c r="F56">
        <v>0.29195068890500298</v>
      </c>
      <c r="G56">
        <v>0.289641910919468</v>
      </c>
      <c r="H56">
        <v>6.1479590344840299E-3</v>
      </c>
      <c r="I56">
        <v>0.375535681449013</v>
      </c>
      <c r="J56">
        <v>0.79</v>
      </c>
      <c r="L56">
        <v>0.29578986995395201</v>
      </c>
      <c r="M56">
        <v>0.283493951884984</v>
      </c>
      <c r="N56">
        <v>0.30193782898843607</v>
      </c>
      <c r="O56">
        <v>0.27734599285049993</v>
      </c>
    </row>
    <row r="57" spans="1:15">
      <c r="A57" s="19">
        <v>43791</v>
      </c>
      <c r="B57">
        <v>798</v>
      </c>
      <c r="C57">
        <v>796.9</v>
      </c>
      <c r="D57">
        <v>2719</v>
      </c>
      <c r="E57">
        <v>2715</v>
      </c>
      <c r="F57">
        <v>0.29351749539594801</v>
      </c>
      <c r="G57">
        <v>0.28950596596804301</v>
      </c>
      <c r="H57">
        <v>6.2078388408545598E-3</v>
      </c>
      <c r="I57">
        <v>0.64620386107711802</v>
      </c>
      <c r="J57">
        <v>1.37</v>
      </c>
      <c r="L57">
        <v>0.29571380480889758</v>
      </c>
      <c r="M57">
        <v>0.28329812712718844</v>
      </c>
      <c r="N57">
        <v>0.30192164364975216</v>
      </c>
      <c r="O57">
        <v>0.27709028828633386</v>
      </c>
    </row>
    <row r="58" spans="1:15">
      <c r="A58" s="19">
        <v>43790</v>
      </c>
      <c r="B58">
        <v>794.1</v>
      </c>
      <c r="C58">
        <v>797.4</v>
      </c>
      <c r="D58">
        <v>2689</v>
      </c>
      <c r="E58">
        <v>2707</v>
      </c>
      <c r="F58">
        <v>0.29456963428149202</v>
      </c>
      <c r="G58">
        <v>0.28933795447931898</v>
      </c>
      <c r="H58">
        <v>6.2672289472260698E-3</v>
      </c>
      <c r="I58">
        <v>0.83476762158001305</v>
      </c>
      <c r="J58">
        <v>1.78</v>
      </c>
      <c r="L58">
        <v>0.29560518342654507</v>
      </c>
      <c r="M58">
        <v>0.28307072553209289</v>
      </c>
      <c r="N58">
        <v>0.3018724123737711</v>
      </c>
      <c r="O58">
        <v>0.27680349658486686</v>
      </c>
    </row>
    <row r="59" spans="1:15">
      <c r="A59" s="19">
        <v>43789</v>
      </c>
      <c r="B59">
        <v>798.5</v>
      </c>
      <c r="C59">
        <v>793.8</v>
      </c>
      <c r="D59">
        <v>2731</v>
      </c>
      <c r="E59">
        <v>2694</v>
      </c>
      <c r="F59">
        <v>0.29465478841870801</v>
      </c>
      <c r="G59">
        <v>0.28911261460260002</v>
      </c>
      <c r="H59">
        <v>6.3779246590546399E-3</v>
      </c>
      <c r="I59">
        <v>0.86896194489220902</v>
      </c>
      <c r="J59">
        <v>1.88</v>
      </c>
      <c r="L59">
        <v>0.29549053926165464</v>
      </c>
      <c r="M59">
        <v>0.28273468994354539</v>
      </c>
      <c r="N59">
        <v>0.30186846392070932</v>
      </c>
      <c r="O59">
        <v>0.27635676528449071</v>
      </c>
    </row>
    <row r="60" spans="1:15">
      <c r="A60" s="19">
        <v>43788</v>
      </c>
      <c r="B60">
        <v>808</v>
      </c>
      <c r="C60">
        <v>805</v>
      </c>
      <c r="D60">
        <v>2724</v>
      </c>
      <c r="E60">
        <v>2745</v>
      </c>
      <c r="F60">
        <v>0.29326047358834201</v>
      </c>
      <c r="G60">
        <v>0.288850295329175</v>
      </c>
      <c r="H60">
        <v>6.5469327649552E-3</v>
      </c>
      <c r="I60">
        <v>0.67362510315880797</v>
      </c>
      <c r="J60">
        <v>1.5</v>
      </c>
      <c r="L60">
        <v>0.29539722809413022</v>
      </c>
      <c r="M60">
        <v>0.28230336256421978</v>
      </c>
      <c r="N60">
        <v>0.30194416085908538</v>
      </c>
      <c r="O60">
        <v>0.27575642979926462</v>
      </c>
    </row>
    <row r="61" spans="1:15">
      <c r="A61" s="19">
        <v>43787</v>
      </c>
      <c r="B61">
        <v>810</v>
      </c>
      <c r="C61">
        <v>810.6</v>
      </c>
      <c r="D61">
        <v>2755</v>
      </c>
      <c r="E61">
        <v>2743</v>
      </c>
      <c r="F61">
        <v>0.29551585854903301</v>
      </c>
      <c r="G61">
        <v>0.28863608937726398</v>
      </c>
      <c r="H61">
        <v>6.6609598266586202E-3</v>
      </c>
      <c r="I61">
        <v>1.03284952181136</v>
      </c>
      <c r="J61">
        <v>2.33</v>
      </c>
      <c r="L61">
        <v>0.29529704920392258</v>
      </c>
      <c r="M61">
        <v>0.28197512955060539</v>
      </c>
      <c r="N61">
        <v>0.30195800903058123</v>
      </c>
      <c r="O61">
        <v>0.27531416972394673</v>
      </c>
    </row>
    <row r="62" spans="1:15">
      <c r="A62" s="19">
        <v>43784</v>
      </c>
      <c r="B62">
        <v>799.9</v>
      </c>
      <c r="C62">
        <v>811</v>
      </c>
      <c r="D62">
        <v>2724</v>
      </c>
      <c r="E62">
        <v>2754</v>
      </c>
      <c r="F62">
        <v>0.29448075526506901</v>
      </c>
      <c r="G62">
        <v>0.28837736227474497</v>
      </c>
      <c r="H62">
        <v>6.7647586157610204E-3</v>
      </c>
      <c r="I62">
        <v>0.90223366966910301</v>
      </c>
      <c r="J62">
        <v>2.0699999999999998</v>
      </c>
      <c r="L62">
        <v>0.29514212089050601</v>
      </c>
      <c r="M62">
        <v>0.28161260365898394</v>
      </c>
      <c r="N62">
        <v>0.30190687950626699</v>
      </c>
      <c r="O62">
        <v>0.27484784504322296</v>
      </c>
    </row>
    <row r="63" spans="1:15">
      <c r="A63" s="19">
        <v>43783</v>
      </c>
      <c r="B63">
        <v>802</v>
      </c>
      <c r="C63">
        <v>793.8</v>
      </c>
      <c r="D63">
        <v>2740</v>
      </c>
      <c r="E63">
        <v>2705</v>
      </c>
      <c r="F63">
        <v>0.29345656192236502</v>
      </c>
      <c r="G63">
        <v>0.28817377549150902</v>
      </c>
      <c r="H63">
        <v>6.80763833005784E-3</v>
      </c>
      <c r="I63">
        <v>0.77600867947567298</v>
      </c>
      <c r="J63">
        <v>1.8</v>
      </c>
      <c r="L63">
        <v>0.29498141382156684</v>
      </c>
      <c r="M63">
        <v>0.2813661371614512</v>
      </c>
      <c r="N63">
        <v>0.30178905215162471</v>
      </c>
      <c r="O63">
        <v>0.27455849883139333</v>
      </c>
    </row>
    <row r="64" spans="1:15">
      <c r="A64" s="19">
        <v>43782</v>
      </c>
      <c r="B64">
        <v>814</v>
      </c>
      <c r="C64">
        <v>804.7</v>
      </c>
      <c r="D64">
        <v>2761</v>
      </c>
      <c r="E64">
        <v>2744</v>
      </c>
      <c r="F64">
        <v>0.29325801749271102</v>
      </c>
      <c r="G64">
        <v>0.28802737647273102</v>
      </c>
      <c r="H64">
        <v>6.8105189165604697E-3</v>
      </c>
      <c r="I64">
        <v>0.76802385898388903</v>
      </c>
      <c r="J64">
        <v>1.78</v>
      </c>
      <c r="L64">
        <v>0.2948378953892915</v>
      </c>
      <c r="M64">
        <v>0.28121685755617054</v>
      </c>
      <c r="N64">
        <v>0.30164841430585199</v>
      </c>
      <c r="O64">
        <v>0.27440633863961006</v>
      </c>
    </row>
    <row r="65" spans="1:15">
      <c r="A65" s="19">
        <v>43781</v>
      </c>
      <c r="B65">
        <v>801</v>
      </c>
      <c r="C65">
        <v>815.9</v>
      </c>
      <c r="D65">
        <v>2718</v>
      </c>
      <c r="E65">
        <v>2764</v>
      </c>
      <c r="F65">
        <v>0.29518813314037601</v>
      </c>
      <c r="G65">
        <v>0.28785641128163197</v>
      </c>
      <c r="H65">
        <v>6.8379533469986103E-3</v>
      </c>
      <c r="I65">
        <v>1.0722099854574201</v>
      </c>
      <c r="J65">
        <v>2.48</v>
      </c>
      <c r="L65">
        <v>0.29469436462863058</v>
      </c>
      <c r="M65">
        <v>0.28101845793463337</v>
      </c>
      <c r="N65">
        <v>0.30153231797562918</v>
      </c>
      <c r="O65">
        <v>0.27418050458763477</v>
      </c>
    </row>
    <row r="66" spans="1:15">
      <c r="A66" s="19">
        <v>43780</v>
      </c>
      <c r="B66">
        <v>803.2</v>
      </c>
      <c r="C66">
        <v>806.1</v>
      </c>
      <c r="D66">
        <v>2706</v>
      </c>
      <c r="E66">
        <v>2725</v>
      </c>
      <c r="F66">
        <v>0.295816513761467</v>
      </c>
      <c r="G66">
        <v>0.287673228033406</v>
      </c>
      <c r="H66">
        <v>6.8230975594114097E-3</v>
      </c>
      <c r="I66">
        <v>1.1934880979136799</v>
      </c>
      <c r="J66">
        <v>2.75</v>
      </c>
      <c r="L66">
        <v>0.29449632559281741</v>
      </c>
      <c r="M66">
        <v>0.2808501304739946</v>
      </c>
      <c r="N66">
        <v>0.30131942315222882</v>
      </c>
      <c r="O66">
        <v>0.27402703291458319</v>
      </c>
    </row>
    <row r="67" spans="1:15">
      <c r="A67" s="19">
        <v>43777</v>
      </c>
      <c r="B67">
        <v>796.9</v>
      </c>
      <c r="C67">
        <v>800.2</v>
      </c>
      <c r="D67">
        <v>2716</v>
      </c>
      <c r="E67">
        <v>2706</v>
      </c>
      <c r="F67">
        <v>0.29571322985957099</v>
      </c>
      <c r="G67">
        <v>0.28743173158532798</v>
      </c>
      <c r="H67">
        <v>6.8510751488620198E-3</v>
      </c>
      <c r="I67">
        <v>1.2087881236594</v>
      </c>
      <c r="J67">
        <v>2.8</v>
      </c>
      <c r="L67">
        <v>0.29428280673418999</v>
      </c>
      <c r="M67">
        <v>0.28058065643646596</v>
      </c>
      <c r="N67">
        <v>0.30113388188305201</v>
      </c>
      <c r="O67">
        <v>0.27372958128760394</v>
      </c>
    </row>
    <row r="68" spans="1:15">
      <c r="A68" s="19">
        <v>43776</v>
      </c>
      <c r="B68">
        <v>784</v>
      </c>
      <c r="C68">
        <v>785.8</v>
      </c>
      <c r="D68">
        <v>2731</v>
      </c>
      <c r="E68">
        <v>2656</v>
      </c>
      <c r="F68">
        <v>0.29585843373493897</v>
      </c>
      <c r="G68">
        <v>0.28722810027738099</v>
      </c>
      <c r="H68">
        <v>6.8288321514961602E-3</v>
      </c>
      <c r="I68">
        <v>1.2638081103907799</v>
      </c>
      <c r="J68">
        <v>2.92</v>
      </c>
      <c r="L68">
        <v>0.29405693242887715</v>
      </c>
      <c r="M68">
        <v>0.28039926812588484</v>
      </c>
      <c r="N68">
        <v>0.3008857645803733</v>
      </c>
      <c r="O68">
        <v>0.27357043597438868</v>
      </c>
    </row>
    <row r="69" spans="1:15">
      <c r="A69" s="19">
        <v>43775</v>
      </c>
      <c r="B69">
        <v>770</v>
      </c>
      <c r="C69">
        <v>784.8</v>
      </c>
      <c r="D69">
        <v>2721</v>
      </c>
      <c r="E69">
        <v>2713</v>
      </c>
      <c r="F69">
        <v>0.28927386656837401</v>
      </c>
      <c r="G69">
        <v>0.28696368996614002</v>
      </c>
      <c r="H69">
        <v>6.8733251327984402E-3</v>
      </c>
      <c r="I69">
        <v>0.33610756913131101</v>
      </c>
      <c r="J69">
        <v>0.8</v>
      </c>
      <c r="L69">
        <v>0.29383701509893845</v>
      </c>
      <c r="M69">
        <v>0.2800903648333416</v>
      </c>
      <c r="N69">
        <v>0.30071034023173693</v>
      </c>
      <c r="O69">
        <v>0.27321703970054312</v>
      </c>
    </row>
    <row r="70" spans="1:15">
      <c r="A70" s="19">
        <v>43774</v>
      </c>
      <c r="B70">
        <v>769</v>
      </c>
      <c r="C70">
        <v>768.5</v>
      </c>
      <c r="D70">
        <v>2648</v>
      </c>
      <c r="E70">
        <v>2699</v>
      </c>
      <c r="F70">
        <v>0.28473508706928402</v>
      </c>
      <c r="G70">
        <v>0.28680500191554498</v>
      </c>
      <c r="H70">
        <v>6.95506031216189E-3</v>
      </c>
      <c r="I70">
        <v>-0.29761278168078398</v>
      </c>
      <c r="J70">
        <v>-0.73</v>
      </c>
      <c r="L70">
        <v>0.29376006222770684</v>
      </c>
      <c r="M70">
        <v>0.27984994160338311</v>
      </c>
      <c r="N70">
        <v>0.30071512253986876</v>
      </c>
      <c r="O70">
        <v>0.27289488129122119</v>
      </c>
    </row>
    <row r="71" spans="1:15">
      <c r="A71" s="19">
        <v>43770</v>
      </c>
      <c r="B71">
        <v>758.8</v>
      </c>
      <c r="C71">
        <v>756.1</v>
      </c>
      <c r="D71">
        <v>2609</v>
      </c>
      <c r="E71">
        <v>2622</v>
      </c>
      <c r="F71">
        <v>0.28836765827612498</v>
      </c>
      <c r="G71">
        <v>0.28675789207460001</v>
      </c>
      <c r="H71">
        <v>6.98083960642142E-3</v>
      </c>
      <c r="I71">
        <v>0.23059779228326599</v>
      </c>
      <c r="J71">
        <v>0.56000000000000005</v>
      </c>
      <c r="L71">
        <v>0.29373873168102144</v>
      </c>
      <c r="M71">
        <v>0.27977705246817858</v>
      </c>
      <c r="N71">
        <v>0.30071957128744287</v>
      </c>
      <c r="O71">
        <v>0.27279621286175715</v>
      </c>
    </row>
    <row r="72" spans="1:15">
      <c r="A72" s="19">
        <v>43769</v>
      </c>
      <c r="B72">
        <v>762</v>
      </c>
      <c r="C72">
        <v>765.8</v>
      </c>
      <c r="D72">
        <v>2651</v>
      </c>
      <c r="E72">
        <v>2652</v>
      </c>
      <c r="F72">
        <v>0.28876319758672597</v>
      </c>
      <c r="G72">
        <v>0.286646219898335</v>
      </c>
      <c r="H72">
        <v>7.0210696739893396E-3</v>
      </c>
      <c r="I72">
        <v>0.301517829431933</v>
      </c>
      <c r="J72">
        <v>0.73</v>
      </c>
      <c r="L72">
        <v>0.29366728957232435</v>
      </c>
      <c r="M72">
        <v>0.27962515022434564</v>
      </c>
      <c r="N72">
        <v>0.30068835924631365</v>
      </c>
      <c r="O72">
        <v>0.27260408055035634</v>
      </c>
    </row>
    <row r="73" spans="1:15">
      <c r="A73" s="19">
        <v>43768</v>
      </c>
      <c r="B73">
        <v>765</v>
      </c>
      <c r="C73">
        <v>766.7</v>
      </c>
      <c r="D73">
        <v>2621</v>
      </c>
      <c r="E73">
        <v>2629</v>
      </c>
      <c r="F73">
        <v>0.291631799163179</v>
      </c>
      <c r="G73">
        <v>0.28659703895538702</v>
      </c>
      <c r="H73">
        <v>7.01898696894544E-3</v>
      </c>
      <c r="I73">
        <v>0.71730582063588999</v>
      </c>
      <c r="J73">
        <v>1.73</v>
      </c>
      <c r="L73">
        <v>0.29361602592433245</v>
      </c>
      <c r="M73">
        <v>0.27957805198644159</v>
      </c>
      <c r="N73">
        <v>0.30063501289327788</v>
      </c>
      <c r="O73">
        <v>0.27255906501749616</v>
      </c>
    </row>
    <row r="74" spans="1:15">
      <c r="A74" s="19">
        <v>43767</v>
      </c>
      <c r="B74">
        <v>759</v>
      </c>
      <c r="C74">
        <v>761.9</v>
      </c>
      <c r="D74">
        <v>2630</v>
      </c>
      <c r="E74">
        <v>2627</v>
      </c>
      <c r="F74">
        <v>0.29002664636467401</v>
      </c>
      <c r="G74">
        <v>0.28653497398101502</v>
      </c>
      <c r="H74">
        <v>6.9947313072722802E-3</v>
      </c>
      <c r="I74">
        <v>0.49918606309133201</v>
      </c>
      <c r="J74">
        <v>1.2</v>
      </c>
      <c r="L74">
        <v>0.29352970528828731</v>
      </c>
      <c r="M74">
        <v>0.27954024267374272</v>
      </c>
      <c r="N74">
        <v>0.30052443659555955</v>
      </c>
      <c r="O74">
        <v>0.27254551136647048</v>
      </c>
    </row>
    <row r="75" spans="1:15">
      <c r="A75" s="19">
        <v>43766</v>
      </c>
      <c r="B75">
        <v>755</v>
      </c>
      <c r="C75">
        <v>753.8</v>
      </c>
      <c r="D75">
        <v>2598</v>
      </c>
      <c r="E75">
        <v>2595</v>
      </c>
      <c r="F75">
        <v>0.29048169556839998</v>
      </c>
      <c r="G75">
        <v>0.28645853874773197</v>
      </c>
      <c r="H75">
        <v>6.9874763682024697E-3</v>
      </c>
      <c r="I75">
        <v>0.57576678741638299</v>
      </c>
      <c r="J75">
        <v>1.38</v>
      </c>
      <c r="L75">
        <v>0.29344601511593443</v>
      </c>
      <c r="M75">
        <v>0.27947106237952951</v>
      </c>
      <c r="N75">
        <v>0.30043349148413689</v>
      </c>
      <c r="O75">
        <v>0.27248358601132705</v>
      </c>
    </row>
    <row r="76" spans="1:15">
      <c r="A76" s="19">
        <v>43763</v>
      </c>
      <c r="B76">
        <v>751.9</v>
      </c>
      <c r="C76">
        <v>753.1</v>
      </c>
      <c r="D76">
        <v>2595</v>
      </c>
      <c r="E76">
        <v>2594</v>
      </c>
      <c r="F76">
        <v>0.29032382420971398</v>
      </c>
      <c r="G76">
        <v>0.28632917638725602</v>
      </c>
      <c r="H76">
        <v>7.00159251693536E-3</v>
      </c>
      <c r="I76">
        <v>0.57053417673136897</v>
      </c>
      <c r="J76">
        <v>1.38</v>
      </c>
      <c r="L76">
        <v>0.29333076890419141</v>
      </c>
      <c r="M76">
        <v>0.27932758387032064</v>
      </c>
      <c r="N76">
        <v>0.30033236142112674</v>
      </c>
      <c r="O76">
        <v>0.27232599135338531</v>
      </c>
    </row>
    <row r="77" spans="1:15">
      <c r="A77" s="19">
        <v>43762</v>
      </c>
      <c r="B77">
        <v>753.7</v>
      </c>
      <c r="C77">
        <v>752.5</v>
      </c>
      <c r="D77">
        <v>2619</v>
      </c>
      <c r="E77">
        <v>2593</v>
      </c>
      <c r="F77">
        <v>0.29020439645198598</v>
      </c>
      <c r="G77">
        <v>0.28620841462582303</v>
      </c>
      <c r="H77">
        <v>7.0097552155777999E-3</v>
      </c>
      <c r="I77">
        <v>0.57006010955733699</v>
      </c>
      <c r="J77">
        <v>1.38</v>
      </c>
      <c r="L77">
        <v>0.29321816984140081</v>
      </c>
      <c r="M77">
        <v>0.27919865941024524</v>
      </c>
      <c r="N77">
        <v>0.30022792505697865</v>
      </c>
      <c r="O77">
        <v>0.2721889041946674</v>
      </c>
    </row>
    <row r="78" spans="1:15">
      <c r="A78" s="19">
        <v>43761</v>
      </c>
      <c r="B78">
        <v>745.9</v>
      </c>
      <c r="C78">
        <v>748.6</v>
      </c>
      <c r="D78">
        <v>2585</v>
      </c>
      <c r="E78">
        <v>2555</v>
      </c>
      <c r="F78">
        <v>0.29299412915851197</v>
      </c>
      <c r="G78">
        <v>0.28610862102002399</v>
      </c>
      <c r="H78">
        <v>7.0054314521063102E-3</v>
      </c>
      <c r="I78">
        <v>0.98288138076320797</v>
      </c>
      <c r="J78">
        <v>2.35</v>
      </c>
      <c r="L78">
        <v>0.29311405247213029</v>
      </c>
      <c r="M78">
        <v>0.27910318956791769</v>
      </c>
      <c r="N78">
        <v>0.3001194839242366</v>
      </c>
      <c r="O78">
        <v>0.27209775811581138</v>
      </c>
    </row>
    <row r="79" spans="1:15">
      <c r="A79" s="19">
        <v>43759</v>
      </c>
      <c r="B79">
        <v>734.7</v>
      </c>
      <c r="C79">
        <v>741.7</v>
      </c>
      <c r="D79">
        <v>2581</v>
      </c>
      <c r="E79">
        <v>2574</v>
      </c>
      <c r="F79">
        <v>0.288150738150738</v>
      </c>
      <c r="G79">
        <v>0.28603343843951901</v>
      </c>
      <c r="H79">
        <v>6.96125049116354E-3</v>
      </c>
      <c r="I79">
        <v>0.30415508160580801</v>
      </c>
      <c r="J79">
        <v>0.73</v>
      </c>
      <c r="L79">
        <v>0.29299468893068253</v>
      </c>
      <c r="M79">
        <v>0.27907218794835548</v>
      </c>
      <c r="N79">
        <v>0.29995593942184606</v>
      </c>
      <c r="O79">
        <v>0.27211093745719195</v>
      </c>
    </row>
    <row r="80" spans="1:15">
      <c r="A80" s="19">
        <v>43756</v>
      </c>
      <c r="B80">
        <v>733.2</v>
      </c>
      <c r="C80">
        <v>733.7</v>
      </c>
      <c r="D80">
        <v>2590</v>
      </c>
      <c r="E80">
        <v>2568</v>
      </c>
      <c r="F80">
        <v>0.285708722741433</v>
      </c>
      <c r="G80">
        <v>0.286051433801777</v>
      </c>
      <c r="H80">
        <v>6.9684413750847798E-3</v>
      </c>
      <c r="I80">
        <v>-4.9180446802607601E-2</v>
      </c>
      <c r="J80">
        <v>-0.12</v>
      </c>
      <c r="L80">
        <v>0.29301987517686179</v>
      </c>
      <c r="M80">
        <v>0.27908299242669221</v>
      </c>
      <c r="N80">
        <v>0.29998831655194658</v>
      </c>
      <c r="O80">
        <v>0.27211455105160742</v>
      </c>
    </row>
    <row r="81" spans="1:15">
      <c r="A81" s="19">
        <v>43755</v>
      </c>
      <c r="B81">
        <v>736.5</v>
      </c>
      <c r="C81">
        <v>731.6</v>
      </c>
      <c r="D81">
        <v>2605</v>
      </c>
      <c r="E81">
        <v>2573</v>
      </c>
      <c r="F81">
        <v>0.28433734939758998</v>
      </c>
      <c r="G81">
        <v>0.28608772310805097</v>
      </c>
      <c r="H81">
        <v>6.9736470603420303E-3</v>
      </c>
      <c r="I81">
        <v>-0.25099832201361699</v>
      </c>
      <c r="J81">
        <v>-0.62</v>
      </c>
      <c r="L81">
        <v>0.29306137016839301</v>
      </c>
      <c r="M81">
        <v>0.27911407604770894</v>
      </c>
      <c r="N81">
        <v>0.30003501722873505</v>
      </c>
      <c r="O81">
        <v>0.2721404289873669</v>
      </c>
    </row>
    <row r="82" spans="1:15">
      <c r="A82" s="19">
        <v>43754</v>
      </c>
      <c r="B82">
        <v>749.5</v>
      </c>
      <c r="C82">
        <v>736</v>
      </c>
      <c r="D82">
        <v>2592</v>
      </c>
      <c r="E82">
        <v>2590</v>
      </c>
      <c r="F82">
        <v>0.28416988416988398</v>
      </c>
      <c r="G82">
        <v>0.28613521659638103</v>
      </c>
      <c r="H82">
        <v>6.9736939523852102E-3</v>
      </c>
      <c r="I82">
        <v>-0.28182085992250799</v>
      </c>
      <c r="J82">
        <v>-0.69</v>
      </c>
      <c r="L82">
        <v>0.29310891054876625</v>
      </c>
      <c r="M82">
        <v>0.2791615226439958</v>
      </c>
      <c r="N82">
        <v>0.30008260450115143</v>
      </c>
      <c r="O82">
        <v>0.27218782869161062</v>
      </c>
    </row>
    <row r="83" spans="1:15">
      <c r="A83" s="19">
        <v>43753</v>
      </c>
      <c r="B83">
        <v>744</v>
      </c>
      <c r="C83">
        <v>746.1</v>
      </c>
      <c r="D83">
        <v>2578</v>
      </c>
      <c r="E83">
        <v>2563</v>
      </c>
      <c r="F83">
        <v>0.29110417479516099</v>
      </c>
      <c r="G83">
        <v>0.286236118748316</v>
      </c>
      <c r="H83">
        <v>6.9992290200385403E-3</v>
      </c>
      <c r="I83">
        <v>0.69551318193877198</v>
      </c>
      <c r="J83">
        <v>1.67</v>
      </c>
      <c r="L83">
        <v>0.29323534776835453</v>
      </c>
      <c r="M83">
        <v>0.27923688972827748</v>
      </c>
      <c r="N83">
        <v>0.3002345767883931</v>
      </c>
      <c r="O83">
        <v>0.2722376607082389</v>
      </c>
    </row>
    <row r="84" spans="1:15">
      <c r="A84" s="19">
        <v>43749</v>
      </c>
      <c r="B84">
        <v>727.3</v>
      </c>
      <c r="C84">
        <v>734.5</v>
      </c>
      <c r="D84">
        <v>2500</v>
      </c>
      <c r="E84">
        <v>2504</v>
      </c>
      <c r="F84">
        <v>0.29333067092651699</v>
      </c>
      <c r="G84">
        <v>0.28620764359679302</v>
      </c>
      <c r="H84">
        <v>6.9836932451711803E-3</v>
      </c>
      <c r="I84">
        <v>1.0199513466101</v>
      </c>
      <c r="J84">
        <v>2.4300000000000002</v>
      </c>
      <c r="L84">
        <v>0.29319133684196419</v>
      </c>
      <c r="M84">
        <v>0.27922395035162184</v>
      </c>
      <c r="N84">
        <v>0.30017503008713536</v>
      </c>
      <c r="O84">
        <v>0.27224025710645067</v>
      </c>
    </row>
    <row r="85" spans="1:15">
      <c r="A85" s="19">
        <v>43748</v>
      </c>
      <c r="B85">
        <v>709.8</v>
      </c>
      <c r="C85">
        <v>717.2</v>
      </c>
      <c r="D85">
        <v>2491</v>
      </c>
      <c r="E85">
        <v>2484</v>
      </c>
      <c r="F85">
        <v>0.28872785829307501</v>
      </c>
      <c r="G85">
        <v>0.28615630068260001</v>
      </c>
      <c r="H85">
        <v>6.9451859873354404E-3</v>
      </c>
      <c r="I85">
        <v>0.37026475823175597</v>
      </c>
      <c r="J85">
        <v>0.89</v>
      </c>
      <c r="L85">
        <v>0.29310148666993546</v>
      </c>
      <c r="M85">
        <v>0.27921111469526455</v>
      </c>
      <c r="N85">
        <v>0.30004667265727086</v>
      </c>
      <c r="O85">
        <v>0.27226592870792915</v>
      </c>
    </row>
    <row r="86" spans="1:15">
      <c r="A86" s="19">
        <v>43747</v>
      </c>
      <c r="B86">
        <v>714.1</v>
      </c>
      <c r="C86">
        <v>711.2</v>
      </c>
      <c r="D86">
        <v>2435</v>
      </c>
      <c r="E86">
        <v>2483</v>
      </c>
      <c r="F86">
        <v>0.28642770841723703</v>
      </c>
      <c r="G86">
        <v>0.28616415481454599</v>
      </c>
      <c r="H86">
        <v>6.9484219770390102E-3</v>
      </c>
      <c r="I86">
        <v>3.7929993826168303E-2</v>
      </c>
      <c r="J86">
        <v>0.09</v>
      </c>
      <c r="L86">
        <v>0.29311257679158498</v>
      </c>
      <c r="M86">
        <v>0.279215732837507</v>
      </c>
      <c r="N86">
        <v>0.30006099876862402</v>
      </c>
      <c r="O86">
        <v>0.27226731086046796</v>
      </c>
    </row>
    <row r="87" spans="1:15">
      <c r="A87" s="19">
        <v>43746</v>
      </c>
      <c r="B87">
        <v>710.4</v>
      </c>
      <c r="C87">
        <v>722.7</v>
      </c>
      <c r="D87">
        <v>2468</v>
      </c>
      <c r="E87">
        <v>2461</v>
      </c>
      <c r="F87">
        <v>0.293661113368549</v>
      </c>
      <c r="G87">
        <v>0.28611200750409299</v>
      </c>
      <c r="H87">
        <v>6.9609131624370603E-3</v>
      </c>
      <c r="I87">
        <v>1.0844993592496599</v>
      </c>
      <c r="J87">
        <v>2.57</v>
      </c>
      <c r="L87">
        <v>0.29307292066653007</v>
      </c>
      <c r="M87">
        <v>0.27915109434165591</v>
      </c>
      <c r="N87">
        <v>0.30003383382896709</v>
      </c>
      <c r="O87">
        <v>0.27219018117921889</v>
      </c>
    </row>
    <row r="88" spans="1:15">
      <c r="A88" s="19">
        <v>43745</v>
      </c>
      <c r="B88">
        <v>698.5</v>
      </c>
      <c r="C88">
        <v>694.6</v>
      </c>
      <c r="D88">
        <v>2426</v>
      </c>
      <c r="E88">
        <v>2420</v>
      </c>
      <c r="F88">
        <v>0.28702479338842901</v>
      </c>
      <c r="G88">
        <v>0.28599639603799698</v>
      </c>
      <c r="H88">
        <v>6.9063644909934697E-3</v>
      </c>
      <c r="I88">
        <v>0.14890574509551399</v>
      </c>
      <c r="J88">
        <v>0.36</v>
      </c>
      <c r="L88">
        <v>0.29290276052899045</v>
      </c>
      <c r="M88">
        <v>0.27909003154700351</v>
      </c>
      <c r="N88">
        <v>0.29980912501998391</v>
      </c>
      <c r="O88">
        <v>0.27218366705601005</v>
      </c>
    </row>
    <row r="89" spans="1:15">
      <c r="A89" s="19">
        <v>43742</v>
      </c>
      <c r="B89">
        <v>694.9</v>
      </c>
      <c r="C89">
        <v>694.1</v>
      </c>
      <c r="D89">
        <v>2410</v>
      </c>
      <c r="E89">
        <v>2423</v>
      </c>
      <c r="F89">
        <v>0.28646306231943802</v>
      </c>
      <c r="G89">
        <v>0.28587257339599198</v>
      </c>
      <c r="H89">
        <v>6.9697750453176699E-3</v>
      </c>
      <c r="I89">
        <v>8.4721374736861796E-2</v>
      </c>
      <c r="J89">
        <v>0.21</v>
      </c>
      <c r="L89">
        <v>0.29284234844130963</v>
      </c>
      <c r="M89">
        <v>0.27890279835067433</v>
      </c>
      <c r="N89">
        <v>0.29981212348662734</v>
      </c>
      <c r="O89">
        <v>0.27193302330535662</v>
      </c>
    </row>
    <row r="90" spans="1:15">
      <c r="A90" s="19">
        <v>43741</v>
      </c>
      <c r="B90">
        <v>700</v>
      </c>
      <c r="C90">
        <v>699.6</v>
      </c>
      <c r="D90">
        <v>2417</v>
      </c>
      <c r="E90">
        <v>2416</v>
      </c>
      <c r="F90">
        <v>0.28956953642384098</v>
      </c>
      <c r="G90">
        <v>0.285785458424207</v>
      </c>
      <c r="H90">
        <v>7.0026045644033799E-3</v>
      </c>
      <c r="I90">
        <v>0.54038150588563505</v>
      </c>
      <c r="J90">
        <v>1.31</v>
      </c>
      <c r="L90">
        <v>0.29278806298861038</v>
      </c>
      <c r="M90">
        <v>0.27878285385980361</v>
      </c>
      <c r="N90">
        <v>0.29979066755301376</v>
      </c>
      <c r="O90">
        <v>0.27178024929540023</v>
      </c>
    </row>
    <row r="91" spans="1:15">
      <c r="A91" s="19">
        <v>43740</v>
      </c>
      <c r="B91">
        <v>714.3</v>
      </c>
      <c r="C91">
        <v>712.7</v>
      </c>
      <c r="D91">
        <v>2481</v>
      </c>
      <c r="E91">
        <v>2497</v>
      </c>
      <c r="F91">
        <v>0.28542250700840999</v>
      </c>
      <c r="G91">
        <v>0.28562495812481897</v>
      </c>
      <c r="H91">
        <v>7.0518114689331101E-3</v>
      </c>
      <c r="I91">
        <v>-2.87090937273114E-2</v>
      </c>
      <c r="J91">
        <v>-7.0000000000000007E-2</v>
      </c>
      <c r="L91">
        <v>0.29267676959375211</v>
      </c>
      <c r="M91">
        <v>0.27857314665588584</v>
      </c>
      <c r="N91">
        <v>0.29972858106268518</v>
      </c>
      <c r="O91">
        <v>0.27152133518695276</v>
      </c>
    </row>
    <row r="92" spans="1:15">
      <c r="A92" s="19">
        <v>43739</v>
      </c>
      <c r="B92">
        <v>718.4</v>
      </c>
      <c r="C92">
        <v>729.3</v>
      </c>
      <c r="D92">
        <v>2462</v>
      </c>
      <c r="E92">
        <v>2496</v>
      </c>
      <c r="F92">
        <v>0.29218749999999999</v>
      </c>
      <c r="G92">
        <v>0.28554067886470602</v>
      </c>
      <c r="H92">
        <v>7.0913885372802504E-3</v>
      </c>
      <c r="I92">
        <v>0.93730883597055303</v>
      </c>
      <c r="J92">
        <v>2.27</v>
      </c>
      <c r="L92">
        <v>0.29263206740198627</v>
      </c>
      <c r="M92">
        <v>0.27844929032742577</v>
      </c>
      <c r="N92">
        <v>0.29972345593926653</v>
      </c>
      <c r="O92">
        <v>0.27135790179014552</v>
      </c>
    </row>
    <row r="93" spans="1:15">
      <c r="A93" s="19">
        <v>43738</v>
      </c>
      <c r="B93">
        <v>724</v>
      </c>
      <c r="C93">
        <v>717.7</v>
      </c>
      <c r="D93">
        <v>2478</v>
      </c>
      <c r="E93">
        <v>2460</v>
      </c>
      <c r="F93">
        <v>0.29174796747967402</v>
      </c>
      <c r="G93">
        <v>0.28538782359986098</v>
      </c>
      <c r="H93">
        <v>7.0699913963151598E-3</v>
      </c>
      <c r="I93">
        <v>0.89959711734985104</v>
      </c>
      <c r="J93">
        <v>2.1800000000000002</v>
      </c>
      <c r="L93">
        <v>0.29245781499617612</v>
      </c>
      <c r="M93">
        <v>0.27831783220354583</v>
      </c>
      <c r="N93">
        <v>0.29952780639249132</v>
      </c>
      <c r="O93">
        <v>0.27124784080723063</v>
      </c>
    </row>
    <row r="94" spans="1:15">
      <c r="A94" s="19">
        <v>43735</v>
      </c>
      <c r="B94">
        <v>736</v>
      </c>
      <c r="C94">
        <v>727.9</v>
      </c>
      <c r="D94">
        <v>2543</v>
      </c>
      <c r="E94">
        <v>2500</v>
      </c>
      <c r="F94">
        <v>0.29115999999999997</v>
      </c>
      <c r="G94">
        <v>0.28520772724334198</v>
      </c>
      <c r="H94">
        <v>7.07771633292229E-3</v>
      </c>
      <c r="I94">
        <v>0.84098775320655506</v>
      </c>
      <c r="J94">
        <v>2.04</v>
      </c>
      <c r="L94">
        <v>0.29228544357626429</v>
      </c>
      <c r="M94">
        <v>0.27813001091041967</v>
      </c>
      <c r="N94">
        <v>0.29936315990918655</v>
      </c>
      <c r="O94">
        <v>0.27105229457749741</v>
      </c>
    </row>
    <row r="95" spans="1:15">
      <c r="A95" s="19">
        <v>43734</v>
      </c>
      <c r="B95">
        <v>755.2</v>
      </c>
      <c r="C95">
        <v>755.9</v>
      </c>
      <c r="D95">
        <v>2629</v>
      </c>
      <c r="E95">
        <v>2592</v>
      </c>
      <c r="F95">
        <v>0.29162808641975302</v>
      </c>
      <c r="G95">
        <v>0.28494632780787899</v>
      </c>
      <c r="H95">
        <v>7.2137800224544597E-3</v>
      </c>
      <c r="I95">
        <v>0.92624928831701903</v>
      </c>
      <c r="J95">
        <v>2.29</v>
      </c>
      <c r="L95">
        <v>0.29216010783033347</v>
      </c>
      <c r="M95">
        <v>0.2777325477854245</v>
      </c>
      <c r="N95">
        <v>0.2993738878527879</v>
      </c>
      <c r="O95">
        <v>0.27051876776297007</v>
      </c>
    </row>
    <row r="96" spans="1:15">
      <c r="A96" s="19">
        <v>43733</v>
      </c>
      <c r="B96">
        <v>743.1</v>
      </c>
      <c r="C96">
        <v>752.9</v>
      </c>
      <c r="D96">
        <v>2515</v>
      </c>
      <c r="E96">
        <v>2536</v>
      </c>
      <c r="F96">
        <v>0.29688485804416398</v>
      </c>
      <c r="G96">
        <v>0.28476201060151801</v>
      </c>
      <c r="H96">
        <v>7.2173045979791002E-3</v>
      </c>
      <c r="I96">
        <v>1.6796918126525799</v>
      </c>
      <c r="J96">
        <v>4.08</v>
      </c>
      <c r="L96">
        <v>0.2919793151994971</v>
      </c>
      <c r="M96">
        <v>0.27754470600353892</v>
      </c>
      <c r="N96">
        <v>0.29919661979747619</v>
      </c>
      <c r="O96">
        <v>0.27032740140555983</v>
      </c>
    </row>
    <row r="97" spans="1:15">
      <c r="A97" s="19">
        <v>43732</v>
      </c>
      <c r="B97">
        <v>751</v>
      </c>
      <c r="C97">
        <v>752.9</v>
      </c>
      <c r="D97">
        <v>2511</v>
      </c>
      <c r="E97">
        <v>2500</v>
      </c>
      <c r="F97">
        <v>0.30115999999999998</v>
      </c>
      <c r="G97">
        <v>0.28448524908774198</v>
      </c>
      <c r="H97">
        <v>7.1447451787004998E-3</v>
      </c>
      <c r="I97">
        <v>2.3338482332395598</v>
      </c>
      <c r="J97">
        <v>5.54</v>
      </c>
      <c r="L97">
        <v>0.29162999426644248</v>
      </c>
      <c r="M97">
        <v>0.27734050390904147</v>
      </c>
      <c r="N97">
        <v>0.29877473944514299</v>
      </c>
      <c r="O97">
        <v>0.27019575873034096</v>
      </c>
    </row>
    <row r="98" spans="1:15">
      <c r="A98" s="19">
        <v>43728</v>
      </c>
      <c r="B98">
        <v>758</v>
      </c>
      <c r="C98">
        <v>754</v>
      </c>
      <c r="D98">
        <v>2582</v>
      </c>
      <c r="E98">
        <v>2515</v>
      </c>
      <c r="F98">
        <v>0.29980119284294199</v>
      </c>
      <c r="G98">
        <v>0.28413354134256702</v>
      </c>
      <c r="H98">
        <v>6.96216795203614E-3</v>
      </c>
      <c r="I98">
        <v>2.25039838284754</v>
      </c>
      <c r="J98">
        <v>5.23</v>
      </c>
      <c r="L98">
        <v>0.29109570929460316</v>
      </c>
      <c r="M98">
        <v>0.27717137339053088</v>
      </c>
      <c r="N98">
        <v>0.29805787724663929</v>
      </c>
      <c r="O98">
        <v>0.27020920543849475</v>
      </c>
    </row>
    <row r="99" spans="1:15">
      <c r="A99" s="19">
        <v>43727</v>
      </c>
      <c r="B99">
        <v>755</v>
      </c>
      <c r="C99">
        <v>753.2</v>
      </c>
      <c r="D99">
        <v>2525</v>
      </c>
      <c r="E99">
        <v>2564</v>
      </c>
      <c r="F99">
        <v>0.29375975039001501</v>
      </c>
      <c r="G99">
        <v>0.28387477564308</v>
      </c>
      <c r="H99">
        <v>6.7318866484680504E-3</v>
      </c>
      <c r="I99">
        <v>1.46838104429228</v>
      </c>
      <c r="J99">
        <v>3.36</v>
      </c>
      <c r="L99">
        <v>0.29060666229154808</v>
      </c>
      <c r="M99">
        <v>0.27714288899461192</v>
      </c>
      <c r="N99">
        <v>0.2973385489400161</v>
      </c>
      <c r="O99">
        <v>0.2704110023461439</v>
      </c>
    </row>
    <row r="100" spans="1:15">
      <c r="A100" s="19">
        <v>43726</v>
      </c>
      <c r="B100">
        <v>763.2</v>
      </c>
      <c r="C100">
        <v>753.8</v>
      </c>
      <c r="D100">
        <v>2529</v>
      </c>
      <c r="E100">
        <v>2492</v>
      </c>
      <c r="F100">
        <v>0.30248796147672502</v>
      </c>
      <c r="G100">
        <v>0.28360673032843398</v>
      </c>
      <c r="H100">
        <v>6.7331886225831597E-3</v>
      </c>
      <c r="I100">
        <v>2.80420350693332</v>
      </c>
      <c r="J100">
        <v>6.24</v>
      </c>
      <c r="L100">
        <v>0.29033991895101713</v>
      </c>
      <c r="M100">
        <v>0.27687354170585082</v>
      </c>
      <c r="N100">
        <v>0.29707310757360028</v>
      </c>
      <c r="O100">
        <v>0.27014035308326767</v>
      </c>
    </row>
    <row r="101" spans="1:15">
      <c r="A101" s="19">
        <v>43725</v>
      </c>
      <c r="B101">
        <v>753.9</v>
      </c>
      <c r="C101">
        <v>766.7</v>
      </c>
      <c r="D101">
        <v>2543</v>
      </c>
      <c r="E101">
        <v>2529</v>
      </c>
      <c r="F101">
        <v>0.30316330565440802</v>
      </c>
      <c r="G101">
        <v>0.28326711243375402</v>
      </c>
      <c r="H101">
        <v>6.4067311750070997E-3</v>
      </c>
      <c r="I101">
        <v>3.1055139785277501</v>
      </c>
      <c r="J101">
        <v>6.56</v>
      </c>
      <c r="L101">
        <v>0.28967384360876114</v>
      </c>
      <c r="M101">
        <v>0.2768603812587469</v>
      </c>
      <c r="N101">
        <v>0.2960805747837682</v>
      </c>
      <c r="O101">
        <v>0.27045365008373984</v>
      </c>
    </row>
    <row r="102" spans="1:15">
      <c r="A102" s="19">
        <v>43721</v>
      </c>
      <c r="B102">
        <v>754.7</v>
      </c>
      <c r="C102">
        <v>748.8</v>
      </c>
      <c r="D102">
        <v>2512</v>
      </c>
      <c r="E102">
        <v>2519</v>
      </c>
      <c r="F102">
        <v>0.29726081778483499</v>
      </c>
      <c r="G102">
        <v>0.28293656045732501</v>
      </c>
      <c r="H102">
        <v>5.99819418148288E-3</v>
      </c>
      <c r="I102">
        <v>2.3880949656032602</v>
      </c>
      <c r="J102">
        <v>4.82</v>
      </c>
      <c r="L102">
        <v>0.28893475463880791</v>
      </c>
      <c r="M102">
        <v>0.27693836627584212</v>
      </c>
      <c r="N102">
        <v>0.29493294882029075</v>
      </c>
      <c r="O102">
        <v>0.27094017209435928</v>
      </c>
    </row>
    <row r="103" spans="1:15">
      <c r="A103" s="19">
        <v>43720</v>
      </c>
      <c r="B103">
        <v>750</v>
      </c>
      <c r="C103">
        <v>747.5</v>
      </c>
      <c r="D103">
        <v>2494</v>
      </c>
      <c r="E103">
        <v>2494</v>
      </c>
      <c r="F103">
        <v>0.29971932638331999</v>
      </c>
      <c r="G103">
        <v>0.28262032949500099</v>
      </c>
      <c r="H103">
        <v>5.8582365668910603E-3</v>
      </c>
      <c r="I103">
        <v>2.91879590267096</v>
      </c>
      <c r="J103">
        <v>5.71</v>
      </c>
      <c r="L103">
        <v>0.28847856606189204</v>
      </c>
      <c r="M103">
        <v>0.27676209292810994</v>
      </c>
      <c r="N103">
        <v>0.29433680262878309</v>
      </c>
      <c r="O103">
        <v>0.27090385636121889</v>
      </c>
    </row>
    <row r="104" spans="1:15">
      <c r="A104" s="19">
        <v>43719</v>
      </c>
      <c r="B104">
        <v>733.9</v>
      </c>
      <c r="C104">
        <v>740.5</v>
      </c>
      <c r="D104">
        <v>2431</v>
      </c>
      <c r="E104">
        <v>2467</v>
      </c>
      <c r="F104">
        <v>0.30016214025131699</v>
      </c>
      <c r="G104">
        <v>0.28230997179662498</v>
      </c>
      <c r="H104">
        <v>5.5527601880244496E-3</v>
      </c>
      <c r="I104">
        <v>3.21500800506259</v>
      </c>
      <c r="J104">
        <v>5.95</v>
      </c>
      <c r="L104">
        <v>0.28786273198464946</v>
      </c>
      <c r="M104">
        <v>0.27675721160860051</v>
      </c>
      <c r="N104">
        <v>0.29341549217267388</v>
      </c>
      <c r="O104">
        <v>0.27120445142057609</v>
      </c>
    </row>
    <row r="105" spans="1:15">
      <c r="A105" s="19">
        <v>43718</v>
      </c>
      <c r="B105">
        <v>711</v>
      </c>
      <c r="C105">
        <v>725.4</v>
      </c>
      <c r="D105">
        <v>2448</v>
      </c>
      <c r="E105">
        <v>2423</v>
      </c>
      <c r="F105">
        <v>0.29938093272802302</v>
      </c>
      <c r="G105">
        <v>0.281975925296027</v>
      </c>
      <c r="H105">
        <v>5.2118787094994398E-3</v>
      </c>
      <c r="I105">
        <v>3.33948819650624</v>
      </c>
      <c r="J105">
        <v>5.81</v>
      </c>
      <c r="L105">
        <v>0.28718780400552646</v>
      </c>
      <c r="M105">
        <v>0.27676404658652753</v>
      </c>
      <c r="N105">
        <v>0.29239968271502587</v>
      </c>
      <c r="O105">
        <v>0.27155216787702813</v>
      </c>
    </row>
    <row r="106" spans="1:15">
      <c r="A106" s="19">
        <v>43717</v>
      </c>
      <c r="B106">
        <v>695.9</v>
      </c>
      <c r="C106">
        <v>701.4</v>
      </c>
      <c r="D106">
        <v>2408</v>
      </c>
      <c r="E106">
        <v>2428</v>
      </c>
      <c r="F106">
        <v>0.28887973640856601</v>
      </c>
      <c r="G106">
        <v>0.28167214544751301</v>
      </c>
      <c r="H106">
        <v>4.8392128669090496E-3</v>
      </c>
      <c r="I106">
        <v>1.48941391074973</v>
      </c>
      <c r="J106">
        <v>2.5</v>
      </c>
      <c r="L106">
        <v>0.28651135831442204</v>
      </c>
      <c r="M106">
        <v>0.27683293258060399</v>
      </c>
      <c r="N106">
        <v>0.29135057118133112</v>
      </c>
      <c r="O106">
        <v>0.2719937197136949</v>
      </c>
    </row>
    <row r="107" spans="1:15">
      <c r="A107" s="19">
        <v>43714</v>
      </c>
      <c r="B107">
        <v>693.5</v>
      </c>
      <c r="C107">
        <v>695.7</v>
      </c>
      <c r="D107">
        <v>2444</v>
      </c>
      <c r="E107">
        <v>2407</v>
      </c>
      <c r="F107">
        <v>0.28903199002908098</v>
      </c>
      <c r="G107">
        <v>0.281557384353672</v>
      </c>
      <c r="H107">
        <v>4.7684659133487798E-3</v>
      </c>
      <c r="I107">
        <v>1.5675074145932999</v>
      </c>
      <c r="J107">
        <v>2.59</v>
      </c>
      <c r="L107">
        <v>0.28632585026702079</v>
      </c>
      <c r="M107">
        <v>0.27678891844032322</v>
      </c>
      <c r="N107">
        <v>0.29109431618036957</v>
      </c>
      <c r="O107">
        <v>0.27202045252697443</v>
      </c>
    </row>
    <row r="108" spans="1:15">
      <c r="A108" s="19">
        <v>43713</v>
      </c>
      <c r="B108">
        <v>675.4</v>
      </c>
      <c r="C108">
        <v>685</v>
      </c>
      <c r="D108">
        <v>2360</v>
      </c>
      <c r="E108">
        <v>2414</v>
      </c>
      <c r="F108">
        <v>0.28376139188069499</v>
      </c>
      <c r="G108">
        <v>0.28142953568608697</v>
      </c>
      <c r="H108">
        <v>4.6943137163551196E-3</v>
      </c>
      <c r="I108">
        <v>0.49674059628440198</v>
      </c>
      <c r="J108">
        <v>0.82</v>
      </c>
      <c r="L108">
        <v>0.28612384940244207</v>
      </c>
      <c r="M108">
        <v>0.27673522196973188</v>
      </c>
      <c r="N108">
        <v>0.29081816311879721</v>
      </c>
      <c r="O108">
        <v>0.27204090825337673</v>
      </c>
    </row>
    <row r="109" spans="1:15">
      <c r="A109" s="19">
        <v>43712</v>
      </c>
      <c r="B109">
        <v>674.9</v>
      </c>
      <c r="C109">
        <v>670.3</v>
      </c>
      <c r="D109">
        <v>2331</v>
      </c>
      <c r="E109">
        <v>2328</v>
      </c>
      <c r="F109">
        <v>0.28792955326460401</v>
      </c>
      <c r="G109">
        <v>0.281281654741878</v>
      </c>
      <c r="H109">
        <v>4.7922016158316602E-3</v>
      </c>
      <c r="I109">
        <v>1.3872326449630601</v>
      </c>
      <c r="J109">
        <v>2.31</v>
      </c>
      <c r="L109">
        <v>0.28607385635770965</v>
      </c>
      <c r="M109">
        <v>0.27648945312604634</v>
      </c>
      <c r="N109">
        <v>0.29086605797354131</v>
      </c>
      <c r="O109">
        <v>0.27169725151021468</v>
      </c>
    </row>
    <row r="110" spans="1:15">
      <c r="A110" s="19">
        <v>43711</v>
      </c>
      <c r="B110">
        <v>670.6</v>
      </c>
      <c r="C110">
        <v>677.3</v>
      </c>
      <c r="D110">
        <v>2332</v>
      </c>
      <c r="E110">
        <v>2347</v>
      </c>
      <c r="F110">
        <v>0.28858116744780499</v>
      </c>
      <c r="G110">
        <v>0.28102348771427199</v>
      </c>
      <c r="H110">
        <v>4.9461880039563099E-3</v>
      </c>
      <c r="I110">
        <v>1.52798068481997</v>
      </c>
      <c r="J110">
        <v>2.62</v>
      </c>
      <c r="L110">
        <v>0.28596967571822829</v>
      </c>
      <c r="M110">
        <v>0.27607729971031569</v>
      </c>
      <c r="N110">
        <v>0.29091586372218459</v>
      </c>
      <c r="O110">
        <v>0.2711311117063594</v>
      </c>
    </row>
    <row r="111" spans="1:15">
      <c r="A111" s="19">
        <v>43710</v>
      </c>
      <c r="B111">
        <v>673.8</v>
      </c>
      <c r="C111">
        <v>671.7</v>
      </c>
      <c r="D111">
        <v>2362</v>
      </c>
      <c r="E111">
        <v>2331</v>
      </c>
      <c r="F111">
        <v>0.28815958815958798</v>
      </c>
      <c r="G111">
        <v>0.28084564424313202</v>
      </c>
      <c r="H111">
        <v>4.9109166142517801E-3</v>
      </c>
      <c r="I111">
        <v>1.48932358069983</v>
      </c>
      <c r="J111">
        <v>2.54</v>
      </c>
      <c r="L111">
        <v>0.28575656085738382</v>
      </c>
      <c r="M111">
        <v>0.27593472762888022</v>
      </c>
      <c r="N111">
        <v>0.29066747747163557</v>
      </c>
      <c r="O111">
        <v>0.27102381101462847</v>
      </c>
    </row>
    <row r="112" spans="1:15">
      <c r="A112" s="19">
        <v>43707</v>
      </c>
      <c r="B112">
        <v>671.6</v>
      </c>
      <c r="C112">
        <v>678.1</v>
      </c>
      <c r="D112">
        <v>2360</v>
      </c>
      <c r="E112">
        <v>2368</v>
      </c>
      <c r="F112">
        <v>0.28635979729729699</v>
      </c>
      <c r="G112">
        <v>0.28067490004880302</v>
      </c>
      <c r="H112">
        <v>4.8761501188696E-3</v>
      </c>
      <c r="I112">
        <v>1.1658577176479199</v>
      </c>
      <c r="J112">
        <v>1.99</v>
      </c>
      <c r="L112">
        <v>0.28555105016767263</v>
      </c>
      <c r="M112">
        <v>0.27579874992993342</v>
      </c>
      <c r="N112">
        <v>0.29042720028654223</v>
      </c>
      <c r="O112">
        <v>0.27092259981106381</v>
      </c>
    </row>
    <row r="113" spans="1:15">
      <c r="A113" s="19">
        <v>43706</v>
      </c>
      <c r="B113">
        <v>666.3</v>
      </c>
      <c r="C113">
        <v>668.5</v>
      </c>
      <c r="D113">
        <v>2313</v>
      </c>
      <c r="E113">
        <v>2328</v>
      </c>
      <c r="F113">
        <v>0.28715635738831602</v>
      </c>
      <c r="G113">
        <v>0.28057798153938401</v>
      </c>
      <c r="H113">
        <v>4.8342520682453103E-3</v>
      </c>
      <c r="I113">
        <v>1.3607846169508899</v>
      </c>
      <c r="J113">
        <v>2.29</v>
      </c>
      <c r="L113">
        <v>0.28541223360762935</v>
      </c>
      <c r="M113">
        <v>0.27574372947113868</v>
      </c>
      <c r="N113">
        <v>0.29024648567587463</v>
      </c>
      <c r="O113">
        <v>0.27090947740289339</v>
      </c>
    </row>
    <row r="114" spans="1:15">
      <c r="A114" s="19">
        <v>43705</v>
      </c>
      <c r="B114">
        <v>666.6</v>
      </c>
      <c r="C114">
        <v>664.3</v>
      </c>
      <c r="D114">
        <v>2354</v>
      </c>
      <c r="E114">
        <v>2317</v>
      </c>
      <c r="F114">
        <v>0.28670694864048302</v>
      </c>
      <c r="G114">
        <v>0.28044347754646798</v>
      </c>
      <c r="H114">
        <v>4.7894796592461101E-3</v>
      </c>
      <c r="I114">
        <v>1.3077560694767201</v>
      </c>
      <c r="J114">
        <v>2.1800000000000002</v>
      </c>
      <c r="L114">
        <v>0.28523295720571407</v>
      </c>
      <c r="M114">
        <v>0.27565399788722189</v>
      </c>
      <c r="N114">
        <v>0.29002243686496021</v>
      </c>
      <c r="O114">
        <v>0.27086451822797575</v>
      </c>
    </row>
    <row r="115" spans="1:15">
      <c r="A115" s="19">
        <v>43704</v>
      </c>
      <c r="B115">
        <v>671</v>
      </c>
      <c r="C115">
        <v>666.1</v>
      </c>
      <c r="D115">
        <v>2368</v>
      </c>
      <c r="E115">
        <v>2347</v>
      </c>
      <c r="F115">
        <v>0.28380911802300801</v>
      </c>
      <c r="G115">
        <v>0.28037372629684398</v>
      </c>
      <c r="H115">
        <v>4.7355435865097497E-3</v>
      </c>
      <c r="I115">
        <v>0.72544823279626502</v>
      </c>
      <c r="J115">
        <v>1.21</v>
      </c>
      <c r="L115">
        <v>0.28510926988335372</v>
      </c>
      <c r="M115">
        <v>0.27563818271033425</v>
      </c>
      <c r="N115">
        <v>0.28984481346986346</v>
      </c>
      <c r="O115">
        <v>0.27090263912382451</v>
      </c>
    </row>
    <row r="116" spans="1:15">
      <c r="A116" s="19">
        <v>43703</v>
      </c>
      <c r="B116">
        <v>659.4</v>
      </c>
      <c r="C116">
        <v>664.3</v>
      </c>
      <c r="D116">
        <v>2304</v>
      </c>
      <c r="E116">
        <v>2338</v>
      </c>
      <c r="F116">
        <v>0.28413173652694601</v>
      </c>
      <c r="G116">
        <v>0.28050514016815198</v>
      </c>
      <c r="H116">
        <v>4.9604677324259303E-3</v>
      </c>
      <c r="I116">
        <v>0.73109967737264803</v>
      </c>
      <c r="J116">
        <v>1.28</v>
      </c>
      <c r="L116">
        <v>0.2854656079005779</v>
      </c>
      <c r="M116">
        <v>0.27554467243572606</v>
      </c>
      <c r="N116">
        <v>0.29042607563300382</v>
      </c>
      <c r="O116">
        <v>0.27058420470330014</v>
      </c>
    </row>
    <row r="117" spans="1:15">
      <c r="A117" s="19">
        <v>43700</v>
      </c>
      <c r="B117">
        <v>675.1</v>
      </c>
      <c r="C117">
        <v>674.9</v>
      </c>
      <c r="D117">
        <v>2384</v>
      </c>
      <c r="E117">
        <v>2394</v>
      </c>
      <c r="F117">
        <v>0.281913116123642</v>
      </c>
      <c r="G117">
        <v>0.28065983979269199</v>
      </c>
      <c r="H117">
        <v>5.2439748643774101E-3</v>
      </c>
      <c r="I117">
        <v>0.23899358089282299</v>
      </c>
      <c r="J117">
        <v>0.44</v>
      </c>
      <c r="L117">
        <v>0.28590381465706938</v>
      </c>
      <c r="M117">
        <v>0.2754158649283146</v>
      </c>
      <c r="N117">
        <v>0.29114778952144682</v>
      </c>
      <c r="O117">
        <v>0.27017189006393716</v>
      </c>
    </row>
    <row r="118" spans="1:15">
      <c r="A118" s="19">
        <v>43699</v>
      </c>
      <c r="B118">
        <v>669.7</v>
      </c>
      <c r="C118">
        <v>681.2</v>
      </c>
      <c r="D118">
        <v>2389</v>
      </c>
      <c r="E118">
        <v>2380</v>
      </c>
      <c r="F118">
        <v>0.28621848739495798</v>
      </c>
      <c r="G118">
        <v>0.280879800576121</v>
      </c>
      <c r="H118">
        <v>5.6241389463339104E-3</v>
      </c>
      <c r="I118">
        <v>0.949245185757149</v>
      </c>
      <c r="J118">
        <v>1.87</v>
      </c>
      <c r="L118">
        <v>0.2865039395224549</v>
      </c>
      <c r="M118">
        <v>0.2752556616297871</v>
      </c>
      <c r="N118">
        <v>0.2921280784687888</v>
      </c>
      <c r="O118">
        <v>0.2696315226834532</v>
      </c>
    </row>
    <row r="119" spans="1:15">
      <c r="A119" s="19">
        <v>43698</v>
      </c>
      <c r="B119">
        <v>670.1</v>
      </c>
      <c r="C119">
        <v>674.9</v>
      </c>
      <c r="D119">
        <v>2391</v>
      </c>
      <c r="E119">
        <v>2377</v>
      </c>
      <c r="F119">
        <v>0.28392932267564103</v>
      </c>
      <c r="G119">
        <v>0.28105269715623399</v>
      </c>
      <c r="H119">
        <v>5.9740370858335301E-3</v>
      </c>
      <c r="I119">
        <v>0.48152120217475802</v>
      </c>
      <c r="J119">
        <v>1.01</v>
      </c>
      <c r="L119">
        <v>0.28702673424206754</v>
      </c>
      <c r="M119">
        <v>0.27507866007040044</v>
      </c>
      <c r="N119">
        <v>0.29300077132790103</v>
      </c>
      <c r="O119">
        <v>0.26910462298456694</v>
      </c>
    </row>
    <row r="120" spans="1:15">
      <c r="A120" s="19">
        <v>43697</v>
      </c>
      <c r="B120">
        <v>674.5</v>
      </c>
      <c r="C120">
        <v>679.8</v>
      </c>
      <c r="D120">
        <v>2411</v>
      </c>
      <c r="E120">
        <v>2428</v>
      </c>
      <c r="F120">
        <v>0.27998352553542</v>
      </c>
      <c r="G120">
        <v>0.28131792177759601</v>
      </c>
      <c r="H120">
        <v>6.5131011288601E-3</v>
      </c>
      <c r="I120">
        <v>-0.20487878443399099</v>
      </c>
      <c r="J120">
        <v>-0.48</v>
      </c>
      <c r="L120">
        <v>0.28783102290645612</v>
      </c>
      <c r="M120">
        <v>0.2748048206487359</v>
      </c>
      <c r="N120">
        <v>0.29434412403531623</v>
      </c>
      <c r="O120">
        <v>0.26829171951987579</v>
      </c>
    </row>
    <row r="121" spans="1:15">
      <c r="A121" s="19">
        <v>43696</v>
      </c>
      <c r="B121">
        <v>665.9</v>
      </c>
      <c r="C121">
        <v>675.5</v>
      </c>
      <c r="D121">
        <v>2408</v>
      </c>
      <c r="E121">
        <v>2401</v>
      </c>
      <c r="F121">
        <v>0.28134110787172001</v>
      </c>
      <c r="G121">
        <v>0.28152528429426699</v>
      </c>
      <c r="H121">
        <v>6.7118567158729603E-3</v>
      </c>
      <c r="I121">
        <v>-2.7440458034730001E-2</v>
      </c>
      <c r="J121">
        <v>-7.0000000000000007E-2</v>
      </c>
      <c r="L121">
        <v>0.28823714101013997</v>
      </c>
      <c r="M121">
        <v>0.274813427578394</v>
      </c>
      <c r="N121">
        <v>0.29494899772601291</v>
      </c>
      <c r="O121">
        <v>0.26810157086252107</v>
      </c>
    </row>
    <row r="122" spans="1:15">
      <c r="A122" s="19">
        <v>43693</v>
      </c>
      <c r="B122">
        <v>656.3</v>
      </c>
      <c r="C122">
        <v>660.5</v>
      </c>
      <c r="D122">
        <v>2337</v>
      </c>
      <c r="E122">
        <v>2362</v>
      </c>
      <c r="F122">
        <v>0.27963590177815401</v>
      </c>
      <c r="G122">
        <v>0.28175945626993498</v>
      </c>
      <c r="H122">
        <v>7.0014758951867598E-3</v>
      </c>
      <c r="I122">
        <v>-0.303300978760984</v>
      </c>
      <c r="J122">
        <v>-0.76</v>
      </c>
      <c r="L122">
        <v>0.28876093216512172</v>
      </c>
      <c r="M122">
        <v>0.27475798037474825</v>
      </c>
      <c r="N122">
        <v>0.29576240806030851</v>
      </c>
      <c r="O122">
        <v>0.26775650447956145</v>
      </c>
    </row>
    <row r="123" spans="1:15">
      <c r="A123" s="19">
        <v>43692</v>
      </c>
      <c r="B123">
        <v>641.29999999999995</v>
      </c>
      <c r="C123">
        <v>656.5</v>
      </c>
      <c r="D123">
        <v>2320</v>
      </c>
      <c r="E123">
        <v>2336</v>
      </c>
      <c r="F123">
        <v>0.28103595890410898</v>
      </c>
      <c r="G123">
        <v>0.282050789367574</v>
      </c>
      <c r="H123">
        <v>7.3528286634726298E-3</v>
      </c>
      <c r="I123">
        <v>-0.13801905496670799</v>
      </c>
      <c r="J123">
        <v>-0.36</v>
      </c>
      <c r="L123">
        <v>0.28940361803104664</v>
      </c>
      <c r="M123">
        <v>0.27469796070410135</v>
      </c>
      <c r="N123">
        <v>0.29675644669451928</v>
      </c>
      <c r="O123">
        <v>0.26734513204062871</v>
      </c>
    </row>
    <row r="124" spans="1:15">
      <c r="A124" s="19">
        <v>43691</v>
      </c>
      <c r="B124">
        <v>650.5</v>
      </c>
      <c r="C124">
        <v>656.5</v>
      </c>
      <c r="D124">
        <v>2360</v>
      </c>
      <c r="E124">
        <v>2369</v>
      </c>
      <c r="F124">
        <v>0.27712114816378203</v>
      </c>
      <c r="G124">
        <v>0.28237155152200599</v>
      </c>
      <c r="H124">
        <v>7.8119645135950799E-3</v>
      </c>
      <c r="I124">
        <v>-0.67209769694764898</v>
      </c>
      <c r="J124">
        <v>-1.89</v>
      </c>
      <c r="L124">
        <v>0.29018351603560105</v>
      </c>
      <c r="M124">
        <v>0.27455958700841093</v>
      </c>
      <c r="N124">
        <v>0.29799548054919617</v>
      </c>
      <c r="O124">
        <v>0.26674762249481582</v>
      </c>
    </row>
    <row r="125" spans="1:15">
      <c r="A125" s="19">
        <v>43690</v>
      </c>
      <c r="B125">
        <v>650</v>
      </c>
      <c r="C125">
        <v>640.5</v>
      </c>
      <c r="D125">
        <v>2317</v>
      </c>
      <c r="E125">
        <v>2317</v>
      </c>
      <c r="F125">
        <v>0.27643504531722002</v>
      </c>
      <c r="G125">
        <v>0.282708094943314</v>
      </c>
      <c r="H125">
        <v>8.1162898697825607E-3</v>
      </c>
      <c r="I125">
        <v>-0.77289620340556398</v>
      </c>
      <c r="J125">
        <v>-2.27</v>
      </c>
      <c r="L125">
        <v>0.29082438481309658</v>
      </c>
      <c r="M125">
        <v>0.27459180507353143</v>
      </c>
      <c r="N125">
        <v>0.2989406746828791</v>
      </c>
      <c r="O125">
        <v>0.2664755152037489</v>
      </c>
    </row>
    <row r="126" spans="1:15">
      <c r="A126" s="19">
        <v>43686</v>
      </c>
      <c r="B126">
        <v>658.9</v>
      </c>
      <c r="C126">
        <v>657.5</v>
      </c>
      <c r="D126">
        <v>2384</v>
      </c>
      <c r="E126">
        <v>2362</v>
      </c>
      <c r="F126">
        <v>0.27836579170194697</v>
      </c>
      <c r="G126">
        <v>0.28303495416944302</v>
      </c>
      <c r="H126">
        <v>8.3474120260134295E-3</v>
      </c>
      <c r="I126">
        <v>-0.55935449848945595</v>
      </c>
      <c r="J126">
        <v>-1.68</v>
      </c>
      <c r="L126">
        <v>0.29138236619545643</v>
      </c>
      <c r="M126">
        <v>0.27468754214342961</v>
      </c>
      <c r="N126">
        <v>0.2997297782214699</v>
      </c>
      <c r="O126">
        <v>0.26634013011741614</v>
      </c>
    </row>
    <row r="127" spans="1:15">
      <c r="A127" s="19">
        <v>43685</v>
      </c>
      <c r="B127">
        <v>659.3</v>
      </c>
      <c r="C127">
        <v>654.29999999999995</v>
      </c>
      <c r="D127">
        <v>2350</v>
      </c>
      <c r="E127">
        <v>2360</v>
      </c>
      <c r="F127">
        <v>0.27724576271186402</v>
      </c>
      <c r="G127">
        <v>0.28329666436626499</v>
      </c>
      <c r="H127">
        <v>8.5031627928808997E-3</v>
      </c>
      <c r="I127">
        <v>-0.71160599906034305</v>
      </c>
      <c r="J127">
        <v>-2.1800000000000002</v>
      </c>
      <c r="L127">
        <v>0.29179982715914587</v>
      </c>
      <c r="M127">
        <v>0.27479350157338411</v>
      </c>
      <c r="N127">
        <v>0.30030298995202681</v>
      </c>
      <c r="O127">
        <v>0.26629033878050318</v>
      </c>
    </row>
    <row r="128" spans="1:15">
      <c r="A128" s="19">
        <v>43684</v>
      </c>
      <c r="B128">
        <v>673.9</v>
      </c>
      <c r="C128">
        <v>664</v>
      </c>
      <c r="D128">
        <v>2320</v>
      </c>
      <c r="E128">
        <v>2353</v>
      </c>
      <c r="F128">
        <v>0.28219294517637</v>
      </c>
      <c r="G128">
        <v>0.28352345424619202</v>
      </c>
      <c r="H128">
        <v>8.5653546941214694E-3</v>
      </c>
      <c r="I128">
        <v>-0.15533613228363999</v>
      </c>
      <c r="J128">
        <v>-0.47</v>
      </c>
      <c r="L128">
        <v>0.29208880894031347</v>
      </c>
      <c r="M128">
        <v>0.27495809955207057</v>
      </c>
      <c r="N128">
        <v>0.30065416363443498</v>
      </c>
      <c r="O128">
        <v>0.26639274485794906</v>
      </c>
    </row>
    <row r="129" spans="1:15">
      <c r="A129" s="19">
        <v>43683</v>
      </c>
      <c r="B129">
        <v>654</v>
      </c>
      <c r="C129">
        <v>677.3</v>
      </c>
      <c r="D129">
        <v>2282</v>
      </c>
      <c r="E129">
        <v>2322</v>
      </c>
      <c r="F129">
        <v>0.29168819982773397</v>
      </c>
      <c r="G129">
        <v>0.28368219151676399</v>
      </c>
      <c r="H129">
        <v>8.6491337623337602E-3</v>
      </c>
      <c r="I129">
        <v>0.92564279047643006</v>
      </c>
      <c r="J129">
        <v>2.74</v>
      </c>
      <c r="L129">
        <v>0.29233132527909778</v>
      </c>
      <c r="M129">
        <v>0.27503305775443021</v>
      </c>
      <c r="N129">
        <v>0.3009804590414315</v>
      </c>
      <c r="O129">
        <v>0.26638392399209648</v>
      </c>
    </row>
    <row r="130" spans="1:15">
      <c r="A130" s="19">
        <v>43682</v>
      </c>
      <c r="B130">
        <v>678</v>
      </c>
      <c r="C130">
        <v>672.7</v>
      </c>
      <c r="D130">
        <v>2390</v>
      </c>
      <c r="E130">
        <v>2378</v>
      </c>
      <c r="F130">
        <v>0.28288477712363302</v>
      </c>
      <c r="G130">
        <v>0.28374877218069999</v>
      </c>
      <c r="H130">
        <v>8.7293554408291608E-3</v>
      </c>
      <c r="I130">
        <v>-9.8975813612261695E-2</v>
      </c>
      <c r="J130">
        <v>-0.31</v>
      </c>
      <c r="L130">
        <v>0.29247812762152914</v>
      </c>
      <c r="M130">
        <v>0.27501941673987085</v>
      </c>
      <c r="N130">
        <v>0.30120748306235834</v>
      </c>
      <c r="O130">
        <v>0.26629006129904165</v>
      </c>
    </row>
    <row r="131" spans="1:15">
      <c r="A131" s="19">
        <v>43679</v>
      </c>
      <c r="B131">
        <v>697.3</v>
      </c>
      <c r="C131">
        <v>687.2</v>
      </c>
      <c r="D131">
        <v>2481</v>
      </c>
      <c r="E131">
        <v>2439</v>
      </c>
      <c r="F131">
        <v>0.281754817548175</v>
      </c>
      <c r="G131">
        <v>0.28390759355359102</v>
      </c>
      <c r="H131">
        <v>8.8200792262945905E-3</v>
      </c>
      <c r="I131">
        <v>-0.24407671974171999</v>
      </c>
      <c r="J131">
        <v>-0.76</v>
      </c>
      <c r="L131">
        <v>0.29272767277988559</v>
      </c>
      <c r="M131">
        <v>0.27508751432729645</v>
      </c>
      <c r="N131">
        <v>0.30154775200618023</v>
      </c>
      <c r="O131">
        <v>0.26626743510100181</v>
      </c>
    </row>
    <row r="132" spans="1:15">
      <c r="A132" s="19">
        <v>43678</v>
      </c>
      <c r="B132">
        <v>703</v>
      </c>
      <c r="C132">
        <v>711</v>
      </c>
      <c r="D132">
        <v>2511</v>
      </c>
      <c r="E132">
        <v>2531</v>
      </c>
      <c r="F132">
        <v>0.28091663374160403</v>
      </c>
      <c r="G132">
        <v>0.28412166924663201</v>
      </c>
      <c r="H132">
        <v>8.9589834971071595E-3</v>
      </c>
      <c r="I132" s="20">
        <v>-0.35774544132860198</v>
      </c>
      <c r="J132">
        <v>-1.1399999999999999</v>
      </c>
      <c r="L132">
        <v>0.29308065274373918</v>
      </c>
      <c r="M132">
        <v>0.27516268574952485</v>
      </c>
      <c r="N132">
        <v>0.30203963624084634</v>
      </c>
      <c r="O132">
        <v>0.26620370225241768</v>
      </c>
    </row>
    <row r="133" spans="1:15">
      <c r="A133" s="19">
        <v>43677</v>
      </c>
      <c r="B133">
        <v>711</v>
      </c>
      <c r="C133">
        <v>710</v>
      </c>
      <c r="D133">
        <v>2580</v>
      </c>
      <c r="E133">
        <v>2557</v>
      </c>
      <c r="F133">
        <v>0.27766914352757099</v>
      </c>
      <c r="G133">
        <v>0.284351745113541</v>
      </c>
      <c r="H133">
        <v>9.0942710313893105E-3</v>
      </c>
      <c r="I133" s="20">
        <v>-0.73481443019509696</v>
      </c>
      <c r="J133">
        <v>-2.41</v>
      </c>
      <c r="L133">
        <v>0.29344601614493032</v>
      </c>
      <c r="M133">
        <v>0.27525747408215168</v>
      </c>
      <c r="N133">
        <v>0.30254028717631964</v>
      </c>
      <c r="O133">
        <v>0.26616320305076235</v>
      </c>
    </row>
    <row r="134" spans="1:15">
      <c r="A134" s="19">
        <v>43676</v>
      </c>
      <c r="B134">
        <v>718.4</v>
      </c>
      <c r="C134">
        <v>717.7</v>
      </c>
      <c r="D134">
        <v>2605</v>
      </c>
      <c r="E134">
        <v>2610</v>
      </c>
      <c r="F134">
        <v>0.27498084291187702</v>
      </c>
      <c r="G134">
        <v>0.28464206044600199</v>
      </c>
      <c r="H134">
        <v>9.2229379059747402E-3</v>
      </c>
      <c r="I134">
        <v>-1.0475206092264699</v>
      </c>
      <c r="J134">
        <v>-3.51</v>
      </c>
      <c r="L134">
        <v>0.29386499835197671</v>
      </c>
      <c r="M134">
        <v>0.27541912254002726</v>
      </c>
      <c r="N134">
        <v>0.3030879362579515</v>
      </c>
      <c r="O134">
        <v>0.26619618463405248</v>
      </c>
    </row>
    <row r="135" spans="1:15">
      <c r="A135" s="19">
        <v>43675</v>
      </c>
      <c r="B135">
        <v>713.6</v>
      </c>
      <c r="C135">
        <v>713.5</v>
      </c>
      <c r="D135">
        <v>2587</v>
      </c>
      <c r="E135">
        <v>2574</v>
      </c>
      <c r="F135">
        <v>0.27719502719502698</v>
      </c>
      <c r="G135">
        <v>0.28493127050895201</v>
      </c>
      <c r="H135">
        <v>9.2554785415389206E-3</v>
      </c>
      <c r="I135">
        <v>-0.83585557237309505</v>
      </c>
      <c r="J135">
        <v>-2.79</v>
      </c>
      <c r="L135">
        <v>0.29418674905049091</v>
      </c>
      <c r="M135">
        <v>0.2756757919674131</v>
      </c>
      <c r="N135">
        <v>0.30344222759202982</v>
      </c>
      <c r="O135">
        <v>0.26642031342587419</v>
      </c>
    </row>
    <row r="136" spans="1:15">
      <c r="A136" s="19">
        <v>43672</v>
      </c>
      <c r="B136">
        <v>714.6</v>
      </c>
      <c r="C136">
        <v>714.3</v>
      </c>
      <c r="D136">
        <v>2586</v>
      </c>
      <c r="E136">
        <v>2587</v>
      </c>
      <c r="F136">
        <v>0.27611132586006898</v>
      </c>
      <c r="G136">
        <v>0.28516112531023502</v>
      </c>
      <c r="H136">
        <v>9.2745413196280001E-3</v>
      </c>
      <c r="I136">
        <v>-0.97576787231661299</v>
      </c>
      <c r="J136">
        <v>-3.28</v>
      </c>
      <c r="L136">
        <v>0.29443566662986304</v>
      </c>
      <c r="M136">
        <v>0.275886583990607</v>
      </c>
      <c r="N136">
        <v>0.303710207949491</v>
      </c>
      <c r="O136">
        <v>0.26661204267097904</v>
      </c>
    </row>
    <row r="137" spans="1:15">
      <c r="A137" s="19">
        <v>43671</v>
      </c>
      <c r="B137">
        <v>722.6</v>
      </c>
      <c r="C137">
        <v>722.6</v>
      </c>
      <c r="D137">
        <v>2569</v>
      </c>
      <c r="E137">
        <v>2588</v>
      </c>
      <c r="F137">
        <v>0.27921174652241099</v>
      </c>
      <c r="G137">
        <v>0.28534011175455498</v>
      </c>
      <c r="H137">
        <v>9.22757870382147E-3</v>
      </c>
      <c r="I137">
        <v>-0.664135785653724</v>
      </c>
      <c r="J137">
        <v>-2.19</v>
      </c>
      <c r="L137">
        <v>0.29456769045837644</v>
      </c>
      <c r="M137">
        <v>0.27611253305073352</v>
      </c>
      <c r="N137">
        <v>0.3037952691621979</v>
      </c>
      <c r="O137">
        <v>0.26688495434691206</v>
      </c>
    </row>
    <row r="138" spans="1:15">
      <c r="A138" s="19">
        <v>43670</v>
      </c>
      <c r="B138">
        <v>726.8</v>
      </c>
      <c r="C138">
        <v>725.4</v>
      </c>
      <c r="D138">
        <v>2588</v>
      </c>
      <c r="E138">
        <v>2568</v>
      </c>
      <c r="F138">
        <v>0.28247663551401803</v>
      </c>
      <c r="G138">
        <v>0.28547922140644499</v>
      </c>
      <c r="H138">
        <v>9.21277319136048E-3</v>
      </c>
      <c r="I138">
        <v>-0.325915533798528</v>
      </c>
      <c r="J138">
        <v>-1.06</v>
      </c>
      <c r="L138">
        <v>0.29469199459780548</v>
      </c>
      <c r="M138">
        <v>0.2762664482150845</v>
      </c>
      <c r="N138">
        <v>0.30390476778916597</v>
      </c>
      <c r="O138">
        <v>0.26705367502372401</v>
      </c>
    </row>
    <row r="139" spans="1:15">
      <c r="A139" s="19">
        <v>43669</v>
      </c>
      <c r="B139">
        <v>715.4</v>
      </c>
      <c r="C139">
        <v>721</v>
      </c>
      <c r="D139">
        <v>2532</v>
      </c>
      <c r="E139">
        <v>2571</v>
      </c>
      <c r="F139">
        <v>0.28043562816024797</v>
      </c>
      <c r="G139">
        <v>0.28554716859183998</v>
      </c>
      <c r="H139">
        <v>9.2091693455535802E-3</v>
      </c>
      <c r="I139">
        <v>-0.55504902123004896</v>
      </c>
      <c r="J139">
        <v>-1.82</v>
      </c>
      <c r="L139">
        <v>0.29475633793739359</v>
      </c>
      <c r="M139">
        <v>0.27633799924628638</v>
      </c>
      <c r="N139">
        <v>0.30396550728294713</v>
      </c>
      <c r="O139">
        <v>0.26712882990073283</v>
      </c>
    </row>
    <row r="140" spans="1:15">
      <c r="A140" s="19">
        <v>43668</v>
      </c>
      <c r="B140">
        <v>715.9</v>
      </c>
      <c r="C140">
        <v>714.6</v>
      </c>
      <c r="D140">
        <v>2565</v>
      </c>
      <c r="E140">
        <v>2539</v>
      </c>
      <c r="F140">
        <v>0.28144938952343401</v>
      </c>
      <c r="G140">
        <v>0.28570264314878702</v>
      </c>
      <c r="H140">
        <v>9.2199850362529798E-3</v>
      </c>
      <c r="I140">
        <v>-0.461308083324314</v>
      </c>
      <c r="J140">
        <v>-1.51</v>
      </c>
      <c r="L140">
        <v>0.29492262818504</v>
      </c>
      <c r="M140">
        <v>0.27648265811253403</v>
      </c>
      <c r="N140">
        <v>0.30414261322129299</v>
      </c>
      <c r="O140">
        <v>0.26726267307628104</v>
      </c>
    </row>
    <row r="141" spans="1:15">
      <c r="A141" s="19">
        <v>43665</v>
      </c>
      <c r="B141">
        <v>698.4</v>
      </c>
      <c r="C141">
        <v>713.7</v>
      </c>
      <c r="D141">
        <v>2480</v>
      </c>
      <c r="E141">
        <v>2570</v>
      </c>
      <c r="F141">
        <v>0.27770428015564202</v>
      </c>
      <c r="G141">
        <v>0.28581670177440099</v>
      </c>
      <c r="H141">
        <v>9.21957574558817E-3</v>
      </c>
      <c r="I141">
        <v>-0.87991268173503201</v>
      </c>
      <c r="J141">
        <v>-2.92</v>
      </c>
      <c r="L141">
        <v>0.29503627751998918</v>
      </c>
      <c r="M141">
        <v>0.27659712602881281</v>
      </c>
      <c r="N141">
        <v>0.30425585326557736</v>
      </c>
      <c r="O141">
        <v>0.26737755028322463</v>
      </c>
    </row>
    <row r="142" spans="1:15">
      <c r="A142" s="19">
        <v>43664</v>
      </c>
      <c r="B142">
        <v>710</v>
      </c>
      <c r="C142">
        <v>699.7</v>
      </c>
      <c r="D142">
        <v>2574</v>
      </c>
      <c r="E142">
        <v>2495</v>
      </c>
      <c r="F142">
        <v>0.28044088176352699</v>
      </c>
      <c r="G142">
        <v>0.28595541151960102</v>
      </c>
      <c r="H142">
        <v>9.1746292660710594E-3</v>
      </c>
      <c r="I142">
        <v>-0.601062952643584</v>
      </c>
      <c r="J142">
        <v>-1.97</v>
      </c>
      <c r="L142">
        <v>0.29513004078567207</v>
      </c>
      <c r="M142">
        <v>0.27678078225352998</v>
      </c>
      <c r="N142">
        <v>0.30430467005174316</v>
      </c>
      <c r="O142">
        <v>0.26760615298745888</v>
      </c>
    </row>
    <row r="143" spans="1:15">
      <c r="A143" s="19">
        <v>43663</v>
      </c>
      <c r="B143">
        <v>721</v>
      </c>
      <c r="C143">
        <v>718.5</v>
      </c>
      <c r="D143">
        <v>2600</v>
      </c>
      <c r="E143">
        <v>2603</v>
      </c>
      <c r="F143">
        <v>0.276027660391855</v>
      </c>
      <c r="G143">
        <v>0.28611356117645598</v>
      </c>
      <c r="H143">
        <v>9.18043666858211E-3</v>
      </c>
      <c r="I143">
        <v>-1.0986297437372701</v>
      </c>
      <c r="J143">
        <v>-3.65</v>
      </c>
      <c r="L143">
        <v>0.29529399784503807</v>
      </c>
      <c r="M143">
        <v>0.27693312450787388</v>
      </c>
      <c r="N143">
        <v>0.30447443451362022</v>
      </c>
      <c r="O143">
        <v>0.26775268783929174</v>
      </c>
    </row>
    <row r="144" spans="1:15">
      <c r="A144" s="19">
        <v>43662</v>
      </c>
      <c r="B144">
        <v>728.7</v>
      </c>
      <c r="C144">
        <v>722</v>
      </c>
      <c r="D144">
        <v>2595</v>
      </c>
      <c r="E144">
        <v>2603</v>
      </c>
      <c r="F144">
        <v>0.27737226277372201</v>
      </c>
      <c r="G144">
        <v>0.28642861396604202</v>
      </c>
      <c r="H144">
        <v>9.2341944059687198E-3</v>
      </c>
      <c r="I144">
        <v>-0.98074079818659499</v>
      </c>
      <c r="J144">
        <v>-3.27</v>
      </c>
      <c r="L144">
        <v>0.29566280837201075</v>
      </c>
      <c r="M144">
        <v>0.27719441956007329</v>
      </c>
      <c r="N144">
        <v>0.30489700277797949</v>
      </c>
      <c r="O144">
        <v>0.26796022515410456</v>
      </c>
    </row>
    <row r="145" spans="1:15">
      <c r="A145" s="19">
        <v>43658</v>
      </c>
      <c r="B145">
        <v>727.8</v>
      </c>
      <c r="C145">
        <v>730</v>
      </c>
      <c r="D145">
        <v>2587</v>
      </c>
      <c r="E145">
        <v>2596</v>
      </c>
      <c r="F145">
        <v>0.28120184899845901</v>
      </c>
      <c r="G145">
        <v>0.28672932469635898</v>
      </c>
      <c r="H145">
        <v>9.3013577595620102E-3</v>
      </c>
      <c r="I145">
        <v>-0.59426546540664105</v>
      </c>
      <c r="J145">
        <v>-1.97</v>
      </c>
      <c r="L145">
        <v>0.29603068245592101</v>
      </c>
      <c r="M145">
        <v>0.27742796693679694</v>
      </c>
      <c r="N145">
        <v>0.30533204021548299</v>
      </c>
      <c r="O145">
        <v>0.26812660917723496</v>
      </c>
    </row>
    <row r="146" spans="1:15">
      <c r="A146" s="19">
        <v>43657</v>
      </c>
      <c r="B146">
        <v>721</v>
      </c>
      <c r="C146">
        <v>722.1</v>
      </c>
      <c r="D146">
        <v>2559</v>
      </c>
      <c r="E146">
        <v>2579</v>
      </c>
      <c r="F146">
        <v>0.279992245056223</v>
      </c>
      <c r="G146">
        <v>0.28688152940197298</v>
      </c>
      <c r="H146">
        <v>9.3030610396261492E-3</v>
      </c>
      <c r="I146">
        <v>-0.74053951881053803</v>
      </c>
      <c r="J146">
        <v>-2.46</v>
      </c>
      <c r="L146">
        <v>0.29618459044159912</v>
      </c>
      <c r="M146">
        <v>0.27757846836234684</v>
      </c>
      <c r="N146">
        <v>0.30548765148122525</v>
      </c>
      <c r="O146">
        <v>0.2682754073227207</v>
      </c>
    </row>
    <row r="147" spans="1:15">
      <c r="A147" s="19">
        <v>43656</v>
      </c>
      <c r="B147">
        <v>724.9</v>
      </c>
      <c r="C147">
        <v>725.8</v>
      </c>
      <c r="D147">
        <v>2519</v>
      </c>
      <c r="E147">
        <v>2546</v>
      </c>
      <c r="F147">
        <v>0.28507462686567098</v>
      </c>
      <c r="G147">
        <v>0.28705281270921801</v>
      </c>
      <c r="H147">
        <v>9.2928959841184298E-3</v>
      </c>
      <c r="I147">
        <v>-0.21287076137806099</v>
      </c>
      <c r="J147">
        <v>-0.69</v>
      </c>
      <c r="L147">
        <v>0.29634570869333643</v>
      </c>
      <c r="M147">
        <v>0.27775991672509959</v>
      </c>
      <c r="N147">
        <v>0.30563860467745485</v>
      </c>
      <c r="O147">
        <v>0.26846702074098117</v>
      </c>
    </row>
    <row r="148" spans="1:15">
      <c r="A148" s="19">
        <v>43655</v>
      </c>
      <c r="B148">
        <v>737.9</v>
      </c>
      <c r="C148">
        <v>733.8</v>
      </c>
      <c r="D148">
        <v>2581</v>
      </c>
      <c r="E148">
        <v>2557</v>
      </c>
      <c r="F148">
        <v>0.28697692608525599</v>
      </c>
      <c r="G148">
        <v>0.28710735262559101</v>
      </c>
      <c r="H148">
        <v>9.2931295145425898E-3</v>
      </c>
      <c r="I148">
        <v>-1.40347274974871E-2</v>
      </c>
      <c r="J148">
        <v>-0.05</v>
      </c>
      <c r="L148">
        <v>0.29640048214013359</v>
      </c>
      <c r="M148">
        <v>0.27781422311104842</v>
      </c>
      <c r="N148">
        <v>0.30569361165467618</v>
      </c>
      <c r="O148">
        <v>0.26852109359650583</v>
      </c>
    </row>
    <row r="149" spans="1:15">
      <c r="A149" s="19">
        <v>43654</v>
      </c>
      <c r="B149">
        <v>736.2</v>
      </c>
      <c r="C149">
        <v>734.9</v>
      </c>
      <c r="D149">
        <v>2599</v>
      </c>
      <c r="E149">
        <v>2585</v>
      </c>
      <c r="F149">
        <v>0.28429400386847098</v>
      </c>
      <c r="G149">
        <v>0.287150888086602</v>
      </c>
      <c r="H149">
        <v>9.3000620807595601E-3</v>
      </c>
      <c r="I149">
        <v>-0.307189800812319</v>
      </c>
      <c r="J149">
        <v>-1</v>
      </c>
      <c r="L149">
        <v>0.29645095016736156</v>
      </c>
      <c r="M149">
        <v>0.27785082600584243</v>
      </c>
      <c r="N149">
        <v>0.30575101224812112</v>
      </c>
      <c r="O149">
        <v>0.26855076392508287</v>
      </c>
    </row>
    <row r="150" spans="1:15">
      <c r="A150" s="19">
        <v>43651</v>
      </c>
      <c r="B150">
        <v>737.3</v>
      </c>
      <c r="C150">
        <v>734.8</v>
      </c>
      <c r="D150">
        <v>2622</v>
      </c>
      <c r="E150">
        <v>2617</v>
      </c>
      <c r="F150">
        <v>0.28077951853267002</v>
      </c>
      <c r="G150">
        <v>0.28726831286691901</v>
      </c>
      <c r="H150">
        <v>9.31882887228698E-3</v>
      </c>
      <c r="I150">
        <v>-0.69631006462034495</v>
      </c>
      <c r="J150">
        <v>-2.31</v>
      </c>
      <c r="L150">
        <v>0.29658714173920597</v>
      </c>
      <c r="M150">
        <v>0.27794948399463204</v>
      </c>
      <c r="N150">
        <v>0.30590597061149294</v>
      </c>
      <c r="O150">
        <v>0.26863065512234507</v>
      </c>
    </row>
    <row r="151" spans="1:15">
      <c r="A151" s="19">
        <v>43650</v>
      </c>
      <c r="B151">
        <v>739.3</v>
      </c>
      <c r="C151">
        <v>737.2</v>
      </c>
      <c r="D151">
        <v>2603</v>
      </c>
      <c r="E151">
        <v>2621</v>
      </c>
      <c r="F151">
        <v>0.28126669210225103</v>
      </c>
      <c r="G151">
        <v>0.28738024071505403</v>
      </c>
      <c r="H151">
        <v>9.2905908516761303E-3</v>
      </c>
      <c r="I151">
        <v>-0.65803657812578797</v>
      </c>
      <c r="J151">
        <v>-2.17</v>
      </c>
      <c r="L151">
        <v>0.29667083156673013</v>
      </c>
      <c r="M151">
        <v>0.27808964986337792</v>
      </c>
      <c r="N151">
        <v>0.30596142241840629</v>
      </c>
      <c r="O151">
        <v>0.26879905901170176</v>
      </c>
    </row>
    <row r="152" spans="1:15">
      <c r="A152" s="19">
        <v>43649</v>
      </c>
      <c r="B152">
        <v>736.5</v>
      </c>
      <c r="C152">
        <v>729.7</v>
      </c>
      <c r="D152">
        <v>2572</v>
      </c>
      <c r="E152">
        <v>2581</v>
      </c>
      <c r="F152">
        <v>0.28271987601704701</v>
      </c>
      <c r="G152">
        <v>0.28747445441918001</v>
      </c>
      <c r="H152">
        <v>9.2639062324839493E-3</v>
      </c>
      <c r="I152">
        <v>-0.51323688763825803</v>
      </c>
      <c r="J152">
        <v>-1.68</v>
      </c>
      <c r="L152">
        <v>0.29673836065166398</v>
      </c>
      <c r="M152">
        <v>0.27821054818669605</v>
      </c>
      <c r="N152">
        <v>0.30600226688414789</v>
      </c>
      <c r="O152">
        <v>0.26894664195421214</v>
      </c>
    </row>
    <row r="153" spans="1:15">
      <c r="A153" s="19">
        <v>43648</v>
      </c>
      <c r="B153">
        <v>738.1</v>
      </c>
      <c r="C153">
        <v>745.4</v>
      </c>
      <c r="D153">
        <v>2562</v>
      </c>
      <c r="E153">
        <v>2594</v>
      </c>
      <c r="F153">
        <v>0.28735543562066301</v>
      </c>
      <c r="G153">
        <v>0.28751805103151501</v>
      </c>
      <c r="H153">
        <v>9.2491102730127995E-3</v>
      </c>
      <c r="I153">
        <v>-1.7581735545625601E-2</v>
      </c>
      <c r="J153">
        <v>-0.06</v>
      </c>
      <c r="L153">
        <v>0.29676716130452779</v>
      </c>
      <c r="M153">
        <v>0.27826894075850223</v>
      </c>
      <c r="N153">
        <v>0.30601627157754063</v>
      </c>
      <c r="O153">
        <v>0.26901983048548939</v>
      </c>
    </row>
    <row r="154" spans="1:15">
      <c r="A154" s="19">
        <v>43647</v>
      </c>
      <c r="B154">
        <v>725.3</v>
      </c>
      <c r="C154">
        <v>741.7</v>
      </c>
      <c r="D154">
        <v>2520</v>
      </c>
      <c r="E154">
        <v>2562</v>
      </c>
      <c r="F154">
        <v>0.28950039032006197</v>
      </c>
      <c r="G154">
        <v>0.287473489931449</v>
      </c>
      <c r="H154">
        <v>9.2578331518143597E-3</v>
      </c>
      <c r="I154">
        <v>0.21893896286255399</v>
      </c>
      <c r="J154">
        <v>0.7</v>
      </c>
      <c r="L154">
        <v>0.29673132308326333</v>
      </c>
      <c r="M154">
        <v>0.27821565677963467</v>
      </c>
      <c r="N154">
        <v>0.30598915623507772</v>
      </c>
      <c r="O154">
        <v>0.26895782362782028</v>
      </c>
    </row>
    <row r="155" spans="1:15">
      <c r="A155" s="19">
        <v>43644</v>
      </c>
      <c r="B155">
        <v>715</v>
      </c>
      <c r="C155">
        <v>713</v>
      </c>
      <c r="D155">
        <v>2482</v>
      </c>
      <c r="E155">
        <v>2472</v>
      </c>
      <c r="F155">
        <v>0.288430420711974</v>
      </c>
      <c r="G155">
        <v>0.28743570694940401</v>
      </c>
      <c r="H155">
        <v>9.2552660124405502E-3</v>
      </c>
      <c r="I155">
        <v>0.107475437359948</v>
      </c>
      <c r="J155">
        <v>0.34</v>
      </c>
      <c r="L155">
        <v>0.29669097296184455</v>
      </c>
      <c r="M155">
        <v>0.27818044093696348</v>
      </c>
      <c r="N155">
        <v>0.30594623897428513</v>
      </c>
      <c r="O155">
        <v>0.26892517492452289</v>
      </c>
    </row>
    <row r="156" spans="1:15">
      <c r="A156" s="19">
        <v>43643</v>
      </c>
      <c r="B156">
        <v>714.3</v>
      </c>
      <c r="C156">
        <v>720.9</v>
      </c>
      <c r="D156">
        <v>2461</v>
      </c>
      <c r="E156">
        <v>2504</v>
      </c>
      <c r="F156">
        <v>0.28789936102236402</v>
      </c>
      <c r="G156">
        <v>0.28747032251174698</v>
      </c>
      <c r="H156">
        <v>9.2637726474224403E-3</v>
      </c>
      <c r="I156">
        <v>4.6313583779027598E-2</v>
      </c>
      <c r="J156">
        <v>0.15</v>
      </c>
      <c r="L156">
        <v>0.29673409515916943</v>
      </c>
      <c r="M156">
        <v>0.27820654986432453</v>
      </c>
      <c r="N156">
        <v>0.30599786780659188</v>
      </c>
      <c r="O156">
        <v>0.26894277721690207</v>
      </c>
    </row>
    <row r="157" spans="1:15">
      <c r="A157" s="19">
        <v>43642</v>
      </c>
      <c r="B157">
        <v>722</v>
      </c>
      <c r="C157">
        <v>720.3</v>
      </c>
      <c r="D157">
        <v>2490</v>
      </c>
      <c r="E157">
        <v>2469</v>
      </c>
      <c r="F157">
        <v>0.29173754556500597</v>
      </c>
      <c r="G157">
        <v>0.287515169014807</v>
      </c>
      <c r="H157">
        <v>9.2738770140003701E-3</v>
      </c>
      <c r="I157">
        <v>0.455297880684015</v>
      </c>
      <c r="J157">
        <v>1.45</v>
      </c>
      <c r="L157">
        <v>0.2967890460288074</v>
      </c>
      <c r="M157">
        <v>0.27824129200080661</v>
      </c>
      <c r="N157">
        <v>0.30606292304280774</v>
      </c>
      <c r="O157">
        <v>0.26896741498680626</v>
      </c>
    </row>
    <row r="158" spans="1:15">
      <c r="A158" s="19">
        <v>43641</v>
      </c>
      <c r="B158">
        <v>730</v>
      </c>
      <c r="C158">
        <v>725.6</v>
      </c>
      <c r="D158">
        <v>2505</v>
      </c>
      <c r="E158">
        <v>2511</v>
      </c>
      <c r="F158">
        <v>0.28896853843090398</v>
      </c>
      <c r="G158">
        <v>0.28747295412155899</v>
      </c>
      <c r="H158">
        <v>9.2617587808066799E-3</v>
      </c>
      <c r="I158">
        <v>0.161479514284429</v>
      </c>
      <c r="J158">
        <v>0.52</v>
      </c>
      <c r="L158">
        <v>0.29673471290236569</v>
      </c>
      <c r="M158">
        <v>0.27821119534075228</v>
      </c>
      <c r="N158">
        <v>0.30599647168317234</v>
      </c>
      <c r="O158">
        <v>0.26894943655994563</v>
      </c>
    </row>
    <row r="159" spans="1:15">
      <c r="A159" s="19">
        <v>43640</v>
      </c>
      <c r="B159">
        <v>725.5</v>
      </c>
      <c r="C159">
        <v>729.2</v>
      </c>
      <c r="D159">
        <v>2518</v>
      </c>
      <c r="E159">
        <v>2519</v>
      </c>
      <c r="F159">
        <v>0.28947995236204799</v>
      </c>
      <c r="G159">
        <v>0.28744958162648199</v>
      </c>
      <c r="H159">
        <v>9.2601667847273805E-3</v>
      </c>
      <c r="I159">
        <v>0.21925854930761501</v>
      </c>
      <c r="J159">
        <v>0.7</v>
      </c>
      <c r="L159">
        <v>0.29670974841120934</v>
      </c>
      <c r="M159">
        <v>0.27818941484175463</v>
      </c>
      <c r="N159">
        <v>0.30596991519593675</v>
      </c>
      <c r="O159">
        <v>0.26892924805702723</v>
      </c>
    </row>
    <row r="160" spans="1:15">
      <c r="A160" s="19">
        <v>43637</v>
      </c>
      <c r="B160">
        <v>725</v>
      </c>
      <c r="C160">
        <v>728.5</v>
      </c>
      <c r="D160">
        <v>2553</v>
      </c>
      <c r="E160">
        <v>2518</v>
      </c>
      <c r="F160">
        <v>0.28931691818903799</v>
      </c>
      <c r="G160">
        <v>0.287353969709849</v>
      </c>
      <c r="H160">
        <v>9.2757164069697893E-3</v>
      </c>
      <c r="I160">
        <v>0.21162230420439701</v>
      </c>
      <c r="J160">
        <v>0.68</v>
      </c>
      <c r="L160">
        <v>0.29662968611681878</v>
      </c>
      <c r="M160">
        <v>0.27807825330287922</v>
      </c>
      <c r="N160">
        <v>0.30590540252378856</v>
      </c>
      <c r="O160">
        <v>0.26880253689590944</v>
      </c>
    </row>
    <row r="161" spans="1:15">
      <c r="A161" s="19">
        <v>43636</v>
      </c>
      <c r="B161">
        <v>725.1</v>
      </c>
      <c r="C161">
        <v>720.7</v>
      </c>
      <c r="D161">
        <v>2582</v>
      </c>
      <c r="E161">
        <v>2551</v>
      </c>
      <c r="F161">
        <v>0.28251666013328097</v>
      </c>
      <c r="G161">
        <v>0.28733602779647299</v>
      </c>
      <c r="H161">
        <v>9.2732032365462399E-3</v>
      </c>
      <c r="I161">
        <v>-0.51970905201329498</v>
      </c>
      <c r="J161">
        <v>-1.71</v>
      </c>
      <c r="L161">
        <v>0.29660923103301923</v>
      </c>
      <c r="M161">
        <v>0.27806282455992676</v>
      </c>
      <c r="N161">
        <v>0.30588243426956546</v>
      </c>
      <c r="O161">
        <v>0.26878962132338052</v>
      </c>
    </row>
    <row r="162" spans="1:15">
      <c r="A162" s="19">
        <v>43635</v>
      </c>
      <c r="B162">
        <v>719</v>
      </c>
      <c r="C162">
        <v>731</v>
      </c>
      <c r="D162">
        <v>2550</v>
      </c>
      <c r="E162">
        <v>2565</v>
      </c>
      <c r="F162">
        <v>0.28499025341130602</v>
      </c>
      <c r="G162">
        <v>0.28741157194488698</v>
      </c>
      <c r="H162">
        <v>9.2566981247571792E-3</v>
      </c>
      <c r="I162">
        <v>-0.261574753864525</v>
      </c>
      <c r="J162">
        <v>-0.85</v>
      </c>
      <c r="L162">
        <v>0.29666827006964414</v>
      </c>
      <c r="M162">
        <v>0.27815487382012982</v>
      </c>
      <c r="N162">
        <v>0.30592496819440135</v>
      </c>
      <c r="O162">
        <v>0.26889817569537261</v>
      </c>
    </row>
    <row r="163" spans="1:15">
      <c r="A163" s="19">
        <v>43634</v>
      </c>
      <c r="B163">
        <v>710</v>
      </c>
      <c r="C163">
        <v>699.9</v>
      </c>
      <c r="D163">
        <v>2554</v>
      </c>
      <c r="E163">
        <v>2520</v>
      </c>
      <c r="F163">
        <v>0.27773809523809501</v>
      </c>
      <c r="G163">
        <v>0.287405993005796</v>
      </c>
      <c r="H163">
        <v>9.2582817070805904E-3</v>
      </c>
      <c r="I163">
        <v>-1.04424320555157</v>
      </c>
      <c r="J163">
        <v>-3.48</v>
      </c>
      <c r="L163">
        <v>0.2966642747128766</v>
      </c>
      <c r="M163">
        <v>0.27814771129871541</v>
      </c>
      <c r="N163">
        <v>0.30592255641995719</v>
      </c>
      <c r="O163">
        <v>0.26888942959163481</v>
      </c>
    </row>
    <row r="164" spans="1:15">
      <c r="A164" s="19">
        <v>43633</v>
      </c>
      <c r="B164">
        <v>712.2</v>
      </c>
      <c r="C164">
        <v>714.1</v>
      </c>
      <c r="D164">
        <v>2554</v>
      </c>
      <c r="E164">
        <v>2551</v>
      </c>
      <c r="F164">
        <v>0.27992943943551502</v>
      </c>
      <c r="G164">
        <v>0.28749288532759498</v>
      </c>
      <c r="H164">
        <v>9.1975196870267908E-3</v>
      </c>
      <c r="I164">
        <v>-0.82233538491342895</v>
      </c>
      <c r="J164">
        <v>-2.7</v>
      </c>
      <c r="L164">
        <v>0.29669040501462179</v>
      </c>
      <c r="M164">
        <v>0.27829536564056817</v>
      </c>
      <c r="N164">
        <v>0.30588792470164855</v>
      </c>
      <c r="O164">
        <v>0.26909784595354141</v>
      </c>
    </row>
    <row r="165" spans="1:15">
      <c r="A165" s="19">
        <v>43630</v>
      </c>
      <c r="B165">
        <v>715</v>
      </c>
      <c r="C165">
        <v>715.2</v>
      </c>
      <c r="D165">
        <v>2577</v>
      </c>
      <c r="E165">
        <v>2577</v>
      </c>
      <c r="F165">
        <v>0.27753201396973198</v>
      </c>
      <c r="G165">
        <v>0.28753335619731901</v>
      </c>
      <c r="H165">
        <v>9.17078916355832E-3</v>
      </c>
      <c r="I165">
        <v>-1.0905650592567699</v>
      </c>
      <c r="J165">
        <v>-3.6</v>
      </c>
      <c r="L165">
        <v>0.29670414536087736</v>
      </c>
      <c r="M165">
        <v>0.27836256703376067</v>
      </c>
      <c r="N165">
        <v>0.30587493452443565</v>
      </c>
      <c r="O165">
        <v>0.26919177787020238</v>
      </c>
    </row>
    <row r="166" spans="1:15">
      <c r="A166" s="19">
        <v>43629</v>
      </c>
      <c r="B166">
        <v>720.4</v>
      </c>
      <c r="C166">
        <v>714.5</v>
      </c>
      <c r="D166">
        <v>2573</v>
      </c>
      <c r="E166">
        <v>2560</v>
      </c>
      <c r="F166">
        <v>0.27910156250000001</v>
      </c>
      <c r="G166">
        <v>0.28764404432292501</v>
      </c>
      <c r="H166">
        <v>9.09922809682886E-3</v>
      </c>
      <c r="I166">
        <v>-0.9388139006981</v>
      </c>
      <c r="J166">
        <v>-3.06</v>
      </c>
      <c r="L166">
        <v>0.29674327241975385</v>
      </c>
      <c r="M166">
        <v>0.27854481622609617</v>
      </c>
      <c r="N166">
        <v>0.30584250051658274</v>
      </c>
      <c r="O166">
        <v>0.26944558812926728</v>
      </c>
    </row>
    <row r="167" spans="1:15">
      <c r="A167" s="19">
        <v>43628</v>
      </c>
      <c r="B167">
        <v>721.2</v>
      </c>
      <c r="C167">
        <v>729.6</v>
      </c>
      <c r="D167">
        <v>2591</v>
      </c>
      <c r="E167">
        <v>2599</v>
      </c>
      <c r="F167">
        <v>0.28072335513659102</v>
      </c>
      <c r="G167">
        <v>0.28769649550735099</v>
      </c>
      <c r="H167">
        <v>9.0610931326386406E-3</v>
      </c>
      <c r="I167">
        <v>-0.76956944031871399</v>
      </c>
      <c r="J167">
        <v>-2.48</v>
      </c>
      <c r="L167">
        <v>0.29675758863998963</v>
      </c>
      <c r="M167">
        <v>0.27863540237471235</v>
      </c>
      <c r="N167">
        <v>0.30581868177262828</v>
      </c>
      <c r="O167">
        <v>0.26957430924207371</v>
      </c>
    </row>
    <row r="168" spans="1:15">
      <c r="A168" s="19">
        <v>43627</v>
      </c>
      <c r="B168">
        <v>710.8</v>
      </c>
      <c r="C168">
        <v>721.2</v>
      </c>
      <c r="D168">
        <v>2600</v>
      </c>
      <c r="E168">
        <v>2592</v>
      </c>
      <c r="F168">
        <v>0.27824074074074001</v>
      </c>
      <c r="G168">
        <v>0.28772606921141503</v>
      </c>
      <c r="H168">
        <v>9.0418851061513598E-3</v>
      </c>
      <c r="I168">
        <v>-1.04904324256693</v>
      </c>
      <c r="J168">
        <v>-3.41</v>
      </c>
      <c r="L168">
        <v>0.29676795431756636</v>
      </c>
      <c r="M168">
        <v>0.27868418410526369</v>
      </c>
      <c r="N168">
        <v>0.30580983942371776</v>
      </c>
      <c r="O168">
        <v>0.2696422989991123</v>
      </c>
    </row>
    <row r="169" spans="1:15">
      <c r="A169" s="19">
        <v>43626</v>
      </c>
      <c r="B169">
        <v>708.6</v>
      </c>
      <c r="C169">
        <v>705.5</v>
      </c>
      <c r="D169">
        <v>2556</v>
      </c>
      <c r="E169">
        <v>2598</v>
      </c>
      <c r="F169">
        <v>0.27155504234026101</v>
      </c>
      <c r="G169">
        <v>0.28780865685503498</v>
      </c>
      <c r="H169">
        <v>8.9829659698316393E-3</v>
      </c>
      <c r="I169">
        <v>-1.8093817308626301</v>
      </c>
      <c r="J169">
        <v>-5.99</v>
      </c>
      <c r="L169">
        <v>0.2967916228248666</v>
      </c>
      <c r="M169">
        <v>0.27882569088520337</v>
      </c>
      <c r="N169">
        <v>0.30577458879469827</v>
      </c>
      <c r="O169">
        <v>0.2698427249153717</v>
      </c>
    </row>
    <row r="170" spans="1:15">
      <c r="A170" s="19">
        <v>43623</v>
      </c>
      <c r="B170">
        <v>693.1</v>
      </c>
      <c r="C170">
        <v>698.4</v>
      </c>
      <c r="D170">
        <v>2523</v>
      </c>
      <c r="E170">
        <v>2514</v>
      </c>
      <c r="F170">
        <v>0.27780429594271999</v>
      </c>
      <c r="G170">
        <v>0.28801240780565002</v>
      </c>
      <c r="H170">
        <v>8.7830728158991393E-3</v>
      </c>
      <c r="I170">
        <v>-1.1622483471218701</v>
      </c>
      <c r="J170">
        <v>-3.67</v>
      </c>
      <c r="L170">
        <v>0.29679548062154915</v>
      </c>
      <c r="M170">
        <v>0.27922933498975089</v>
      </c>
      <c r="N170">
        <v>0.30557855343744827</v>
      </c>
      <c r="O170">
        <v>0.27044626217385176</v>
      </c>
    </row>
    <row r="171" spans="1:15">
      <c r="A171" s="19">
        <v>43622</v>
      </c>
      <c r="B171">
        <v>693.9</v>
      </c>
      <c r="C171">
        <v>691.7</v>
      </c>
      <c r="D171">
        <v>2503</v>
      </c>
      <c r="E171">
        <v>2505</v>
      </c>
      <c r="F171">
        <v>0.27612774451097799</v>
      </c>
      <c r="G171">
        <v>0.288145630429268</v>
      </c>
      <c r="H171">
        <v>8.7026339111263892E-3</v>
      </c>
      <c r="I171">
        <v>-1.3809481176641201</v>
      </c>
      <c r="J171">
        <v>-4.3499999999999996</v>
      </c>
      <c r="L171">
        <v>0.29684826434039441</v>
      </c>
      <c r="M171">
        <v>0.27944299651814158</v>
      </c>
      <c r="N171">
        <v>0.30555089825152076</v>
      </c>
      <c r="O171">
        <v>0.27074036260701523</v>
      </c>
    </row>
    <row r="172" spans="1:15">
      <c r="A172" s="19">
        <v>43621</v>
      </c>
      <c r="B172">
        <v>693.6</v>
      </c>
      <c r="C172">
        <v>693</v>
      </c>
      <c r="D172">
        <v>2487</v>
      </c>
      <c r="E172">
        <v>2522</v>
      </c>
      <c r="F172">
        <v>0.27478191911181599</v>
      </c>
      <c r="G172">
        <v>0.28826111300124102</v>
      </c>
      <c r="H172">
        <v>8.5992444347058206E-3</v>
      </c>
      <c r="I172">
        <v>-1.56748584038674</v>
      </c>
      <c r="J172">
        <v>-4.91</v>
      </c>
      <c r="L172">
        <v>0.29686035743594685</v>
      </c>
      <c r="M172">
        <v>0.27966186856653519</v>
      </c>
      <c r="N172">
        <v>0.30545960187065269</v>
      </c>
      <c r="O172">
        <v>0.27106262413182936</v>
      </c>
    </row>
    <row r="173" spans="1:15">
      <c r="A173" s="19">
        <v>43620</v>
      </c>
      <c r="B173">
        <v>674</v>
      </c>
      <c r="C173">
        <v>683.6</v>
      </c>
      <c r="D173">
        <v>2457</v>
      </c>
      <c r="E173">
        <v>2438</v>
      </c>
      <c r="F173">
        <v>0.28039376538145999</v>
      </c>
      <c r="G173">
        <v>0.28837717961114301</v>
      </c>
      <c r="H173">
        <v>8.4743686524152897E-3</v>
      </c>
      <c r="I173">
        <v>-0.94206595879062704</v>
      </c>
      <c r="J173">
        <v>-2.85</v>
      </c>
      <c r="L173">
        <v>0.29685154826355831</v>
      </c>
      <c r="M173">
        <v>0.27990281095872771</v>
      </c>
      <c r="N173">
        <v>0.30532591691597361</v>
      </c>
      <c r="O173">
        <v>0.27142844230631241</v>
      </c>
    </row>
    <row r="174" spans="1:15">
      <c r="A174" s="19">
        <v>43619</v>
      </c>
      <c r="B174">
        <v>668.4</v>
      </c>
      <c r="C174">
        <v>672.1</v>
      </c>
      <c r="D174">
        <v>2445</v>
      </c>
      <c r="E174">
        <v>2456</v>
      </c>
      <c r="F174">
        <v>0.27365635179152997</v>
      </c>
      <c r="G174">
        <v>0.28872453836861001</v>
      </c>
      <c r="H174">
        <v>8.6716438023890993E-3</v>
      </c>
      <c r="I174">
        <v>-1.73763901290875</v>
      </c>
      <c r="J174">
        <v>-5.51</v>
      </c>
      <c r="L174">
        <v>0.29739618217099911</v>
      </c>
      <c r="M174">
        <v>0.2800528945662209</v>
      </c>
      <c r="N174">
        <v>0.30606782597338822</v>
      </c>
      <c r="O174">
        <v>0.27138125076383179</v>
      </c>
    </row>
    <row r="175" spans="1:15">
      <c r="A175" s="19">
        <v>43616</v>
      </c>
      <c r="B175">
        <v>689.1</v>
      </c>
      <c r="C175">
        <v>683.4</v>
      </c>
      <c r="D175">
        <v>2482</v>
      </c>
      <c r="E175">
        <v>2467</v>
      </c>
      <c r="F175">
        <v>0.27701661937576</v>
      </c>
      <c r="G175">
        <v>0.2892076068576</v>
      </c>
      <c r="H175">
        <v>8.82653704497759E-3</v>
      </c>
      <c r="I175">
        <v>-1.38117445377712</v>
      </c>
      <c r="J175">
        <v>-4.4000000000000004</v>
      </c>
      <c r="L175">
        <v>0.2980341439025776</v>
      </c>
      <c r="M175">
        <v>0.2803810698126224</v>
      </c>
      <c r="N175">
        <v>0.3068606809475552</v>
      </c>
      <c r="O175">
        <v>0.2715545327676448</v>
      </c>
    </row>
    <row r="176" spans="1:15">
      <c r="A176" s="19">
        <v>43615</v>
      </c>
      <c r="B176">
        <v>680</v>
      </c>
      <c r="C176">
        <v>697.6</v>
      </c>
      <c r="D176">
        <v>2479</v>
      </c>
      <c r="E176">
        <v>2506</v>
      </c>
      <c r="F176">
        <v>0.27837190742218598</v>
      </c>
      <c r="G176">
        <v>0.28964193911955799</v>
      </c>
      <c r="H176">
        <v>9.0154074721513801E-3</v>
      </c>
      <c r="I176">
        <v>-1.2500856708013199</v>
      </c>
      <c r="J176">
        <v>-4.05</v>
      </c>
      <c r="L176">
        <v>0.29865734659170939</v>
      </c>
      <c r="M176">
        <v>0.28062653164740659</v>
      </c>
      <c r="N176">
        <v>0.30767275406386074</v>
      </c>
      <c r="O176">
        <v>0.27161112417525524</v>
      </c>
    </row>
    <row r="177" spans="1:15">
      <c r="A177" s="19">
        <v>43614</v>
      </c>
      <c r="B177">
        <v>688</v>
      </c>
      <c r="C177">
        <v>685.5</v>
      </c>
      <c r="D177">
        <v>2473</v>
      </c>
      <c r="E177">
        <v>2506</v>
      </c>
      <c r="F177">
        <v>0.27354349561053398</v>
      </c>
      <c r="G177">
        <v>0.28999295674231601</v>
      </c>
      <c r="H177">
        <v>9.0820373215096308E-3</v>
      </c>
      <c r="I177">
        <v>-1.8112082729304599</v>
      </c>
      <c r="J177">
        <v>-6.01</v>
      </c>
      <c r="L177">
        <v>0.29907499406382565</v>
      </c>
      <c r="M177">
        <v>0.28091091942080637</v>
      </c>
      <c r="N177">
        <v>0.30815703138533529</v>
      </c>
      <c r="O177">
        <v>0.27182888209929673</v>
      </c>
    </row>
    <row r="178" spans="1:15">
      <c r="A178" s="19">
        <v>43613</v>
      </c>
      <c r="B178">
        <v>697.7</v>
      </c>
      <c r="C178">
        <v>694.7</v>
      </c>
      <c r="D178">
        <v>2531</v>
      </c>
      <c r="E178">
        <v>2513</v>
      </c>
      <c r="F178">
        <v>0.27644249900517298</v>
      </c>
      <c r="G178">
        <v>0.29038848568406</v>
      </c>
      <c r="H178">
        <v>9.0026506452210494E-3</v>
      </c>
      <c r="I178">
        <v>-1.54909784112196</v>
      </c>
      <c r="J178">
        <v>-5.04</v>
      </c>
      <c r="L178">
        <v>0.29939113632928105</v>
      </c>
      <c r="M178">
        <v>0.28138583503883896</v>
      </c>
      <c r="N178">
        <v>0.30839378697450209</v>
      </c>
      <c r="O178">
        <v>0.27238318439361792</v>
      </c>
    </row>
    <row r="179" spans="1:15">
      <c r="A179" s="19">
        <v>43612</v>
      </c>
      <c r="B179">
        <v>694.8</v>
      </c>
      <c r="C179">
        <v>696.3</v>
      </c>
      <c r="D179">
        <v>2513</v>
      </c>
      <c r="E179">
        <v>2531</v>
      </c>
      <c r="F179">
        <v>0.27510865270644003</v>
      </c>
      <c r="G179">
        <v>0.29082530300923098</v>
      </c>
      <c r="H179">
        <v>9.1095507702716599E-3</v>
      </c>
      <c r="I179">
        <v>-1.7252936724477199</v>
      </c>
      <c r="J179">
        <v>-5.71</v>
      </c>
      <c r="L179">
        <v>0.29993485377950263</v>
      </c>
      <c r="M179">
        <v>0.28171575223895934</v>
      </c>
      <c r="N179">
        <v>0.30904440454977433</v>
      </c>
      <c r="O179">
        <v>0.27260620146868764</v>
      </c>
    </row>
    <row r="180" spans="1:15">
      <c r="A180" s="19">
        <v>43609</v>
      </c>
      <c r="B180">
        <v>685</v>
      </c>
      <c r="C180">
        <v>692.6</v>
      </c>
      <c r="D180">
        <v>2460</v>
      </c>
      <c r="E180">
        <v>2504</v>
      </c>
      <c r="F180">
        <v>0.27659744408945602</v>
      </c>
      <c r="G180">
        <v>0.29127875626726202</v>
      </c>
      <c r="H180">
        <v>9.1622187323877596E-3</v>
      </c>
      <c r="I180">
        <v>-1.60237521135669</v>
      </c>
      <c r="J180">
        <v>-5.31</v>
      </c>
      <c r="L180">
        <v>0.30044097499964978</v>
      </c>
      <c r="M180">
        <v>0.28211653753487426</v>
      </c>
      <c r="N180">
        <v>0.30960319373203754</v>
      </c>
      <c r="O180">
        <v>0.2729543188024865</v>
      </c>
    </row>
    <row r="181" spans="1:15">
      <c r="A181" s="19">
        <v>43608</v>
      </c>
      <c r="B181">
        <v>700.1</v>
      </c>
      <c r="C181">
        <v>699</v>
      </c>
      <c r="D181">
        <v>2486</v>
      </c>
      <c r="E181">
        <v>2494</v>
      </c>
      <c r="F181">
        <v>0.28027265437048898</v>
      </c>
      <c r="G181">
        <v>0.291609356365369</v>
      </c>
      <c r="H181">
        <v>9.0734172750796902E-3</v>
      </c>
      <c r="I181">
        <v>-1.24944126905927</v>
      </c>
      <c r="J181">
        <v>-4.04</v>
      </c>
      <c r="L181">
        <v>0.30068277364044871</v>
      </c>
      <c r="M181">
        <v>0.28253593909028929</v>
      </c>
      <c r="N181">
        <v>0.30975619091552836</v>
      </c>
      <c r="O181">
        <v>0.27346252181520964</v>
      </c>
    </row>
    <row r="182" spans="1:15">
      <c r="A182" s="19">
        <v>43607</v>
      </c>
      <c r="B182">
        <v>698.1</v>
      </c>
      <c r="C182">
        <v>702.8</v>
      </c>
      <c r="D182">
        <v>2554</v>
      </c>
      <c r="E182">
        <v>2515</v>
      </c>
      <c r="F182">
        <v>0.27944333996023801</v>
      </c>
      <c r="G182">
        <v>0.29190983528763298</v>
      </c>
      <c r="H182">
        <v>9.0661624833475399E-3</v>
      </c>
      <c r="I182">
        <v>-1.37505756711204</v>
      </c>
      <c r="J182">
        <v>-4.46</v>
      </c>
      <c r="L182">
        <v>0.3009759977709805</v>
      </c>
      <c r="M182">
        <v>0.28284367280428546</v>
      </c>
      <c r="N182">
        <v>0.31004216025432807</v>
      </c>
      <c r="O182">
        <v>0.27377751032093789</v>
      </c>
    </row>
    <row r="183" spans="1:15">
      <c r="A183" s="19">
        <v>43606</v>
      </c>
      <c r="B183">
        <v>690.2</v>
      </c>
      <c r="C183">
        <v>696.4</v>
      </c>
      <c r="D183">
        <v>2567</v>
      </c>
      <c r="E183">
        <v>2554</v>
      </c>
      <c r="F183">
        <v>0.272670321064996</v>
      </c>
      <c r="G183">
        <v>0.29223211685924699</v>
      </c>
      <c r="H183">
        <v>9.0468723437967594E-3</v>
      </c>
      <c r="I183">
        <v>-2.1622716725592399</v>
      </c>
      <c r="J183">
        <v>-7.17</v>
      </c>
      <c r="L183">
        <v>0.30127898920304375</v>
      </c>
      <c r="M183">
        <v>0.28318524451545024</v>
      </c>
      <c r="N183">
        <v>0.3103258615468405</v>
      </c>
      <c r="O183">
        <v>0.27413837217165349</v>
      </c>
    </row>
    <row r="184" spans="1:15">
      <c r="A184" s="19">
        <v>43605</v>
      </c>
      <c r="B184">
        <v>703.9</v>
      </c>
      <c r="C184">
        <v>697.2</v>
      </c>
      <c r="D184">
        <v>2572</v>
      </c>
      <c r="E184">
        <v>2596</v>
      </c>
      <c r="F184">
        <v>0.26856702619414402</v>
      </c>
      <c r="G184">
        <v>0.29260524620283501</v>
      </c>
      <c r="H184">
        <v>8.8062720079588302E-3</v>
      </c>
      <c r="I184">
        <v>-2.7296703970721201</v>
      </c>
      <c r="J184">
        <v>-8.9499999999999993</v>
      </c>
      <c r="L184">
        <v>0.30141151821079382</v>
      </c>
      <c r="M184">
        <v>0.28379897419487621</v>
      </c>
      <c r="N184">
        <v>0.31021779021875268</v>
      </c>
      <c r="O184">
        <v>0.27499270218691735</v>
      </c>
    </row>
    <row r="185" spans="1:15">
      <c r="A185" s="19">
        <v>43602</v>
      </c>
      <c r="B185">
        <v>710</v>
      </c>
      <c r="C185">
        <v>708.2</v>
      </c>
      <c r="D185">
        <v>2574</v>
      </c>
      <c r="E185">
        <v>2573</v>
      </c>
      <c r="F185">
        <v>0.27524290711232002</v>
      </c>
      <c r="G185">
        <v>0.29299751997969198</v>
      </c>
      <c r="H185">
        <v>8.3712797683164406E-3</v>
      </c>
      <c r="I185">
        <v>-2.1208958915182698</v>
      </c>
      <c r="J185">
        <v>-6.45</v>
      </c>
      <c r="L185">
        <v>0.3013687997480084</v>
      </c>
      <c r="M185">
        <v>0.28462624021137556</v>
      </c>
      <c r="N185">
        <v>0.30974007951632487</v>
      </c>
      <c r="O185">
        <v>0.27625496044305908</v>
      </c>
    </row>
    <row r="186" spans="1:15">
      <c r="A186" s="19">
        <v>43601</v>
      </c>
      <c r="B186">
        <v>701.4</v>
      </c>
      <c r="C186">
        <v>700.5</v>
      </c>
      <c r="D186">
        <v>2521</v>
      </c>
      <c r="E186">
        <v>2544</v>
      </c>
      <c r="F186">
        <v>0.27535377358490498</v>
      </c>
      <c r="G186">
        <v>0.29325541238546299</v>
      </c>
      <c r="H186">
        <v>8.1143326149626903E-3</v>
      </c>
      <c r="I186">
        <v>-2.2061751286294902</v>
      </c>
      <c r="J186">
        <v>-6.5</v>
      </c>
      <c r="L186">
        <v>0.30136974500042568</v>
      </c>
      <c r="M186">
        <v>0.28514107977050029</v>
      </c>
      <c r="N186">
        <v>0.30948407761538838</v>
      </c>
      <c r="O186">
        <v>0.2770267471555376</v>
      </c>
    </row>
    <row r="187" spans="1:15">
      <c r="A187" s="19">
        <v>43600</v>
      </c>
      <c r="B187">
        <v>709</v>
      </c>
      <c r="C187">
        <v>706.1</v>
      </c>
      <c r="D187">
        <v>2539</v>
      </c>
      <c r="E187">
        <v>2530</v>
      </c>
      <c r="F187">
        <v>0.279090909090909</v>
      </c>
      <c r="G187">
        <v>0.29357249720613299</v>
      </c>
      <c r="H187">
        <v>7.8695542381793607E-3</v>
      </c>
      <c r="I187">
        <v>-1.8402043720553001</v>
      </c>
      <c r="J187">
        <v>-5.19</v>
      </c>
      <c r="L187">
        <v>0.30144205144431235</v>
      </c>
      <c r="M187">
        <v>0.28570294296795362</v>
      </c>
      <c r="N187">
        <v>0.30931160568249172</v>
      </c>
      <c r="O187">
        <v>0.27783338872977426</v>
      </c>
    </row>
    <row r="188" spans="1:15">
      <c r="A188" s="19">
        <v>43599</v>
      </c>
      <c r="B188">
        <v>691</v>
      </c>
      <c r="C188">
        <v>703.2</v>
      </c>
      <c r="D188">
        <v>2447</v>
      </c>
      <c r="E188">
        <v>2538</v>
      </c>
      <c r="F188">
        <v>0.27706855791962098</v>
      </c>
      <c r="G188">
        <v>0.29383619992677001</v>
      </c>
      <c r="H188">
        <v>7.7096115841117198E-3</v>
      </c>
      <c r="I188">
        <v>-2.1749010082043299</v>
      </c>
      <c r="J188">
        <v>-6.05</v>
      </c>
      <c r="L188">
        <v>0.30154581151088172</v>
      </c>
      <c r="M188">
        <v>0.28612658834265831</v>
      </c>
      <c r="N188">
        <v>0.30925542309499343</v>
      </c>
      <c r="O188">
        <v>0.2784169767585466</v>
      </c>
    </row>
    <row r="189" spans="1:15">
      <c r="A189" s="19">
        <v>43598</v>
      </c>
      <c r="B189">
        <v>707.2</v>
      </c>
      <c r="C189">
        <v>709.6</v>
      </c>
      <c r="D189">
        <v>2430</v>
      </c>
      <c r="E189">
        <v>2521</v>
      </c>
      <c r="F189">
        <v>0.28147560491868301</v>
      </c>
      <c r="G189">
        <v>0.29409472001551701</v>
      </c>
      <c r="H189">
        <v>7.4641932761340003E-3</v>
      </c>
      <c r="I189">
        <v>-1.69062008846722</v>
      </c>
      <c r="J189">
        <v>-4.4800000000000004</v>
      </c>
      <c r="L189">
        <v>0.30155891329165102</v>
      </c>
      <c r="M189">
        <v>0.286630526739383</v>
      </c>
      <c r="N189">
        <v>0.30902310656778503</v>
      </c>
      <c r="O189">
        <v>0.27916633346324898</v>
      </c>
    </row>
    <row r="190" spans="1:15">
      <c r="A190" s="19">
        <v>43595</v>
      </c>
      <c r="B190">
        <v>723.9</v>
      </c>
      <c r="C190">
        <v>713.9</v>
      </c>
      <c r="D190">
        <v>2397</v>
      </c>
      <c r="E190">
        <v>2431</v>
      </c>
      <c r="F190">
        <v>0.29366515837104001</v>
      </c>
      <c r="G190">
        <v>0.29426397955731098</v>
      </c>
      <c r="H190">
        <v>7.3186324289000702E-3</v>
      </c>
      <c r="I190">
        <v>-8.1821459417266304E-2</v>
      </c>
      <c r="J190">
        <v>-0.2</v>
      </c>
      <c r="L190">
        <v>0.30158261198621106</v>
      </c>
      <c r="M190">
        <v>0.28694534712841091</v>
      </c>
      <c r="N190">
        <v>0.30890124441511113</v>
      </c>
      <c r="O190">
        <v>0.27962671469951084</v>
      </c>
    </row>
    <row r="191" spans="1:15">
      <c r="A191" s="19">
        <v>43594</v>
      </c>
      <c r="B191">
        <v>741.3</v>
      </c>
      <c r="C191">
        <v>721</v>
      </c>
      <c r="D191">
        <v>2478</v>
      </c>
      <c r="E191">
        <v>2438</v>
      </c>
      <c r="F191">
        <v>0.29573420836751402</v>
      </c>
      <c r="G191">
        <v>0.29428645149243798</v>
      </c>
      <c r="H191">
        <v>7.3193467187928603E-3</v>
      </c>
      <c r="I191">
        <v>0.197798646614009</v>
      </c>
      <c r="J191">
        <v>0.49</v>
      </c>
      <c r="L191">
        <v>0.30160579821123085</v>
      </c>
      <c r="M191">
        <v>0.28696710477364512</v>
      </c>
      <c r="N191">
        <v>0.30892514493002371</v>
      </c>
      <c r="O191">
        <v>0.27964775805485226</v>
      </c>
    </row>
    <row r="192" spans="1:15">
      <c r="A192" s="19">
        <v>43593</v>
      </c>
      <c r="B192">
        <v>761</v>
      </c>
      <c r="C192">
        <v>750.8</v>
      </c>
      <c r="D192">
        <v>2529</v>
      </c>
      <c r="E192">
        <v>2516</v>
      </c>
      <c r="F192">
        <v>0.29841017488076299</v>
      </c>
      <c r="G192">
        <v>0.29423805267062503</v>
      </c>
      <c r="H192">
        <v>7.3216144351069398E-3</v>
      </c>
      <c r="I192">
        <v>0.56983637244435603</v>
      </c>
      <c r="J192">
        <v>1.4</v>
      </c>
      <c r="L192">
        <v>0.30155966710573195</v>
      </c>
      <c r="M192">
        <v>0.2869164382355181</v>
      </c>
      <c r="N192">
        <v>0.30888128154083888</v>
      </c>
      <c r="O192">
        <v>0.27959482380041117</v>
      </c>
    </row>
    <row r="193" spans="1:15">
      <c r="A193" s="19">
        <v>43592</v>
      </c>
      <c r="B193">
        <v>794.1</v>
      </c>
      <c r="C193">
        <v>771.6</v>
      </c>
      <c r="D193">
        <v>2655</v>
      </c>
      <c r="E193">
        <v>2579</v>
      </c>
      <c r="F193">
        <v>0.29918573090345002</v>
      </c>
      <c r="G193">
        <v>0.29414108841328002</v>
      </c>
      <c r="H193">
        <v>7.3138702098159503E-3</v>
      </c>
      <c r="I193">
        <v>0.68973639748218396</v>
      </c>
      <c r="J193">
        <v>1.69</v>
      </c>
      <c r="L193">
        <v>0.30145495862309596</v>
      </c>
      <c r="M193">
        <v>0.28682721820346407</v>
      </c>
      <c r="N193">
        <v>0.3087688288329119</v>
      </c>
      <c r="O193">
        <v>0.27951334799364813</v>
      </c>
    </row>
    <row r="194" spans="1:15">
      <c r="A194" s="19">
        <v>43581</v>
      </c>
      <c r="B194">
        <v>786.8</v>
      </c>
      <c r="C194">
        <v>795.1</v>
      </c>
      <c r="D194">
        <v>2660</v>
      </c>
      <c r="E194">
        <v>2617</v>
      </c>
      <c r="F194">
        <v>0.30382116927779901</v>
      </c>
      <c r="G194">
        <v>0.29408723945221399</v>
      </c>
      <c r="H194">
        <v>7.2913632824683303E-3</v>
      </c>
      <c r="I194">
        <v>1.3349944925922099</v>
      </c>
      <c r="J194">
        <v>3.2</v>
      </c>
      <c r="L194">
        <v>0.30137860273468231</v>
      </c>
      <c r="M194">
        <v>0.28679587616974567</v>
      </c>
      <c r="N194">
        <v>0.30866996601715063</v>
      </c>
      <c r="O194">
        <v>0.27950451288727735</v>
      </c>
    </row>
    <row r="195" spans="1:15">
      <c r="A195" s="19">
        <v>43580</v>
      </c>
      <c r="B195">
        <v>789</v>
      </c>
      <c r="C195">
        <v>794.4</v>
      </c>
      <c r="D195">
        <v>2657</v>
      </c>
      <c r="E195">
        <v>2688</v>
      </c>
      <c r="F195">
        <v>0.29553571428571401</v>
      </c>
      <c r="G195">
        <v>0.29399038234487701</v>
      </c>
      <c r="H195">
        <v>7.2092020424564997E-3</v>
      </c>
      <c r="I195">
        <v>0.21435547675534</v>
      </c>
      <c r="J195">
        <v>0.52</v>
      </c>
      <c r="L195">
        <v>0.30119958438733352</v>
      </c>
      <c r="M195">
        <v>0.2867811803024205</v>
      </c>
      <c r="N195">
        <v>0.30840878642979003</v>
      </c>
      <c r="O195">
        <v>0.27957197825996399</v>
      </c>
    </row>
    <row r="196" spans="1:15">
      <c r="A196" s="19">
        <v>43579</v>
      </c>
      <c r="B196">
        <v>811.5</v>
      </c>
      <c r="C196">
        <v>790.9</v>
      </c>
      <c r="D196">
        <v>2715</v>
      </c>
      <c r="E196">
        <v>2646</v>
      </c>
      <c r="F196">
        <v>0.29890400604686301</v>
      </c>
      <c r="G196">
        <v>0.29400043089203198</v>
      </c>
      <c r="H196">
        <v>7.2118737367558496E-3</v>
      </c>
      <c r="I196">
        <v>0.67993081046868797</v>
      </c>
      <c r="J196">
        <v>1.64</v>
      </c>
      <c r="L196">
        <v>0.30121230462878784</v>
      </c>
      <c r="M196">
        <v>0.28678855715527612</v>
      </c>
      <c r="N196">
        <v>0.3084241783655437</v>
      </c>
      <c r="O196">
        <v>0.27957668341852027</v>
      </c>
    </row>
    <row r="197" spans="1:15">
      <c r="A197" s="19">
        <v>43578</v>
      </c>
      <c r="B197">
        <v>805</v>
      </c>
      <c r="C197">
        <v>811.6</v>
      </c>
      <c r="D197">
        <v>2669</v>
      </c>
      <c r="E197">
        <v>2692</v>
      </c>
      <c r="F197">
        <v>0.30148588410103999</v>
      </c>
      <c r="G197">
        <v>0.29387583888025098</v>
      </c>
      <c r="H197">
        <v>7.2067985086005301E-3</v>
      </c>
      <c r="I197">
        <v>1.0559536542761601</v>
      </c>
      <c r="J197">
        <v>2.52</v>
      </c>
      <c r="L197">
        <v>0.30108263738885149</v>
      </c>
      <c r="M197">
        <v>0.28666904037165047</v>
      </c>
      <c r="N197">
        <v>0.30828943589745206</v>
      </c>
      <c r="O197">
        <v>0.27946224186304991</v>
      </c>
    </row>
    <row r="198" spans="1:15">
      <c r="A198" s="19">
        <v>43577</v>
      </c>
      <c r="B198">
        <v>795</v>
      </c>
      <c r="C198">
        <v>802.7</v>
      </c>
      <c r="D198">
        <v>2608</v>
      </c>
      <c r="E198">
        <v>2631</v>
      </c>
      <c r="F198">
        <v>0.305093120486507</v>
      </c>
      <c r="G198">
        <v>0.29377634177311501</v>
      </c>
      <c r="H198">
        <v>7.1523538555209702E-3</v>
      </c>
      <c r="I198">
        <v>1.5822453617358301</v>
      </c>
      <c r="J198">
        <v>3.71</v>
      </c>
      <c r="L198">
        <v>0.300928695628636</v>
      </c>
      <c r="M198">
        <v>0.28662398791759403</v>
      </c>
      <c r="N198">
        <v>0.30808104948415693</v>
      </c>
      <c r="O198">
        <v>0.27947163406207309</v>
      </c>
    </row>
    <row r="199" spans="1:15">
      <c r="A199" s="19">
        <v>43574</v>
      </c>
      <c r="B199">
        <v>797.1</v>
      </c>
      <c r="C199">
        <v>793.7</v>
      </c>
      <c r="D199">
        <v>2683</v>
      </c>
      <c r="E199">
        <v>2625</v>
      </c>
      <c r="F199">
        <v>0.302361904761904</v>
      </c>
      <c r="G199">
        <v>0.29366897667188102</v>
      </c>
      <c r="H199">
        <v>7.0412448542450101E-3</v>
      </c>
      <c r="I199">
        <v>1.2345726174800999</v>
      </c>
      <c r="J199">
        <v>2.88</v>
      </c>
      <c r="L199">
        <v>0.30071022152612603</v>
      </c>
      <c r="M199">
        <v>0.28662773181763601</v>
      </c>
      <c r="N199">
        <v>0.30775146638037104</v>
      </c>
      <c r="O199">
        <v>0.279586486963391</v>
      </c>
    </row>
    <row r="200" spans="1:15">
      <c r="A200" s="19">
        <v>43573</v>
      </c>
      <c r="B200">
        <v>798.4</v>
      </c>
      <c r="C200">
        <v>792.4</v>
      </c>
      <c r="D200">
        <v>2692</v>
      </c>
      <c r="E200">
        <v>2633</v>
      </c>
      <c r="F200">
        <v>0.30094948727686999</v>
      </c>
      <c r="G200">
        <v>0.293561992415585</v>
      </c>
      <c r="H200">
        <v>6.9689377171119702E-3</v>
      </c>
      <c r="I200">
        <v>1.0600603938740101</v>
      </c>
      <c r="J200">
        <v>2.4500000000000002</v>
      </c>
      <c r="L200">
        <v>0.30053093013269699</v>
      </c>
      <c r="M200">
        <v>0.28659305469847302</v>
      </c>
      <c r="N200">
        <v>0.30749986784980893</v>
      </c>
      <c r="O200">
        <v>0.27962411698136108</v>
      </c>
    </row>
    <row r="201" spans="1:15">
      <c r="A201" s="19">
        <v>43572</v>
      </c>
      <c r="B201">
        <v>794.9</v>
      </c>
      <c r="C201">
        <v>802.2</v>
      </c>
      <c r="D201">
        <v>2690</v>
      </c>
      <c r="E201">
        <v>2692</v>
      </c>
      <c r="F201">
        <v>0.297994056463595</v>
      </c>
      <c r="G201">
        <v>0.29348676337149499</v>
      </c>
      <c r="H201">
        <v>6.9190592440911804E-3</v>
      </c>
      <c r="I201">
        <v>0.65143149279290202</v>
      </c>
      <c r="J201">
        <v>1.51</v>
      </c>
      <c r="L201">
        <v>0.30040582261558618</v>
      </c>
      <c r="M201">
        <v>0.28656770412740379</v>
      </c>
      <c r="N201">
        <v>0.30732488185967732</v>
      </c>
      <c r="O201">
        <v>0.27964864488331265</v>
      </c>
    </row>
    <row r="202" spans="1:15">
      <c r="A202" s="19">
        <v>43571</v>
      </c>
      <c r="B202">
        <v>801.4</v>
      </c>
      <c r="C202">
        <v>793.9</v>
      </c>
      <c r="D202">
        <v>2704</v>
      </c>
      <c r="E202">
        <v>2698</v>
      </c>
      <c r="F202">
        <v>0.29425500370644903</v>
      </c>
      <c r="G202">
        <v>0.293556332441538</v>
      </c>
      <c r="H202">
        <v>6.98989746050764E-3</v>
      </c>
      <c r="I202">
        <v>9.9954436936690497E-2</v>
      </c>
      <c r="J202">
        <v>0.24</v>
      </c>
      <c r="L202">
        <v>0.30054622990204566</v>
      </c>
      <c r="M202">
        <v>0.28656643498103035</v>
      </c>
      <c r="N202">
        <v>0.30753612736255326</v>
      </c>
      <c r="O202">
        <v>0.27957653752052275</v>
      </c>
    </row>
    <row r="203" spans="1:15">
      <c r="A203" s="19">
        <v>43570</v>
      </c>
      <c r="B203">
        <v>796.6</v>
      </c>
      <c r="C203">
        <v>802.3</v>
      </c>
      <c r="D203">
        <v>2736</v>
      </c>
      <c r="E203">
        <v>2728</v>
      </c>
      <c r="F203">
        <v>0.29409824046920802</v>
      </c>
      <c r="G203">
        <v>0.29362525484893298</v>
      </c>
      <c r="H203">
        <v>7.02185849966795E-3</v>
      </c>
      <c r="I203">
        <v>6.7359036115179294E-2</v>
      </c>
      <c r="J203">
        <v>0.16</v>
      </c>
      <c r="L203">
        <v>0.30064711334860095</v>
      </c>
      <c r="M203">
        <v>0.28660339634926502</v>
      </c>
      <c r="N203">
        <v>0.30766897184826886</v>
      </c>
      <c r="O203">
        <v>0.27958153784959711</v>
      </c>
    </row>
    <row r="204" spans="1:15">
      <c r="A204" s="19">
        <v>43567</v>
      </c>
      <c r="B204">
        <v>787.9</v>
      </c>
      <c r="C204">
        <v>786.8</v>
      </c>
      <c r="D204">
        <v>2694</v>
      </c>
      <c r="E204">
        <v>2652</v>
      </c>
      <c r="F204">
        <v>0.29668174962292598</v>
      </c>
      <c r="G204">
        <v>0.29368648644003298</v>
      </c>
      <c r="H204">
        <v>7.0456986088644003E-3</v>
      </c>
      <c r="I204">
        <v>0.42511940251376501</v>
      </c>
      <c r="J204">
        <v>1.01</v>
      </c>
      <c r="L204">
        <v>0.30073218504889737</v>
      </c>
      <c r="M204">
        <v>0.28664078783116859</v>
      </c>
      <c r="N204">
        <v>0.30777788365776176</v>
      </c>
      <c r="O204">
        <v>0.27959508922230419</v>
      </c>
    </row>
    <row r="205" spans="1:15">
      <c r="A205" s="19">
        <v>43566</v>
      </c>
      <c r="B205">
        <v>780.4</v>
      </c>
      <c r="C205">
        <v>781.8</v>
      </c>
      <c r="D205">
        <v>2655</v>
      </c>
      <c r="E205">
        <v>2652</v>
      </c>
      <c r="F205">
        <v>0.29479638009049702</v>
      </c>
      <c r="G205">
        <v>0.29376789068511999</v>
      </c>
      <c r="H205">
        <v>7.1147660078306101E-3</v>
      </c>
      <c r="I205">
        <v>0.144557024678691</v>
      </c>
      <c r="J205">
        <v>0.35</v>
      </c>
      <c r="L205">
        <v>0.30088265669295061</v>
      </c>
      <c r="M205">
        <v>0.28665312467728937</v>
      </c>
      <c r="N205">
        <v>0.30799742270078123</v>
      </c>
      <c r="O205">
        <v>0.27953835866945875</v>
      </c>
    </row>
    <row r="206" spans="1:15">
      <c r="A206" s="19">
        <v>43565</v>
      </c>
      <c r="B206">
        <v>793.5</v>
      </c>
      <c r="C206">
        <v>788.9</v>
      </c>
      <c r="D206">
        <v>2650</v>
      </c>
      <c r="E206">
        <v>2649</v>
      </c>
      <c r="F206">
        <v>0.29781049452623598</v>
      </c>
      <c r="G206">
        <v>0.29384990590879201</v>
      </c>
      <c r="H206">
        <v>7.1614495526441096E-3</v>
      </c>
      <c r="I206">
        <v>0.553042870487224</v>
      </c>
      <c r="J206">
        <v>1.33</v>
      </c>
      <c r="L206">
        <v>0.30101135546143609</v>
      </c>
      <c r="M206">
        <v>0.28668845635614792</v>
      </c>
      <c r="N206">
        <v>0.30817280501408023</v>
      </c>
      <c r="O206">
        <v>0.27952700680350379</v>
      </c>
    </row>
    <row r="207" spans="1:15">
      <c r="A207" s="19">
        <v>43564</v>
      </c>
      <c r="B207">
        <v>801.1</v>
      </c>
      <c r="C207">
        <v>799.4</v>
      </c>
      <c r="D207">
        <v>2697</v>
      </c>
      <c r="E207">
        <v>2681</v>
      </c>
      <c r="F207">
        <v>0.29817232375979102</v>
      </c>
      <c r="G207">
        <v>0.29392393362310099</v>
      </c>
      <c r="H207">
        <v>7.2303716311371601E-3</v>
      </c>
      <c r="I207">
        <v>0.58757562590476498</v>
      </c>
      <c r="J207">
        <v>1.42</v>
      </c>
      <c r="L207">
        <v>0.30115430525423814</v>
      </c>
      <c r="M207">
        <v>0.28669356199196383</v>
      </c>
      <c r="N207">
        <v>0.3083846768853753</v>
      </c>
      <c r="O207">
        <v>0.27946319036082667</v>
      </c>
    </row>
    <row r="208" spans="1:15">
      <c r="A208" s="19">
        <v>43563</v>
      </c>
      <c r="B208">
        <v>808</v>
      </c>
      <c r="C208">
        <v>806.1</v>
      </c>
      <c r="D208">
        <v>2705</v>
      </c>
      <c r="E208">
        <v>2692</v>
      </c>
      <c r="F208">
        <v>0.299442793462109</v>
      </c>
      <c r="G208">
        <v>0.29395601255410497</v>
      </c>
      <c r="H208">
        <v>7.2544463490169199E-3</v>
      </c>
      <c r="I208">
        <v>0.75633351520306702</v>
      </c>
      <c r="J208">
        <v>1.83</v>
      </c>
      <c r="L208">
        <v>0.30121045890312187</v>
      </c>
      <c r="M208">
        <v>0.28670156620508808</v>
      </c>
      <c r="N208">
        <v>0.30846490525213882</v>
      </c>
      <c r="O208">
        <v>0.27944711985607112</v>
      </c>
    </row>
    <row r="209" spans="1:15">
      <c r="A209" s="19">
        <v>43560</v>
      </c>
      <c r="B209">
        <v>792.4</v>
      </c>
      <c r="C209">
        <v>802.2</v>
      </c>
      <c r="D209">
        <v>2699</v>
      </c>
      <c r="E209">
        <v>2704</v>
      </c>
      <c r="F209">
        <v>0.296671597633136</v>
      </c>
      <c r="G209">
        <v>0.293946878827613</v>
      </c>
      <c r="H209">
        <v>7.2479608004941704E-3</v>
      </c>
      <c r="I209">
        <v>0.37592902066152301</v>
      </c>
      <c r="J209">
        <v>0.92</v>
      </c>
      <c r="L209">
        <v>0.30119483962810717</v>
      </c>
      <c r="M209">
        <v>0.28669891802711883</v>
      </c>
      <c r="N209">
        <v>0.30844280042860134</v>
      </c>
      <c r="O209">
        <v>0.27945095722662466</v>
      </c>
    </row>
    <row r="210" spans="1:15">
      <c r="A210" s="19">
        <v>43559</v>
      </c>
      <c r="B210">
        <v>789</v>
      </c>
      <c r="C210">
        <v>793.5</v>
      </c>
      <c r="D210">
        <v>2720</v>
      </c>
      <c r="E210">
        <v>2695</v>
      </c>
      <c r="F210">
        <v>0.29443413729127998</v>
      </c>
      <c r="G210">
        <v>0.29388409703201002</v>
      </c>
      <c r="H210">
        <v>7.2444796412734604E-3</v>
      </c>
      <c r="I210">
        <v>7.5925433779334695E-2</v>
      </c>
      <c r="J210">
        <v>0.19</v>
      </c>
      <c r="L210">
        <v>0.30112857667328347</v>
      </c>
      <c r="M210">
        <v>0.28663961739073657</v>
      </c>
      <c r="N210">
        <v>0.30837305631455691</v>
      </c>
      <c r="O210">
        <v>0.27939513774946312</v>
      </c>
    </row>
    <row r="211" spans="1:15">
      <c r="A211" s="19">
        <v>43558</v>
      </c>
      <c r="B211">
        <v>785</v>
      </c>
      <c r="C211">
        <v>791.3</v>
      </c>
      <c r="D211">
        <v>2710</v>
      </c>
      <c r="E211">
        <v>2733</v>
      </c>
      <c r="F211">
        <v>0.28953530918404602</v>
      </c>
      <c r="G211">
        <v>0.29389493254454402</v>
      </c>
      <c r="H211">
        <v>7.2459018365990096E-3</v>
      </c>
      <c r="I211">
        <v>-0.60166746097453105</v>
      </c>
      <c r="J211">
        <v>-1.51</v>
      </c>
      <c r="L211">
        <v>0.30114083438114303</v>
      </c>
      <c r="M211">
        <v>0.28664903070794501</v>
      </c>
      <c r="N211">
        <v>0.30838673621774204</v>
      </c>
      <c r="O211">
        <v>0.279403128871346</v>
      </c>
    </row>
    <row r="212" spans="1:15">
      <c r="A212" s="19">
        <v>43557</v>
      </c>
      <c r="B212">
        <v>797</v>
      </c>
      <c r="C212">
        <v>783.2</v>
      </c>
      <c r="D212">
        <v>2777</v>
      </c>
      <c r="E212">
        <v>2704</v>
      </c>
      <c r="F212">
        <v>0.28964497041420101</v>
      </c>
      <c r="G212">
        <v>0.294013343444888</v>
      </c>
      <c r="H212">
        <v>7.2462544827501703E-3</v>
      </c>
      <c r="I212">
        <v>-0.60284565510169097</v>
      </c>
      <c r="J212">
        <v>-1.51</v>
      </c>
      <c r="L212">
        <v>0.30125959792763818</v>
      </c>
      <c r="M212">
        <v>0.28676708896213782</v>
      </c>
      <c r="N212">
        <v>0.30850585241038836</v>
      </c>
      <c r="O212">
        <v>0.27952083447938764</v>
      </c>
    </row>
    <row r="213" spans="1:15">
      <c r="A213" s="19">
        <v>43556</v>
      </c>
      <c r="B213">
        <v>779</v>
      </c>
      <c r="C213">
        <v>791.4</v>
      </c>
      <c r="D213">
        <v>2800</v>
      </c>
      <c r="E213">
        <v>2752</v>
      </c>
      <c r="F213">
        <v>0.28757267441860401</v>
      </c>
      <c r="G213">
        <v>0.29415286611010699</v>
      </c>
      <c r="H213">
        <v>7.2615257637143197E-3</v>
      </c>
      <c r="I213">
        <v>-0.90617205056055505</v>
      </c>
      <c r="J213">
        <v>-2.29</v>
      </c>
      <c r="L213">
        <v>0.3014143918738213</v>
      </c>
      <c r="M213">
        <v>0.28689134034639269</v>
      </c>
      <c r="N213">
        <v>0.30867591763753566</v>
      </c>
      <c r="O213">
        <v>0.27962981458267833</v>
      </c>
    </row>
    <row r="214" spans="1:15">
      <c r="A214" s="19">
        <v>43553</v>
      </c>
      <c r="B214">
        <v>768.4</v>
      </c>
      <c r="C214">
        <v>765</v>
      </c>
      <c r="D214">
        <v>2641</v>
      </c>
      <c r="E214">
        <v>2619</v>
      </c>
      <c r="F214">
        <v>0.292096219931271</v>
      </c>
      <c r="G214">
        <v>0.29430002546010497</v>
      </c>
      <c r="H214">
        <v>7.2384817227312496E-3</v>
      </c>
      <c r="I214">
        <v>-0.30445687552317502</v>
      </c>
      <c r="J214">
        <v>-0.75</v>
      </c>
      <c r="L214">
        <v>0.3015385071828362</v>
      </c>
      <c r="M214">
        <v>0.28706154373737375</v>
      </c>
      <c r="N214">
        <v>0.30877698890556748</v>
      </c>
      <c r="O214">
        <v>0.27982306201464247</v>
      </c>
    </row>
    <row r="215" spans="1:15">
      <c r="A215" s="19">
        <v>43552</v>
      </c>
      <c r="B215">
        <v>779.9</v>
      </c>
      <c r="C215">
        <v>765.9</v>
      </c>
      <c r="D215">
        <v>2677</v>
      </c>
      <c r="E215">
        <v>2641</v>
      </c>
      <c r="F215">
        <v>0.29000378644452801</v>
      </c>
      <c r="G215">
        <v>0.29437300341767297</v>
      </c>
      <c r="H215">
        <v>7.24348445757215E-3</v>
      </c>
      <c r="I215">
        <v>-0.60319270355824395</v>
      </c>
      <c r="J215">
        <v>-1.51</v>
      </c>
      <c r="L215">
        <v>0.30161648787524514</v>
      </c>
      <c r="M215">
        <v>0.2871295189601008</v>
      </c>
      <c r="N215">
        <v>0.30885997233281726</v>
      </c>
      <c r="O215">
        <v>0.27988603450252869</v>
      </c>
    </row>
    <row r="216" spans="1:15">
      <c r="A216" s="19">
        <v>43551</v>
      </c>
      <c r="B216">
        <v>785.2</v>
      </c>
      <c r="C216">
        <v>782.5</v>
      </c>
      <c r="D216">
        <v>2723</v>
      </c>
      <c r="E216">
        <v>2716</v>
      </c>
      <c r="F216">
        <v>0.28810751104565502</v>
      </c>
      <c r="G216">
        <v>0.29450445287445298</v>
      </c>
      <c r="H216">
        <v>7.25245115175761E-3</v>
      </c>
      <c r="I216">
        <v>-0.88203859563362996</v>
      </c>
      <c r="J216">
        <v>-2.2200000000000002</v>
      </c>
      <c r="L216">
        <v>0.30175690402621058</v>
      </c>
      <c r="M216">
        <v>0.28725200172269538</v>
      </c>
      <c r="N216">
        <v>0.30900935517796818</v>
      </c>
      <c r="O216">
        <v>0.27999955057093778</v>
      </c>
    </row>
    <row r="217" spans="1:15">
      <c r="A217" s="19">
        <v>43550</v>
      </c>
      <c r="B217">
        <v>789.7</v>
      </c>
      <c r="C217">
        <v>805</v>
      </c>
      <c r="D217">
        <v>2671</v>
      </c>
      <c r="E217">
        <v>2754</v>
      </c>
      <c r="F217">
        <v>0.29230210602759599</v>
      </c>
      <c r="G217">
        <v>0.29455018829649299</v>
      </c>
      <c r="H217">
        <v>7.2227212304905204E-3</v>
      </c>
      <c r="I217">
        <v>-0.31125142410408702</v>
      </c>
      <c r="J217">
        <v>-0.77</v>
      </c>
      <c r="L217">
        <v>0.30177290952698349</v>
      </c>
      <c r="M217">
        <v>0.28732746706600248</v>
      </c>
      <c r="N217">
        <v>0.30899563075747405</v>
      </c>
      <c r="O217">
        <v>0.28010474583551193</v>
      </c>
    </row>
    <row r="218" spans="1:15">
      <c r="A218" s="19">
        <v>43549</v>
      </c>
      <c r="B218">
        <v>793.6</v>
      </c>
      <c r="C218">
        <v>785.4</v>
      </c>
      <c r="D218">
        <v>2650</v>
      </c>
      <c r="E218">
        <v>2621</v>
      </c>
      <c r="F218">
        <v>0.29965661961083501</v>
      </c>
      <c r="G218">
        <v>0.29456960849198699</v>
      </c>
      <c r="H218">
        <v>7.2186074996889102E-3</v>
      </c>
      <c r="I218">
        <v>0.70470809211713703</v>
      </c>
      <c r="J218">
        <v>1.7</v>
      </c>
      <c r="L218">
        <v>0.30178821599167588</v>
      </c>
      <c r="M218">
        <v>0.2873510009922981</v>
      </c>
      <c r="N218">
        <v>0.30900682349136482</v>
      </c>
      <c r="O218">
        <v>0.28013239349260916</v>
      </c>
    </row>
    <row r="219" spans="1:15">
      <c r="A219" s="19">
        <v>43546</v>
      </c>
      <c r="B219">
        <v>795</v>
      </c>
      <c r="C219">
        <v>805.9</v>
      </c>
      <c r="D219">
        <v>2701</v>
      </c>
      <c r="E219">
        <v>2687</v>
      </c>
      <c r="F219">
        <v>0.29992556754744998</v>
      </c>
      <c r="G219">
        <v>0.29444835756750298</v>
      </c>
      <c r="H219">
        <v>7.2085100296421798E-3</v>
      </c>
      <c r="I219">
        <v>0.75982553362962602</v>
      </c>
      <c r="J219">
        <v>1.83</v>
      </c>
      <c r="L219">
        <v>0.30165686759714516</v>
      </c>
      <c r="M219">
        <v>0.2872398475378608</v>
      </c>
      <c r="N219">
        <v>0.30886537762678734</v>
      </c>
      <c r="O219">
        <v>0.28003133750821863</v>
      </c>
    </row>
    <row r="220" spans="1:15">
      <c r="A220" s="19">
        <v>43544</v>
      </c>
      <c r="B220">
        <v>785.2</v>
      </c>
      <c r="C220">
        <v>792.7</v>
      </c>
      <c r="D220">
        <v>2691</v>
      </c>
      <c r="E220">
        <v>2709</v>
      </c>
      <c r="F220">
        <v>0.292617201919527</v>
      </c>
      <c r="G220">
        <v>0.29431234194757799</v>
      </c>
      <c r="H220">
        <v>7.2001154880732597E-3</v>
      </c>
      <c r="I220">
        <v>-0.23543233866995</v>
      </c>
      <c r="J220">
        <v>-0.57999999999999996</v>
      </c>
      <c r="L220">
        <v>0.30151245743565125</v>
      </c>
      <c r="M220">
        <v>0.28711222645950474</v>
      </c>
      <c r="N220">
        <v>0.3087125729237245</v>
      </c>
      <c r="O220">
        <v>0.27991211097143148</v>
      </c>
    </row>
    <row r="221" spans="1:15">
      <c r="A221" s="19">
        <v>43543</v>
      </c>
      <c r="B221">
        <v>781</v>
      </c>
      <c r="C221">
        <v>785.1</v>
      </c>
      <c r="D221">
        <v>2695</v>
      </c>
      <c r="E221">
        <v>2681</v>
      </c>
      <c r="F221">
        <v>0.29283849309958898</v>
      </c>
      <c r="G221">
        <v>0.29431993273088503</v>
      </c>
      <c r="H221">
        <v>7.1986243157762704E-3</v>
      </c>
      <c r="I221">
        <v>-0.205794824998635</v>
      </c>
      <c r="J221">
        <v>-0.51</v>
      </c>
      <c r="L221">
        <v>0.30151855704666131</v>
      </c>
      <c r="M221">
        <v>0.28712130841510874</v>
      </c>
      <c r="N221">
        <v>0.30871718136243759</v>
      </c>
      <c r="O221">
        <v>0.27992268409933246</v>
      </c>
    </row>
    <row r="222" spans="1:15">
      <c r="A222" s="19">
        <v>43542</v>
      </c>
      <c r="B222">
        <v>778.6</v>
      </c>
      <c r="C222">
        <v>779.3</v>
      </c>
      <c r="D222">
        <v>2693</v>
      </c>
      <c r="E222">
        <v>2695</v>
      </c>
      <c r="F222">
        <v>0.28916512059369198</v>
      </c>
      <c r="G222">
        <v>0.29429524195456302</v>
      </c>
      <c r="H222">
        <v>7.2068343103647396E-3</v>
      </c>
      <c r="I222">
        <v>-0.71184116908210204</v>
      </c>
      <c r="J222">
        <v>-1.77</v>
      </c>
      <c r="L222">
        <v>0.30150207626492775</v>
      </c>
      <c r="M222">
        <v>0.2870884076441983</v>
      </c>
      <c r="N222">
        <v>0.30870891057529248</v>
      </c>
      <c r="O222">
        <v>0.27988157333383357</v>
      </c>
    </row>
    <row r="223" spans="1:15">
      <c r="A223" s="19">
        <v>43539</v>
      </c>
      <c r="B223">
        <v>781.6</v>
      </c>
      <c r="C223">
        <v>779.3</v>
      </c>
      <c r="D223">
        <v>2661</v>
      </c>
      <c r="E223">
        <v>2685</v>
      </c>
      <c r="F223">
        <v>0.29024208566108001</v>
      </c>
      <c r="G223">
        <v>0.29431457810303502</v>
      </c>
      <c r="H223">
        <v>7.1949798339963197E-3</v>
      </c>
      <c r="I223">
        <v>-0.56601860407068705</v>
      </c>
      <c r="J223">
        <v>-1.4</v>
      </c>
      <c r="L223">
        <v>0.30150955793703133</v>
      </c>
      <c r="M223">
        <v>0.28711959826903871</v>
      </c>
      <c r="N223">
        <v>0.30870453777102763</v>
      </c>
      <c r="O223">
        <v>0.2799246184350424</v>
      </c>
    </row>
    <row r="224" spans="1:15">
      <c r="A224" s="19">
        <v>43538</v>
      </c>
      <c r="B224">
        <v>786.5</v>
      </c>
      <c r="C224">
        <v>781.7</v>
      </c>
      <c r="D224">
        <v>2696</v>
      </c>
      <c r="E224">
        <v>2667</v>
      </c>
      <c r="F224">
        <v>0.29310086239220101</v>
      </c>
      <c r="G224">
        <v>0.29439469498860799</v>
      </c>
      <c r="H224">
        <v>7.1826296664847297E-3</v>
      </c>
      <c r="I224">
        <v>-0.180133552262183</v>
      </c>
      <c r="J224">
        <v>-0.44</v>
      </c>
      <c r="L224">
        <v>0.30157732465509274</v>
      </c>
      <c r="M224">
        <v>0.28721206532212323</v>
      </c>
      <c r="N224">
        <v>0.30875995432157743</v>
      </c>
      <c r="O224">
        <v>0.28002943565563854</v>
      </c>
    </row>
    <row r="225" spans="1:15">
      <c r="A225" s="19">
        <v>43537</v>
      </c>
      <c r="B225">
        <v>779.7</v>
      </c>
      <c r="C225">
        <v>777.3</v>
      </c>
      <c r="D225">
        <v>2714</v>
      </c>
      <c r="E225">
        <v>2688</v>
      </c>
      <c r="F225">
        <v>0.28917410714285702</v>
      </c>
      <c r="G225">
        <v>0.29439646474358699</v>
      </c>
      <c r="H225">
        <v>7.18232700194901E-3</v>
      </c>
      <c r="I225">
        <v>-0.72711220184120595</v>
      </c>
      <c r="J225">
        <v>-1.81</v>
      </c>
      <c r="L225">
        <v>0.30157879174553598</v>
      </c>
      <c r="M225">
        <v>0.28721413774163801</v>
      </c>
      <c r="N225">
        <v>0.30876111874748502</v>
      </c>
      <c r="O225">
        <v>0.28003181073968897</v>
      </c>
    </row>
    <row r="226" spans="1:15">
      <c r="A226" s="19">
        <v>43536</v>
      </c>
      <c r="B226">
        <v>782</v>
      </c>
      <c r="C226">
        <v>783.4</v>
      </c>
      <c r="D226">
        <v>2716</v>
      </c>
      <c r="E226">
        <v>2717</v>
      </c>
      <c r="F226">
        <v>0.28833271991166698</v>
      </c>
      <c r="G226">
        <v>0.29444813536498798</v>
      </c>
      <c r="H226">
        <v>7.1584708820175902E-3</v>
      </c>
      <c r="I226">
        <v>-0.85429074925525295</v>
      </c>
      <c r="J226">
        <v>-2.12</v>
      </c>
      <c r="L226">
        <v>0.30160660624700558</v>
      </c>
      <c r="M226">
        <v>0.28728966448297039</v>
      </c>
      <c r="N226">
        <v>0.30876507712902318</v>
      </c>
      <c r="O226">
        <v>0.28013119360095279</v>
      </c>
    </row>
    <row r="227" spans="1:15">
      <c r="A227" s="19">
        <v>43535</v>
      </c>
      <c r="B227">
        <v>766</v>
      </c>
      <c r="C227">
        <v>771.6</v>
      </c>
      <c r="D227">
        <v>2697</v>
      </c>
      <c r="E227">
        <v>2698</v>
      </c>
      <c r="F227">
        <v>0.28598962194217897</v>
      </c>
      <c r="G227">
        <v>0.29452769177349097</v>
      </c>
      <c r="H227">
        <v>7.1231332169672196E-3</v>
      </c>
      <c r="I227">
        <v>-1.19863963950228</v>
      </c>
      <c r="J227">
        <v>-2.99</v>
      </c>
      <c r="L227">
        <v>0.3016508249904582</v>
      </c>
      <c r="M227">
        <v>0.28740455855652375</v>
      </c>
      <c r="N227">
        <v>0.30877395820742543</v>
      </c>
      <c r="O227">
        <v>0.28028142533955652</v>
      </c>
    </row>
    <row r="228" spans="1:15">
      <c r="A228" s="19">
        <v>43532</v>
      </c>
      <c r="B228">
        <v>774</v>
      </c>
      <c r="C228">
        <v>765.7</v>
      </c>
      <c r="D228">
        <v>2707</v>
      </c>
      <c r="E228">
        <v>2696</v>
      </c>
      <c r="F228">
        <v>0.28401335311572701</v>
      </c>
      <c r="G228">
        <v>0.29463906850565003</v>
      </c>
      <c r="H228">
        <v>7.05372920175301E-3</v>
      </c>
      <c r="I228">
        <v>-1.5063968414441999</v>
      </c>
      <c r="J228">
        <v>-3.74</v>
      </c>
      <c r="L228">
        <v>0.30169279770740304</v>
      </c>
      <c r="M228">
        <v>0.28758533930389701</v>
      </c>
      <c r="N228">
        <v>0.30874652690915605</v>
      </c>
      <c r="O228">
        <v>0.280531610102144</v>
      </c>
    </row>
    <row r="229" spans="1:15">
      <c r="A229" s="19">
        <v>43531</v>
      </c>
      <c r="B229">
        <v>790.1</v>
      </c>
      <c r="C229">
        <v>782.6</v>
      </c>
      <c r="D229">
        <v>2695</v>
      </c>
      <c r="E229">
        <v>2730</v>
      </c>
      <c r="F229">
        <v>0.28666666666666601</v>
      </c>
      <c r="G229">
        <v>0.29486740668218803</v>
      </c>
      <c r="H229">
        <v>6.9828947142687604E-3</v>
      </c>
      <c r="I229">
        <v>-1.17440407611544</v>
      </c>
      <c r="J229">
        <v>-2.86</v>
      </c>
      <c r="L229">
        <v>0.3018503013964568</v>
      </c>
      <c r="M229">
        <v>0.28788451196791925</v>
      </c>
      <c r="N229">
        <v>0.30883319611072557</v>
      </c>
      <c r="O229">
        <v>0.28090161725365048</v>
      </c>
    </row>
    <row r="230" spans="1:15">
      <c r="A230" s="19">
        <v>43530</v>
      </c>
      <c r="B230">
        <v>792.4</v>
      </c>
      <c r="C230">
        <v>788.1</v>
      </c>
      <c r="D230">
        <v>2724</v>
      </c>
      <c r="E230">
        <v>2708</v>
      </c>
      <c r="F230">
        <v>0.29102658788774</v>
      </c>
      <c r="G230">
        <v>0.29509376010404798</v>
      </c>
      <c r="H230">
        <v>6.98854362220364E-3</v>
      </c>
      <c r="I230">
        <v>-0.58197708080205901</v>
      </c>
      <c r="J230">
        <v>-1.4</v>
      </c>
      <c r="L230">
        <v>0.30208230372625161</v>
      </c>
      <c r="M230">
        <v>0.28810521648184434</v>
      </c>
      <c r="N230">
        <v>0.30907084734845525</v>
      </c>
      <c r="O230">
        <v>0.2811166728596407</v>
      </c>
    </row>
    <row r="231" spans="1:15">
      <c r="A231" s="19">
        <v>43529</v>
      </c>
      <c r="B231">
        <v>791.4</v>
      </c>
      <c r="C231">
        <v>793.4</v>
      </c>
      <c r="D231">
        <v>2717</v>
      </c>
      <c r="E231">
        <v>2724</v>
      </c>
      <c r="F231">
        <v>0.291262848751835</v>
      </c>
      <c r="G231">
        <v>0.29523929997707199</v>
      </c>
      <c r="H231">
        <v>7.01593384710402E-3</v>
      </c>
      <c r="I231">
        <v>-0.56677433281076095</v>
      </c>
      <c r="J231">
        <v>-1.37</v>
      </c>
      <c r="L231">
        <v>0.30225523382417602</v>
      </c>
      <c r="M231">
        <v>0.28822336612996796</v>
      </c>
      <c r="N231">
        <v>0.30927116767128005</v>
      </c>
      <c r="O231">
        <v>0.28120743228286393</v>
      </c>
    </row>
    <row r="232" spans="1:15">
      <c r="A232" s="19">
        <v>43528</v>
      </c>
      <c r="B232">
        <v>799.5</v>
      </c>
      <c r="C232">
        <v>797.9</v>
      </c>
      <c r="D232">
        <v>2774</v>
      </c>
      <c r="E232">
        <v>2765</v>
      </c>
      <c r="F232">
        <v>0.28857142857142798</v>
      </c>
      <c r="G232">
        <v>0.29543374404499601</v>
      </c>
      <c r="H232">
        <v>7.1045592202073999E-3</v>
      </c>
      <c r="I232">
        <v>-0.96590305758161199</v>
      </c>
      <c r="J232">
        <v>-2.38</v>
      </c>
      <c r="L232">
        <v>0.30253830326520342</v>
      </c>
      <c r="M232">
        <v>0.28832918482478859</v>
      </c>
      <c r="N232">
        <v>0.30964286248541079</v>
      </c>
      <c r="O232">
        <v>0.28122462560458122</v>
      </c>
    </row>
    <row r="233" spans="1:15">
      <c r="A233" s="19">
        <v>43525</v>
      </c>
      <c r="B233">
        <v>799.3</v>
      </c>
      <c r="C233">
        <v>795.3</v>
      </c>
      <c r="D233">
        <v>2812</v>
      </c>
      <c r="E233">
        <v>2769</v>
      </c>
      <c r="F233">
        <v>0.28721560130010798</v>
      </c>
      <c r="G233">
        <v>0.29561680840044502</v>
      </c>
      <c r="H233">
        <v>7.10226726509121E-3</v>
      </c>
      <c r="I233">
        <v>-1.1828908694594999</v>
      </c>
      <c r="J233">
        <v>-2.93</v>
      </c>
      <c r="L233">
        <v>0.30271907566553624</v>
      </c>
      <c r="M233">
        <v>0.2885145411353538</v>
      </c>
      <c r="N233">
        <v>0.30982134293062746</v>
      </c>
      <c r="O233">
        <v>0.28141227387026257</v>
      </c>
    </row>
    <row r="234" spans="1:15">
      <c r="A234" s="19">
        <v>43524</v>
      </c>
      <c r="B234">
        <v>798.2</v>
      </c>
      <c r="C234">
        <v>794.7</v>
      </c>
      <c r="D234">
        <v>2783</v>
      </c>
      <c r="E234">
        <v>2815</v>
      </c>
      <c r="F234">
        <v>0.28230905861456401</v>
      </c>
      <c r="G234">
        <v>0.29598632808264103</v>
      </c>
      <c r="H234">
        <v>7.3714104768663503E-3</v>
      </c>
      <c r="I234">
        <v>-1.85544808703843</v>
      </c>
      <c r="J234">
        <v>-4.84</v>
      </c>
      <c r="L234">
        <v>0.30335773855950737</v>
      </c>
      <c r="M234">
        <v>0.28861491760577468</v>
      </c>
      <c r="N234">
        <v>0.31072914903637372</v>
      </c>
      <c r="O234">
        <v>0.28124350712890833</v>
      </c>
    </row>
    <row r="235" spans="1:15">
      <c r="A235" s="19">
        <v>43523</v>
      </c>
      <c r="B235">
        <v>800.6</v>
      </c>
      <c r="C235">
        <v>802</v>
      </c>
      <c r="D235">
        <v>2799</v>
      </c>
      <c r="E235">
        <v>2785</v>
      </c>
      <c r="F235">
        <v>0.28797127468581601</v>
      </c>
      <c r="G235">
        <v>0.29628270594225697</v>
      </c>
      <c r="H235">
        <v>7.2615811334310497E-3</v>
      </c>
      <c r="I235">
        <v>-1.1445759681974099</v>
      </c>
      <c r="J235">
        <v>-2.89</v>
      </c>
      <c r="L235">
        <v>0.30354428707568804</v>
      </c>
      <c r="M235">
        <v>0.28902112480882591</v>
      </c>
      <c r="N235">
        <v>0.3108058682091191</v>
      </c>
      <c r="O235">
        <v>0.28175954367539485</v>
      </c>
    </row>
    <row r="236" spans="1:15">
      <c r="A236" s="19">
        <v>43522</v>
      </c>
      <c r="B236">
        <v>805</v>
      </c>
      <c r="C236">
        <v>802.3</v>
      </c>
      <c r="D236">
        <v>2829</v>
      </c>
      <c r="E236">
        <v>2784</v>
      </c>
      <c r="F236">
        <v>0.28818247126436702</v>
      </c>
      <c r="G236">
        <v>0.29678386644851401</v>
      </c>
      <c r="H236">
        <v>7.9363603427108406E-3</v>
      </c>
      <c r="I236">
        <v>-1.0837959483589901</v>
      </c>
      <c r="J236">
        <v>-2.98</v>
      </c>
      <c r="L236">
        <v>0.30472022679122485</v>
      </c>
      <c r="M236">
        <v>0.28884750610580318</v>
      </c>
      <c r="N236">
        <v>0.31265658713393568</v>
      </c>
      <c r="O236">
        <v>0.28091114576309234</v>
      </c>
    </row>
    <row r="237" spans="1:15">
      <c r="A237" s="19">
        <v>43521</v>
      </c>
      <c r="B237">
        <v>812.1</v>
      </c>
      <c r="C237">
        <v>804.2</v>
      </c>
      <c r="D237">
        <v>2845</v>
      </c>
      <c r="E237">
        <v>2826</v>
      </c>
      <c r="F237">
        <v>0.28457183297947602</v>
      </c>
      <c r="G237">
        <v>0.29722230975646402</v>
      </c>
      <c r="H237">
        <v>8.3467703162032406E-3</v>
      </c>
      <c r="I237">
        <v>-1.5156133807144501</v>
      </c>
      <c r="J237">
        <v>-4.45</v>
      </c>
      <c r="L237">
        <v>0.30556908007266725</v>
      </c>
      <c r="M237">
        <v>0.28887553944026079</v>
      </c>
      <c r="N237">
        <v>0.31391585038887049</v>
      </c>
      <c r="O237">
        <v>0.28052876912405755</v>
      </c>
    </row>
    <row r="238" spans="1:15">
      <c r="A238" s="19">
        <v>43518</v>
      </c>
      <c r="B238">
        <v>793</v>
      </c>
      <c r="C238">
        <v>807</v>
      </c>
      <c r="D238">
        <v>2868</v>
      </c>
      <c r="E238">
        <v>2839</v>
      </c>
      <c r="F238">
        <v>0.284255019373018</v>
      </c>
      <c r="G238">
        <v>0.29790323232528398</v>
      </c>
      <c r="H238">
        <v>9.3140267733047202E-3</v>
      </c>
      <c r="I238">
        <v>-1.4653396736397399</v>
      </c>
      <c r="J238">
        <v>-4.8</v>
      </c>
      <c r="L238">
        <v>0.30721725909858871</v>
      </c>
      <c r="M238">
        <v>0.28858920555197926</v>
      </c>
      <c r="N238">
        <v>0.31653128587189344</v>
      </c>
      <c r="O238">
        <v>0.27927517877867453</v>
      </c>
    </row>
    <row r="239" spans="1:15">
      <c r="A239" s="19">
        <v>43517</v>
      </c>
      <c r="B239">
        <v>816.1</v>
      </c>
      <c r="C239">
        <v>818.9</v>
      </c>
      <c r="D239">
        <v>2885</v>
      </c>
      <c r="E239">
        <v>2894</v>
      </c>
      <c r="F239">
        <v>0.28296475466482301</v>
      </c>
      <c r="G239">
        <v>0.29856545009956398</v>
      </c>
      <c r="H239">
        <v>1.0056157938687801E-2</v>
      </c>
      <c r="I239">
        <v>-1.55135743987488</v>
      </c>
      <c r="J239">
        <v>-5.51</v>
      </c>
      <c r="L239">
        <v>0.30862160803825178</v>
      </c>
      <c r="M239">
        <v>0.28850929216087617</v>
      </c>
      <c r="N239">
        <v>0.31867776597693959</v>
      </c>
      <c r="O239">
        <v>0.27845313422218837</v>
      </c>
    </row>
    <row r="240" spans="1:15">
      <c r="A240" s="19">
        <v>43516</v>
      </c>
      <c r="B240">
        <v>812</v>
      </c>
      <c r="C240">
        <v>821.2</v>
      </c>
      <c r="D240">
        <v>2873</v>
      </c>
      <c r="E240">
        <v>2873</v>
      </c>
      <c r="F240">
        <v>0.28583362339018398</v>
      </c>
      <c r="G240">
        <v>0.29919795183070902</v>
      </c>
      <c r="H240">
        <v>1.05354498385925E-2</v>
      </c>
      <c r="I240">
        <v>-1.26851047133934</v>
      </c>
      <c r="J240">
        <v>-4.68</v>
      </c>
      <c r="L240">
        <v>0.30973340166930152</v>
      </c>
      <c r="M240">
        <v>0.28866250199211652</v>
      </c>
      <c r="N240">
        <v>0.32026885150789403</v>
      </c>
      <c r="O240">
        <v>0.27812705215352401</v>
      </c>
    </row>
    <row r="241" spans="1:15">
      <c r="A241" s="19">
        <v>43515</v>
      </c>
      <c r="B241">
        <v>800</v>
      </c>
      <c r="C241">
        <v>807.5</v>
      </c>
      <c r="D241">
        <v>2840</v>
      </c>
      <c r="E241">
        <v>2853</v>
      </c>
      <c r="F241">
        <v>0.283035401331931</v>
      </c>
      <c r="G241">
        <v>0.299817606082943</v>
      </c>
      <c r="H241">
        <v>1.10836393138572E-2</v>
      </c>
      <c r="I241">
        <v>-1.51414208598703</v>
      </c>
      <c r="J241">
        <v>-5.93</v>
      </c>
      <c r="L241">
        <v>0.3109012453968002</v>
      </c>
      <c r="M241">
        <v>0.2887339667690858</v>
      </c>
      <c r="N241">
        <v>0.32198488471065739</v>
      </c>
      <c r="O241">
        <v>0.27765032745522861</v>
      </c>
    </row>
    <row r="242" spans="1:15">
      <c r="A242" s="19">
        <v>43514</v>
      </c>
      <c r="B242">
        <v>802</v>
      </c>
      <c r="C242">
        <v>806.1</v>
      </c>
      <c r="D242">
        <v>2819</v>
      </c>
      <c r="E242">
        <v>2849</v>
      </c>
      <c r="F242">
        <v>0.28294138294138199</v>
      </c>
      <c r="G242">
        <v>0.30046932195767301</v>
      </c>
      <c r="H242">
        <v>1.15066453392397E-2</v>
      </c>
      <c r="I242">
        <v>-1.52328836941874</v>
      </c>
      <c r="J242">
        <v>-6.19</v>
      </c>
      <c r="L242">
        <v>0.31197596729691268</v>
      </c>
      <c r="M242">
        <v>0.28896267661843333</v>
      </c>
      <c r="N242">
        <v>0.32348261263615241</v>
      </c>
      <c r="O242">
        <v>0.2774560312791936</v>
      </c>
    </row>
    <row r="243" spans="1:15">
      <c r="A243" s="19">
        <v>43511</v>
      </c>
      <c r="B243">
        <v>780.9</v>
      </c>
      <c r="C243">
        <v>787.6</v>
      </c>
      <c r="D243">
        <v>2741</v>
      </c>
      <c r="E243">
        <v>2769</v>
      </c>
      <c r="F243">
        <v>0.28443481401227799</v>
      </c>
      <c r="G243">
        <v>0.301167473549035</v>
      </c>
      <c r="H243">
        <v>1.19998886504261E-2</v>
      </c>
      <c r="I243">
        <v>-1.39440123356166</v>
      </c>
      <c r="J243">
        <v>-5.88</v>
      </c>
      <c r="L243">
        <v>0.31316736219946112</v>
      </c>
      <c r="M243">
        <v>0.28916758489860889</v>
      </c>
      <c r="N243">
        <v>0.32516725084988718</v>
      </c>
      <c r="O243">
        <v>0.27716769624818283</v>
      </c>
    </row>
    <row r="244" spans="1:15">
      <c r="A244" s="19">
        <v>43510</v>
      </c>
      <c r="B244">
        <v>800.4</v>
      </c>
      <c r="C244">
        <v>788.8</v>
      </c>
      <c r="D244">
        <v>2737</v>
      </c>
      <c r="E244">
        <v>2750</v>
      </c>
      <c r="F244">
        <v>0.286836363636363</v>
      </c>
      <c r="G244">
        <v>0.30192370824696302</v>
      </c>
      <c r="H244">
        <v>1.26889566206178E-2</v>
      </c>
      <c r="I244">
        <v>-1.1890138063901301</v>
      </c>
      <c r="J244">
        <v>-5.26</v>
      </c>
      <c r="L244">
        <v>0.31461266486758083</v>
      </c>
      <c r="M244">
        <v>0.28923475162634521</v>
      </c>
      <c r="N244">
        <v>0.32730162148819864</v>
      </c>
      <c r="O244">
        <v>0.2765457950057274</v>
      </c>
    </row>
    <row r="245" spans="1:15">
      <c r="A245" s="19">
        <v>43509</v>
      </c>
      <c r="B245">
        <v>799.8</v>
      </c>
      <c r="C245">
        <v>790</v>
      </c>
      <c r="D245">
        <v>2762</v>
      </c>
      <c r="E245">
        <v>2745</v>
      </c>
      <c r="F245">
        <v>0.28779599271402501</v>
      </c>
      <c r="G245">
        <v>0.30267347129258199</v>
      </c>
      <c r="H245">
        <v>1.3415828541220001E-2</v>
      </c>
      <c r="I245">
        <v>-1.10894966589994</v>
      </c>
      <c r="J245">
        <v>-5.17</v>
      </c>
      <c r="L245">
        <v>0.31608929983380196</v>
      </c>
      <c r="M245">
        <v>0.28925764275136201</v>
      </c>
      <c r="N245">
        <v>0.32950512837502199</v>
      </c>
      <c r="O245">
        <v>0.27584181421014198</v>
      </c>
    </row>
    <row r="246" spans="1:15">
      <c r="A246" s="19">
        <v>43508</v>
      </c>
      <c r="B246">
        <v>776</v>
      </c>
      <c r="C246">
        <v>782.6</v>
      </c>
      <c r="D246">
        <v>2683</v>
      </c>
      <c r="E246">
        <v>2748</v>
      </c>
      <c r="F246">
        <v>0.284788937409024</v>
      </c>
      <c r="G246">
        <v>0.30346031515090799</v>
      </c>
      <c r="H246">
        <v>1.4226281003835699E-2</v>
      </c>
      <c r="I246">
        <v>-1.31245669453944</v>
      </c>
      <c r="J246">
        <v>-6.56</v>
      </c>
      <c r="L246">
        <v>0.31768659615474371</v>
      </c>
      <c r="M246">
        <v>0.28923403414707227</v>
      </c>
      <c r="N246">
        <v>0.33191287715857937</v>
      </c>
      <c r="O246">
        <v>0.27500775314323661</v>
      </c>
    </row>
    <row r="247" spans="1:15">
      <c r="A247" s="19">
        <v>43504</v>
      </c>
      <c r="B247">
        <v>799.9</v>
      </c>
      <c r="C247">
        <v>769.1</v>
      </c>
      <c r="D247">
        <v>2696</v>
      </c>
      <c r="E247">
        <v>2713</v>
      </c>
      <c r="F247">
        <v>0.28348691485440403</v>
      </c>
      <c r="G247">
        <v>0.30430414573973902</v>
      </c>
      <c r="H247">
        <v>1.4952184338335299E-2</v>
      </c>
      <c r="I247">
        <v>-1.3922534938231299</v>
      </c>
      <c r="J247">
        <v>-7.34</v>
      </c>
      <c r="L247">
        <v>0.3192563300780743</v>
      </c>
      <c r="M247">
        <v>0.28935196140140373</v>
      </c>
      <c r="N247">
        <v>0.33420851441640964</v>
      </c>
      <c r="O247">
        <v>0.2743997770630684</v>
      </c>
    </row>
    <row r="248" spans="1:15">
      <c r="A248" s="19">
        <v>43503</v>
      </c>
      <c r="B248">
        <v>849.2</v>
      </c>
      <c r="C248">
        <v>832</v>
      </c>
      <c r="D248">
        <v>2722</v>
      </c>
      <c r="E248">
        <v>2715</v>
      </c>
      <c r="F248">
        <v>0.30644567219152802</v>
      </c>
      <c r="G248">
        <v>0.30525980252151902</v>
      </c>
      <c r="H248">
        <v>1.5854408604492502E-2</v>
      </c>
      <c r="I248">
        <v>7.4797471138299196E-2</v>
      </c>
      <c r="J248">
        <v>0.39</v>
      </c>
      <c r="L248">
        <v>0.32111421112601152</v>
      </c>
      <c r="M248">
        <v>0.28940539391702652</v>
      </c>
      <c r="N248">
        <v>0.33696861973050402</v>
      </c>
      <c r="O248">
        <v>0.27355098531253402</v>
      </c>
    </row>
    <row r="249" spans="1:15">
      <c r="A249" s="19">
        <v>43502</v>
      </c>
      <c r="B249">
        <v>853.8</v>
      </c>
      <c r="C249">
        <v>846.3</v>
      </c>
      <c r="D249">
        <v>2761</v>
      </c>
      <c r="E249">
        <v>2731</v>
      </c>
      <c r="F249">
        <v>0.309886488465763</v>
      </c>
      <c r="G249">
        <v>0.30605002236769202</v>
      </c>
      <c r="H249">
        <v>1.7304495822930002E-2</v>
      </c>
      <c r="I249">
        <v>0.22170343113882701</v>
      </c>
      <c r="J249">
        <v>1.24</v>
      </c>
      <c r="L249">
        <v>0.323354518190622</v>
      </c>
      <c r="M249">
        <v>0.28874552654476204</v>
      </c>
      <c r="N249">
        <v>0.34065901401355203</v>
      </c>
      <c r="O249">
        <v>0.27144103072183201</v>
      </c>
    </row>
    <row r="250" spans="1:15">
      <c r="A250" s="19">
        <v>43501</v>
      </c>
      <c r="B250">
        <v>845</v>
      </c>
      <c r="C250">
        <v>848.9</v>
      </c>
      <c r="D250">
        <v>2769</v>
      </c>
      <c r="E250">
        <v>2742</v>
      </c>
      <c r="F250">
        <v>0.309591539022611</v>
      </c>
      <c r="G250">
        <v>0.30671552991569101</v>
      </c>
      <c r="H250">
        <v>1.83664528941891E-2</v>
      </c>
      <c r="I250">
        <v>0.15659034019735099</v>
      </c>
      <c r="J250">
        <v>0.93</v>
      </c>
      <c r="L250">
        <v>0.3250819828098801</v>
      </c>
      <c r="M250">
        <v>0.28834907702150192</v>
      </c>
      <c r="N250">
        <v>0.34344843570406919</v>
      </c>
      <c r="O250">
        <v>0.26998262412731283</v>
      </c>
    </row>
    <row r="251" spans="1:15">
      <c r="A251" s="19">
        <v>43500</v>
      </c>
      <c r="B251">
        <v>835.2</v>
      </c>
      <c r="C251">
        <v>843.1</v>
      </c>
      <c r="D251">
        <v>2763</v>
      </c>
      <c r="E251">
        <v>2767</v>
      </c>
      <c r="F251">
        <v>0.30469822912902</v>
      </c>
      <c r="G251">
        <v>0.30730510765373498</v>
      </c>
      <c r="H251">
        <v>1.9142632919291701E-2</v>
      </c>
      <c r="I251">
        <v>-0.13618181656127701</v>
      </c>
      <c r="J251">
        <v>-0.86</v>
      </c>
      <c r="L251">
        <v>0.32644774057302667</v>
      </c>
      <c r="M251">
        <v>0.28816247473444329</v>
      </c>
      <c r="N251">
        <v>0.34559037349231836</v>
      </c>
      <c r="O251">
        <v>0.26901984181515159</v>
      </c>
    </row>
    <row r="252" spans="1:15">
      <c r="A252" s="19">
        <v>43497</v>
      </c>
      <c r="B252">
        <v>841.9</v>
      </c>
      <c r="C252">
        <v>831.7</v>
      </c>
      <c r="D252">
        <v>2736</v>
      </c>
      <c r="E252">
        <v>2743</v>
      </c>
      <c r="F252">
        <v>0.303208166241341</v>
      </c>
      <c r="G252">
        <v>0.30793267746584702</v>
      </c>
      <c r="H252">
        <v>1.9806888823396401E-2</v>
      </c>
      <c r="I252">
        <v>-0.238528689014784</v>
      </c>
      <c r="J252">
        <v>-1.56</v>
      </c>
      <c r="L252">
        <v>0.32773956628924339</v>
      </c>
      <c r="M252">
        <v>0.28812578864245064</v>
      </c>
      <c r="N252">
        <v>0.34754645511263982</v>
      </c>
      <c r="O252">
        <v>0.26831889981905421</v>
      </c>
    </row>
    <row r="253" spans="1:15">
      <c r="A253" s="19">
        <v>43496</v>
      </c>
      <c r="B253">
        <v>850</v>
      </c>
      <c r="C253">
        <v>846.6</v>
      </c>
      <c r="D253">
        <v>2754</v>
      </c>
      <c r="E253">
        <v>2738</v>
      </c>
      <c r="F253">
        <v>0.30920379839298701</v>
      </c>
      <c r="G253">
        <v>0.30870981474000497</v>
      </c>
      <c r="H253">
        <v>2.0728275149814301E-2</v>
      </c>
      <c r="I253">
        <v>2.38313921159207E-2</v>
      </c>
      <c r="J253">
        <v>0.16</v>
      </c>
      <c r="L253">
        <v>0.32943808988981926</v>
      </c>
      <c r="M253">
        <v>0.28798153959019068</v>
      </c>
      <c r="N253">
        <v>0.35016636503963355</v>
      </c>
      <c r="O253">
        <v>0.26725326444037639</v>
      </c>
    </row>
    <row r="254" spans="1:15">
      <c r="A254" s="19">
        <v>43495</v>
      </c>
      <c r="B254">
        <v>831.1</v>
      </c>
      <c r="C254">
        <v>840.8</v>
      </c>
      <c r="D254">
        <v>2729</v>
      </c>
      <c r="E254">
        <v>2720</v>
      </c>
      <c r="F254">
        <v>0.309117647058823</v>
      </c>
      <c r="G254">
        <v>0.30948096260188002</v>
      </c>
      <c r="H254">
        <v>2.17813858007859E-2</v>
      </c>
      <c r="I254">
        <v>-1.6680093102423101E-2</v>
      </c>
      <c r="J254">
        <v>-0.12</v>
      </c>
      <c r="L254">
        <v>0.33126234840266594</v>
      </c>
      <c r="M254">
        <v>0.28769957680109409</v>
      </c>
      <c r="N254">
        <v>0.35304373420345181</v>
      </c>
      <c r="O254">
        <v>0.26591819100030822</v>
      </c>
    </row>
    <row r="255" spans="1:15">
      <c r="A255" s="19">
        <v>43494</v>
      </c>
      <c r="B255">
        <v>821.8</v>
      </c>
      <c r="C255">
        <v>822.5</v>
      </c>
      <c r="D255">
        <v>2700</v>
      </c>
      <c r="E255">
        <v>2729</v>
      </c>
      <c r="F255">
        <v>0.301392451447416</v>
      </c>
      <c r="G255">
        <v>0.31015479627327902</v>
      </c>
      <c r="H255">
        <v>2.2528625642654E-2</v>
      </c>
      <c r="I255">
        <v>-0.38894271514163598</v>
      </c>
      <c r="J255">
        <v>-2.91</v>
      </c>
      <c r="L255">
        <v>0.33268342191593303</v>
      </c>
      <c r="M255">
        <v>0.28762617063062501</v>
      </c>
      <c r="N255">
        <v>0.35521204755858704</v>
      </c>
      <c r="O255">
        <v>0.265097544987971</v>
      </c>
    </row>
    <row r="256" spans="1:15">
      <c r="A256" s="19">
        <v>43493</v>
      </c>
      <c r="B256">
        <v>833.2</v>
      </c>
      <c r="C256">
        <v>819.4</v>
      </c>
      <c r="D256">
        <v>2712</v>
      </c>
      <c r="E256">
        <v>2706</v>
      </c>
      <c r="F256">
        <v>0.30280857354028001</v>
      </c>
      <c r="G256">
        <v>0.31099265111315799</v>
      </c>
      <c r="H256">
        <v>2.33410342856776E-2</v>
      </c>
      <c r="I256">
        <v>-0.35063045933228598</v>
      </c>
      <c r="J256">
        <v>-2.7</v>
      </c>
      <c r="L256">
        <v>0.33433368539883557</v>
      </c>
      <c r="M256">
        <v>0.28765161682748042</v>
      </c>
      <c r="N256">
        <v>0.3576747196845132</v>
      </c>
      <c r="O256">
        <v>0.26431058254180279</v>
      </c>
    </row>
    <row r="257" spans="1:15">
      <c r="A257" s="19">
        <v>43490</v>
      </c>
      <c r="B257">
        <v>821.2</v>
      </c>
      <c r="C257">
        <v>831.6</v>
      </c>
      <c r="D257">
        <v>2744</v>
      </c>
      <c r="E257">
        <v>2739</v>
      </c>
      <c r="F257">
        <v>0.30361445783132501</v>
      </c>
      <c r="G257">
        <v>0.31173255935135302</v>
      </c>
      <c r="H257">
        <v>2.3941706279189699E-2</v>
      </c>
      <c r="I257">
        <v>-0.33907781781971502</v>
      </c>
      <c r="J257">
        <v>-2.67</v>
      </c>
      <c r="L257">
        <v>0.3356742656305427</v>
      </c>
      <c r="M257">
        <v>0.28779085307216334</v>
      </c>
      <c r="N257">
        <v>0.35961597190973243</v>
      </c>
      <c r="O257">
        <v>0.26384914679297361</v>
      </c>
    </row>
    <row r="258" spans="1:15">
      <c r="A258" s="19">
        <v>43489</v>
      </c>
      <c r="B258">
        <v>813.6</v>
      </c>
      <c r="C258">
        <v>826.2</v>
      </c>
      <c r="D258">
        <v>2732</v>
      </c>
      <c r="E258">
        <v>2748</v>
      </c>
      <c r="F258">
        <v>0.30065502183406101</v>
      </c>
      <c r="G258">
        <v>0.31249678865892699</v>
      </c>
      <c r="H258">
        <v>2.4576748228948099E-2</v>
      </c>
      <c r="I258">
        <v>-0.481828056118426</v>
      </c>
      <c r="J258">
        <v>-3.94</v>
      </c>
      <c r="L258">
        <v>0.33707353688787511</v>
      </c>
      <c r="M258">
        <v>0.28792004042997887</v>
      </c>
      <c r="N258">
        <v>0.36165028511682318</v>
      </c>
      <c r="O258">
        <v>0.26334329220103081</v>
      </c>
    </row>
    <row r="259" spans="1:15">
      <c r="A259" s="19">
        <v>43488</v>
      </c>
      <c r="B259">
        <v>813</v>
      </c>
      <c r="C259">
        <v>814.4</v>
      </c>
      <c r="D259">
        <v>2739</v>
      </c>
      <c r="E259">
        <v>2733</v>
      </c>
      <c r="F259">
        <v>0.29798755945847</v>
      </c>
      <c r="G259">
        <v>0.31327479031177402</v>
      </c>
      <c r="H259">
        <v>2.5107407900856402E-2</v>
      </c>
      <c r="I259">
        <v>-0.608873321916373</v>
      </c>
      <c r="J259">
        <v>-5.13</v>
      </c>
      <c r="L259">
        <v>0.33838219821263044</v>
      </c>
      <c r="M259">
        <v>0.28816738241091761</v>
      </c>
      <c r="N259">
        <v>0.3634896061134868</v>
      </c>
      <c r="O259">
        <v>0.26305997451006125</v>
      </c>
    </row>
    <row r="260" spans="1:15">
      <c r="A260" s="19">
        <v>43487</v>
      </c>
      <c r="B260">
        <v>833.4</v>
      </c>
      <c r="C260">
        <v>816</v>
      </c>
      <c r="D260">
        <v>2805</v>
      </c>
      <c r="E260">
        <v>2770</v>
      </c>
      <c r="F260">
        <v>0.29458483754512599</v>
      </c>
      <c r="G260">
        <v>0.31400857012546601</v>
      </c>
      <c r="H260">
        <v>2.54517393706967E-2</v>
      </c>
      <c r="I260">
        <v>-0.76315933844205297</v>
      </c>
      <c r="J260">
        <v>-6.59</v>
      </c>
      <c r="L260">
        <v>0.33946030949616274</v>
      </c>
      <c r="M260">
        <v>0.28855683075476929</v>
      </c>
      <c r="N260">
        <v>0.36491204886685941</v>
      </c>
      <c r="O260">
        <v>0.26310509138407262</v>
      </c>
    </row>
    <row r="261" spans="1:15">
      <c r="A261" s="19">
        <v>43486</v>
      </c>
      <c r="B261">
        <v>831.9</v>
      </c>
      <c r="C261">
        <v>830.1</v>
      </c>
      <c r="D261">
        <v>2782</v>
      </c>
      <c r="E261">
        <v>2775</v>
      </c>
      <c r="F261">
        <v>0.29913513513513501</v>
      </c>
      <c r="G261">
        <v>0.31459452145316802</v>
      </c>
      <c r="H261">
        <v>2.5503634959145201E-2</v>
      </c>
      <c r="I261">
        <v>-0.60616403672644503</v>
      </c>
      <c r="J261">
        <v>-5.17</v>
      </c>
      <c r="L261">
        <v>0.34009815641231322</v>
      </c>
      <c r="M261">
        <v>0.28909088649402281</v>
      </c>
      <c r="N261">
        <v>0.36560179137145843</v>
      </c>
      <c r="O261">
        <v>0.26358725153487761</v>
      </c>
    </row>
    <row r="262" spans="1:15">
      <c r="A262" s="19">
        <v>43483</v>
      </c>
      <c r="B262">
        <v>805</v>
      </c>
      <c r="C262">
        <v>818.9</v>
      </c>
      <c r="D262">
        <v>2728</v>
      </c>
      <c r="E262">
        <v>2740</v>
      </c>
      <c r="F262">
        <v>0.29886861313868601</v>
      </c>
      <c r="G262">
        <v>0.31506225133180699</v>
      </c>
      <c r="H262">
        <v>2.5537479007727099E-2</v>
      </c>
      <c r="I262">
        <v>-0.634112638456651</v>
      </c>
      <c r="J262">
        <v>-5.42</v>
      </c>
      <c r="L262">
        <v>0.34059973033953406</v>
      </c>
      <c r="M262">
        <v>0.28952477232407992</v>
      </c>
      <c r="N262">
        <v>0.36613720934726118</v>
      </c>
      <c r="O262">
        <v>0.26398729331635279</v>
      </c>
    </row>
    <row r="263" spans="1:15">
      <c r="A263" s="19">
        <v>43482</v>
      </c>
      <c r="B263">
        <v>795.7</v>
      </c>
      <c r="C263">
        <v>803.4</v>
      </c>
      <c r="D263">
        <v>2710</v>
      </c>
      <c r="E263">
        <v>2710</v>
      </c>
      <c r="F263">
        <v>0.29645756457564498</v>
      </c>
      <c r="G263">
        <v>0.31557514350750199</v>
      </c>
      <c r="H263">
        <v>2.5593318929504099E-2</v>
      </c>
      <c r="I263">
        <v>-0.74697537214750898</v>
      </c>
      <c r="J263">
        <v>-6.45</v>
      </c>
      <c r="L263">
        <v>0.3411684624370061</v>
      </c>
      <c r="M263">
        <v>0.28998182457799787</v>
      </c>
      <c r="N263">
        <v>0.36676178136651016</v>
      </c>
      <c r="O263">
        <v>0.26438850564849381</v>
      </c>
    </row>
    <row r="264" spans="1:15">
      <c r="A264" s="19">
        <v>43481</v>
      </c>
      <c r="B264">
        <v>797.8</v>
      </c>
      <c r="C264">
        <v>792.2</v>
      </c>
      <c r="D264">
        <v>2711</v>
      </c>
      <c r="E264">
        <v>2693</v>
      </c>
      <c r="F264">
        <v>0.29417007055328598</v>
      </c>
      <c r="G264">
        <v>0.31619612428835098</v>
      </c>
      <c r="H264">
        <v>2.5686773703111499E-2</v>
      </c>
      <c r="I264">
        <v>-0.85748619073937205</v>
      </c>
      <c r="J264">
        <v>-7.49</v>
      </c>
      <c r="L264">
        <v>0.34188289799146249</v>
      </c>
      <c r="M264">
        <v>0.29050935058523947</v>
      </c>
      <c r="N264">
        <v>0.367569671694574</v>
      </c>
      <c r="O264">
        <v>0.26482257688212796</v>
      </c>
    </row>
    <row r="265" spans="1:15">
      <c r="A265" s="19">
        <v>43480</v>
      </c>
      <c r="B265">
        <v>785.5</v>
      </c>
      <c r="C265">
        <v>800.4</v>
      </c>
      <c r="D265">
        <v>2673</v>
      </c>
      <c r="E265">
        <v>2710</v>
      </c>
      <c r="F265">
        <v>0.29535055350553502</v>
      </c>
      <c r="G265">
        <v>0.31677543967509397</v>
      </c>
      <c r="H265">
        <v>2.5673432709328901E-2</v>
      </c>
      <c r="I265">
        <v>-0.83451583635618098</v>
      </c>
      <c r="J265">
        <v>-7.25</v>
      </c>
      <c r="L265">
        <v>0.3424488723844229</v>
      </c>
      <c r="M265">
        <v>0.29110200696576505</v>
      </c>
      <c r="N265">
        <v>0.36812230509375177</v>
      </c>
      <c r="O265">
        <v>0.26542857425643618</v>
      </c>
    </row>
    <row r="266" spans="1:15">
      <c r="A266" s="19">
        <v>43476</v>
      </c>
      <c r="B266">
        <v>797.1</v>
      </c>
      <c r="C266">
        <v>795.4</v>
      </c>
      <c r="D266">
        <v>2770</v>
      </c>
      <c r="E266">
        <v>2723</v>
      </c>
      <c r="F266">
        <v>0.29210429673154598</v>
      </c>
      <c r="G266">
        <v>0.31730757235104301</v>
      </c>
      <c r="H266">
        <v>2.5637425899218899E-2</v>
      </c>
      <c r="I266">
        <v>-0.98306576169432203</v>
      </c>
      <c r="J266">
        <v>-8.6300000000000008</v>
      </c>
      <c r="L266">
        <v>0.34294499825026192</v>
      </c>
      <c r="M266">
        <v>0.2916701464518241</v>
      </c>
      <c r="N266">
        <v>0.36858242414948084</v>
      </c>
      <c r="O266">
        <v>0.26603272055260518</v>
      </c>
    </row>
    <row r="267" spans="1:15">
      <c r="A267" s="19">
        <v>43475</v>
      </c>
      <c r="B267">
        <v>799.2</v>
      </c>
      <c r="C267">
        <v>798.3</v>
      </c>
      <c r="D267">
        <v>2739</v>
      </c>
      <c r="E267">
        <v>2742</v>
      </c>
      <c r="F267">
        <v>0.29113785557986799</v>
      </c>
      <c r="G267">
        <v>0.31785744452659098</v>
      </c>
      <c r="H267">
        <v>2.5533018682579799E-2</v>
      </c>
      <c r="I267">
        <v>-1.04647199294739</v>
      </c>
      <c r="J267">
        <v>-9.18</v>
      </c>
      <c r="L267">
        <v>0.34339046320917077</v>
      </c>
      <c r="M267">
        <v>0.29232442584401119</v>
      </c>
      <c r="N267">
        <v>0.36892348189175056</v>
      </c>
      <c r="O267">
        <v>0.2667914071614314</v>
      </c>
    </row>
    <row r="268" spans="1:15">
      <c r="A268" s="19">
        <v>43474</v>
      </c>
      <c r="B268">
        <v>800.5</v>
      </c>
      <c r="C268">
        <v>802.8</v>
      </c>
      <c r="D268">
        <v>2700</v>
      </c>
      <c r="E268">
        <v>2720</v>
      </c>
      <c r="F268">
        <v>0.29514705882352898</v>
      </c>
      <c r="G268">
        <v>0.31845973064668598</v>
      </c>
      <c r="H268">
        <v>2.54281883378355E-2</v>
      </c>
      <c r="I268">
        <v>-0.91680427694759803</v>
      </c>
      <c r="J268">
        <v>-7.9</v>
      </c>
      <c r="L268">
        <v>0.34388791898452148</v>
      </c>
      <c r="M268">
        <v>0.29303154230885048</v>
      </c>
      <c r="N268">
        <v>0.36931610732235698</v>
      </c>
      <c r="O268">
        <v>0.26760335397101498</v>
      </c>
    </row>
    <row r="269" spans="1:15">
      <c r="A269" s="19">
        <v>43473</v>
      </c>
      <c r="B269">
        <v>787</v>
      </c>
      <c r="C269">
        <v>792.4</v>
      </c>
      <c r="D269">
        <v>2694</v>
      </c>
      <c r="E269">
        <v>2672</v>
      </c>
      <c r="F269">
        <v>0.296556886227544</v>
      </c>
      <c r="G269">
        <v>0.31898007882854201</v>
      </c>
      <c r="H269">
        <v>2.5344974933828E-2</v>
      </c>
      <c r="I269">
        <v>-0.88471946251834599</v>
      </c>
      <c r="J269">
        <v>-7.56</v>
      </c>
      <c r="L269">
        <v>0.34432505376236999</v>
      </c>
      <c r="M269">
        <v>0.29363510389471403</v>
      </c>
      <c r="N269">
        <v>0.36967002869619803</v>
      </c>
      <c r="O269">
        <v>0.268290128960886</v>
      </c>
    </row>
    <row r="270" spans="1:15">
      <c r="A270" s="19">
        <v>43472</v>
      </c>
      <c r="B270">
        <v>795</v>
      </c>
      <c r="C270">
        <v>790.5</v>
      </c>
      <c r="D270">
        <v>2684</v>
      </c>
      <c r="E270">
        <v>2668</v>
      </c>
      <c r="F270">
        <v>0.29628935532233802</v>
      </c>
      <c r="G270">
        <v>0.31943672494403902</v>
      </c>
      <c r="H270">
        <v>2.5245192150880801E-2</v>
      </c>
      <c r="I270">
        <v>-0.91690209697584102</v>
      </c>
      <c r="J270">
        <v>-7.81</v>
      </c>
      <c r="L270">
        <v>0.3446819170949198</v>
      </c>
      <c r="M270">
        <v>0.29419153279315824</v>
      </c>
      <c r="N270">
        <v>0.36992710924580063</v>
      </c>
      <c r="O270">
        <v>0.2689463406422774</v>
      </c>
    </row>
    <row r="271" spans="1:15">
      <c r="A271" s="19">
        <v>43469</v>
      </c>
      <c r="B271">
        <v>757.4</v>
      </c>
      <c r="C271">
        <v>762.7</v>
      </c>
      <c r="D271">
        <v>2605</v>
      </c>
      <c r="E271">
        <v>2634</v>
      </c>
      <c r="F271">
        <v>0.28955960516324902</v>
      </c>
      <c r="G271">
        <v>0.31986003198210899</v>
      </c>
      <c r="H271">
        <v>2.5119371261539101E-2</v>
      </c>
      <c r="I271">
        <v>-1.2062573741745299</v>
      </c>
      <c r="J271">
        <v>-10.46</v>
      </c>
      <c r="L271">
        <v>0.34497940324364812</v>
      </c>
      <c r="M271">
        <v>0.29474066072056987</v>
      </c>
      <c r="N271">
        <v>0.37009877450518719</v>
      </c>
      <c r="O271">
        <v>0.2696212894590308</v>
      </c>
    </row>
    <row r="272" spans="1:15">
      <c r="A272" s="19">
        <v>43462</v>
      </c>
      <c r="B272">
        <v>758.1</v>
      </c>
      <c r="C272">
        <v>772.4</v>
      </c>
      <c r="D272">
        <v>2601</v>
      </c>
      <c r="E272">
        <v>2627</v>
      </c>
      <c r="F272">
        <v>0.29402360106585401</v>
      </c>
      <c r="G272">
        <v>0.32040721196091898</v>
      </c>
      <c r="H272">
        <v>2.4899383075234299E-2</v>
      </c>
      <c r="I272">
        <v>-1.0596090198438299</v>
      </c>
      <c r="J272">
        <v>-8.9700000000000006</v>
      </c>
      <c r="L272">
        <v>0.3453065950361533</v>
      </c>
      <c r="M272">
        <v>0.29550782888568466</v>
      </c>
      <c r="N272">
        <v>0.37020597811138756</v>
      </c>
      <c r="O272">
        <v>0.2706084458104504</v>
      </c>
    </row>
    <row r="273" spans="1:15">
      <c r="A273" s="19">
        <v>43461</v>
      </c>
      <c r="B273">
        <v>760</v>
      </c>
      <c r="C273">
        <v>772.9</v>
      </c>
      <c r="D273">
        <v>2505</v>
      </c>
      <c r="E273">
        <v>2602</v>
      </c>
      <c r="F273">
        <v>0.29704073789392699</v>
      </c>
      <c r="G273">
        <v>0.32104199524584698</v>
      </c>
      <c r="H273">
        <v>2.48254267583814E-2</v>
      </c>
      <c r="I273">
        <v>-0.96680140025453398</v>
      </c>
      <c r="J273">
        <v>-8.08</v>
      </c>
      <c r="L273">
        <v>0.34586742200422838</v>
      </c>
      <c r="M273">
        <v>0.29621656848746558</v>
      </c>
      <c r="N273">
        <v>0.37069284876260977</v>
      </c>
      <c r="O273">
        <v>0.27139114172908418</v>
      </c>
    </row>
    <row r="274" spans="1:15">
      <c r="A274" s="19">
        <v>43460</v>
      </c>
      <c r="B274">
        <v>719</v>
      </c>
      <c r="C274">
        <v>722.6</v>
      </c>
      <c r="D274">
        <v>2414</v>
      </c>
      <c r="E274">
        <v>2455</v>
      </c>
      <c r="F274">
        <v>0.29433808553971402</v>
      </c>
      <c r="G274">
        <v>0.32155361243027503</v>
      </c>
      <c r="H274">
        <v>2.47206909476511E-2</v>
      </c>
      <c r="I274">
        <v>-1.1009209632607999</v>
      </c>
      <c r="J274">
        <v>-9.25</v>
      </c>
      <c r="L274">
        <v>0.34627430337792614</v>
      </c>
      <c r="M274">
        <v>0.29683292148262391</v>
      </c>
      <c r="N274">
        <v>0.37099499432557725</v>
      </c>
      <c r="O274">
        <v>0.2721122305349728</v>
      </c>
    </row>
    <row r="275" spans="1:15">
      <c r="A275" s="19">
        <v>43459</v>
      </c>
      <c r="B275">
        <v>734.7</v>
      </c>
      <c r="C275">
        <v>711.1</v>
      </c>
      <c r="D275">
        <v>2438</v>
      </c>
      <c r="E275">
        <v>2408</v>
      </c>
      <c r="F275">
        <v>0.29530730897009899</v>
      </c>
      <c r="G275">
        <v>0.32204561815976901</v>
      </c>
      <c r="H275">
        <v>2.4540687109529599E-2</v>
      </c>
      <c r="I275">
        <v>-1.08955014463661</v>
      </c>
      <c r="J275">
        <v>-9.0500000000000007</v>
      </c>
      <c r="L275">
        <v>0.34658630526929862</v>
      </c>
      <c r="M275">
        <v>0.2975049310502394</v>
      </c>
      <c r="N275">
        <v>0.37112699237882818</v>
      </c>
      <c r="O275">
        <v>0.27296424394070984</v>
      </c>
    </row>
    <row r="276" spans="1:15">
      <c r="A276" s="19">
        <v>43455</v>
      </c>
      <c r="B276">
        <v>778.2</v>
      </c>
      <c r="C276">
        <v>764.7</v>
      </c>
      <c r="D276">
        <v>2604</v>
      </c>
      <c r="E276">
        <v>2522</v>
      </c>
      <c r="F276">
        <v>0.303211736716891</v>
      </c>
      <c r="G276">
        <v>0.32253887443346702</v>
      </c>
      <c r="H276">
        <v>2.43694886263583E-2</v>
      </c>
      <c r="I276">
        <v>-0.79308753716200497</v>
      </c>
      <c r="J276">
        <v>-6.37</v>
      </c>
      <c r="L276">
        <v>0.34690836305982531</v>
      </c>
      <c r="M276">
        <v>0.29816938580710872</v>
      </c>
      <c r="N276">
        <v>0.3712778516861836</v>
      </c>
      <c r="O276">
        <v>0.27379989718075043</v>
      </c>
    </row>
    <row r="277" spans="1:15">
      <c r="A277" s="19">
        <v>43454</v>
      </c>
      <c r="B277">
        <v>798</v>
      </c>
      <c r="C277">
        <v>780</v>
      </c>
      <c r="D277">
        <v>2659</v>
      </c>
      <c r="E277">
        <v>2605</v>
      </c>
      <c r="F277">
        <v>0.29942418426103601</v>
      </c>
      <c r="G277">
        <v>0.32291024389129003</v>
      </c>
      <c r="H277">
        <v>2.4284206573226299E-2</v>
      </c>
      <c r="I277">
        <v>-0.96713308542463206</v>
      </c>
      <c r="J277">
        <v>-7.84</v>
      </c>
      <c r="L277">
        <v>0.3471944504645163</v>
      </c>
      <c r="M277">
        <v>0.29862603731806375</v>
      </c>
      <c r="N277">
        <v>0.37147865703774263</v>
      </c>
      <c r="O277">
        <v>0.27434183074483742</v>
      </c>
    </row>
    <row r="278" spans="1:15">
      <c r="A278" s="19">
        <v>43453</v>
      </c>
      <c r="B278">
        <v>811.3</v>
      </c>
      <c r="C278">
        <v>798.4</v>
      </c>
      <c r="D278">
        <v>2695</v>
      </c>
      <c r="E278">
        <v>2673</v>
      </c>
      <c r="F278">
        <v>0.29869060980172002</v>
      </c>
      <c r="G278">
        <v>0.323232677084695</v>
      </c>
      <c r="H278">
        <v>2.4130283724574299E-2</v>
      </c>
      <c r="I278">
        <v>-1.0170650110500099</v>
      </c>
      <c r="J278">
        <v>-8.2200000000000006</v>
      </c>
      <c r="L278">
        <v>0.34736296080926932</v>
      </c>
      <c r="M278">
        <v>0.29910239336012068</v>
      </c>
      <c r="N278">
        <v>0.37149324453384358</v>
      </c>
      <c r="O278">
        <v>0.27497210963554641</v>
      </c>
    </row>
    <row r="279" spans="1:15">
      <c r="A279" s="19">
        <v>43452</v>
      </c>
      <c r="B279">
        <v>817.6</v>
      </c>
      <c r="C279">
        <v>814.8</v>
      </c>
      <c r="D279">
        <v>2723</v>
      </c>
      <c r="E279">
        <v>2691</v>
      </c>
      <c r="F279">
        <v>0.30278706800445898</v>
      </c>
      <c r="G279">
        <v>0.32357094828308602</v>
      </c>
      <c r="H279">
        <v>2.3961103302597601E-2</v>
      </c>
      <c r="I279">
        <v>-0.86740080438508105</v>
      </c>
      <c r="J279">
        <v>-6.86</v>
      </c>
      <c r="L279">
        <v>0.34753205158568362</v>
      </c>
      <c r="M279">
        <v>0.29960984498048843</v>
      </c>
      <c r="N279">
        <v>0.37149315488828122</v>
      </c>
      <c r="O279">
        <v>0.27564874167789083</v>
      </c>
    </row>
    <row r="280" spans="1:15">
      <c r="A280" s="19">
        <v>43451</v>
      </c>
      <c r="B280">
        <v>825.7</v>
      </c>
      <c r="C280">
        <v>825.8</v>
      </c>
      <c r="D280">
        <v>2755</v>
      </c>
      <c r="E280">
        <v>2744</v>
      </c>
      <c r="F280">
        <v>0.30094752186588902</v>
      </c>
      <c r="G280">
        <v>0.32392897151233702</v>
      </c>
      <c r="H280">
        <v>2.3848220361881899E-2</v>
      </c>
      <c r="I280">
        <v>-0.96365470033903</v>
      </c>
      <c r="J280">
        <v>-7.64</v>
      </c>
      <c r="L280">
        <v>0.34777719187421891</v>
      </c>
      <c r="M280">
        <v>0.30008075115045513</v>
      </c>
      <c r="N280">
        <v>0.37162541223610079</v>
      </c>
      <c r="O280">
        <v>0.27623253078857324</v>
      </c>
    </row>
    <row r="281" spans="1:15">
      <c r="A281" s="19">
        <v>43448</v>
      </c>
      <c r="B281">
        <v>846.7</v>
      </c>
      <c r="C281">
        <v>830</v>
      </c>
      <c r="D281">
        <v>2774</v>
      </c>
      <c r="E281">
        <v>2736</v>
      </c>
      <c r="F281">
        <v>0.303362573099415</v>
      </c>
      <c r="G281">
        <v>0.32434658435790598</v>
      </c>
      <c r="H281">
        <v>2.3715997837632799E-2</v>
      </c>
      <c r="I281">
        <v>-0.88480406357575503</v>
      </c>
      <c r="J281">
        <v>-6.92</v>
      </c>
      <c r="L281">
        <v>0.34806258219553876</v>
      </c>
      <c r="M281">
        <v>0.30063058652027319</v>
      </c>
      <c r="N281">
        <v>0.37177858003317155</v>
      </c>
      <c r="O281">
        <v>0.27691458868264041</v>
      </c>
    </row>
    <row r="282" spans="1:15">
      <c r="A282" s="19">
        <v>43447</v>
      </c>
      <c r="B282">
        <v>828.1</v>
      </c>
      <c r="C282">
        <v>831.7</v>
      </c>
      <c r="D282">
        <v>2750</v>
      </c>
      <c r="E282">
        <v>2767</v>
      </c>
      <c r="F282">
        <v>0.30057824358510998</v>
      </c>
      <c r="G282">
        <v>0.32468372686358699</v>
      </c>
      <c r="H282">
        <v>2.3594714753115299E-2</v>
      </c>
      <c r="I282">
        <v>-1.0216475821261599</v>
      </c>
      <c r="J282">
        <v>-8.02</v>
      </c>
      <c r="L282">
        <v>0.34827844161670229</v>
      </c>
      <c r="M282">
        <v>0.30108901211047168</v>
      </c>
      <c r="N282">
        <v>0.3718731563698176</v>
      </c>
      <c r="O282">
        <v>0.27749429735735637</v>
      </c>
    </row>
    <row r="283" spans="1:15">
      <c r="A283" s="19">
        <v>43446</v>
      </c>
      <c r="B283">
        <v>800.1</v>
      </c>
      <c r="C283">
        <v>817.7</v>
      </c>
      <c r="D283">
        <v>2719</v>
      </c>
      <c r="E283">
        <v>2737</v>
      </c>
      <c r="F283">
        <v>0.29875776397515502</v>
      </c>
      <c r="G283">
        <v>0.32511139109877801</v>
      </c>
      <c r="H283">
        <v>2.3444121092441102E-2</v>
      </c>
      <c r="I283">
        <v>-1.1241038646622801</v>
      </c>
      <c r="J283">
        <v>-8.82</v>
      </c>
      <c r="L283">
        <v>0.34855551219121911</v>
      </c>
      <c r="M283">
        <v>0.30166727000633692</v>
      </c>
      <c r="N283">
        <v>0.3719996332836602</v>
      </c>
      <c r="O283">
        <v>0.27822314891389582</v>
      </c>
    </row>
    <row r="284" spans="1:15">
      <c r="A284" s="19">
        <v>43445</v>
      </c>
      <c r="B284">
        <v>801.2</v>
      </c>
      <c r="C284">
        <v>788.3</v>
      </c>
      <c r="D284">
        <v>2741</v>
      </c>
      <c r="E284">
        <v>2700</v>
      </c>
      <c r="F284">
        <v>0.29196296296296198</v>
      </c>
      <c r="G284">
        <v>0.32554035053664998</v>
      </c>
      <c r="H284">
        <v>2.3251537549041398E-2</v>
      </c>
      <c r="I284">
        <v>-1.4440932133140401</v>
      </c>
      <c r="J284">
        <v>-11.5</v>
      </c>
      <c r="L284">
        <v>0.34879188808569139</v>
      </c>
      <c r="M284">
        <v>0.30228881298760857</v>
      </c>
      <c r="N284">
        <v>0.37204342563473281</v>
      </c>
      <c r="O284">
        <v>0.27903727543856716</v>
      </c>
    </row>
    <row r="285" spans="1:15">
      <c r="A285" s="19">
        <v>43444</v>
      </c>
      <c r="B285">
        <v>810.6</v>
      </c>
      <c r="C285">
        <v>807.5</v>
      </c>
      <c r="D285">
        <v>2728</v>
      </c>
      <c r="E285">
        <v>2735</v>
      </c>
      <c r="F285">
        <v>0.29524680073126103</v>
      </c>
      <c r="G285">
        <v>0.326124647232512</v>
      </c>
      <c r="H285">
        <v>2.29490627193219E-2</v>
      </c>
      <c r="I285">
        <v>-1.3454948848631501</v>
      </c>
      <c r="J285">
        <v>-10.46</v>
      </c>
      <c r="L285">
        <v>0.3490737099518339</v>
      </c>
      <c r="M285">
        <v>0.3031755845131901</v>
      </c>
      <c r="N285">
        <v>0.3720227726711558</v>
      </c>
      <c r="O285">
        <v>0.2802265217938682</v>
      </c>
    </row>
    <row r="286" spans="1:15">
      <c r="A286" s="19">
        <v>43441</v>
      </c>
      <c r="B286">
        <v>827.5</v>
      </c>
      <c r="C286">
        <v>829</v>
      </c>
      <c r="D286">
        <v>2771</v>
      </c>
      <c r="E286">
        <v>2778</v>
      </c>
      <c r="F286">
        <v>0.29841612670986301</v>
      </c>
      <c r="G286">
        <v>0.32649881110154999</v>
      </c>
      <c r="H286">
        <v>2.2669641089628E-2</v>
      </c>
      <c r="I286">
        <v>-1.23877940019684</v>
      </c>
      <c r="J286">
        <v>-9.41</v>
      </c>
      <c r="L286">
        <v>0.34916845219117798</v>
      </c>
      <c r="M286">
        <v>0.303829170011922</v>
      </c>
      <c r="N286">
        <v>0.37183809328080597</v>
      </c>
      <c r="O286">
        <v>0.28115952892229401</v>
      </c>
    </row>
    <row r="287" spans="1:15">
      <c r="A287" s="19">
        <v>43440</v>
      </c>
      <c r="B287">
        <v>830.5</v>
      </c>
      <c r="C287">
        <v>824.7</v>
      </c>
      <c r="D287">
        <v>2768</v>
      </c>
      <c r="E287">
        <v>2748</v>
      </c>
      <c r="F287">
        <v>0.30010917030567602</v>
      </c>
      <c r="G287">
        <v>0.326827880813505</v>
      </c>
      <c r="H287">
        <v>2.2437547418987101E-2</v>
      </c>
      <c r="I287">
        <v>-1.1908035227245</v>
      </c>
      <c r="J287">
        <v>-8.9</v>
      </c>
      <c r="L287">
        <v>0.34926542823249213</v>
      </c>
      <c r="M287">
        <v>0.30439033339451788</v>
      </c>
      <c r="N287">
        <v>0.37170297565147919</v>
      </c>
      <c r="O287">
        <v>0.28195278597553081</v>
      </c>
    </row>
    <row r="288" spans="1:15">
      <c r="A288" s="19">
        <v>43439</v>
      </c>
      <c r="B288">
        <v>829.5</v>
      </c>
      <c r="C288">
        <v>837.6</v>
      </c>
      <c r="D288">
        <v>2789</v>
      </c>
      <c r="E288">
        <v>2805</v>
      </c>
      <c r="F288">
        <v>0.29860962566844901</v>
      </c>
      <c r="G288">
        <v>0.327113386861346</v>
      </c>
      <c r="H288">
        <v>2.2231033294619298E-2</v>
      </c>
      <c r="I288">
        <v>-1.2821608791254999</v>
      </c>
      <c r="J288">
        <v>-9.5500000000000007</v>
      </c>
      <c r="L288">
        <v>0.34934442015596529</v>
      </c>
      <c r="M288">
        <v>0.30488235356672672</v>
      </c>
      <c r="N288">
        <v>0.37157545345058463</v>
      </c>
      <c r="O288">
        <v>0.28265132027210738</v>
      </c>
    </row>
    <row r="289" spans="1:15">
      <c r="A289" s="19">
        <v>43438</v>
      </c>
      <c r="B289">
        <v>873.1</v>
      </c>
      <c r="C289">
        <v>844.8</v>
      </c>
      <c r="D289">
        <v>2892</v>
      </c>
      <c r="E289">
        <v>2839</v>
      </c>
      <c r="F289">
        <v>0.29756956674885499</v>
      </c>
      <c r="G289">
        <v>0.32737300935124503</v>
      </c>
      <c r="H289">
        <v>2.2009231935691199E-2</v>
      </c>
      <c r="I289">
        <v>-1.35413369669022</v>
      </c>
      <c r="J289">
        <v>-10.02</v>
      </c>
      <c r="L289">
        <v>0.34938224128693623</v>
      </c>
      <c r="M289">
        <v>0.30536377741555382</v>
      </c>
      <c r="N289">
        <v>0.37139147322262744</v>
      </c>
      <c r="O289">
        <v>0.28335454547986261</v>
      </c>
    </row>
    <row r="290" spans="1:15">
      <c r="A290" s="19">
        <v>43437</v>
      </c>
      <c r="B290">
        <v>864.1</v>
      </c>
      <c r="C290">
        <v>872.3</v>
      </c>
      <c r="D290">
        <v>2939</v>
      </c>
      <c r="E290">
        <v>2909</v>
      </c>
      <c r="F290">
        <v>0.29986249570299001</v>
      </c>
      <c r="G290">
        <v>0.32767095384253098</v>
      </c>
      <c r="H290">
        <v>2.17535237463094E-2</v>
      </c>
      <c r="I290">
        <v>-1.27834269352609</v>
      </c>
      <c r="J290">
        <v>-9.27</v>
      </c>
      <c r="L290">
        <v>0.34942447758884038</v>
      </c>
      <c r="M290">
        <v>0.30591743009622158</v>
      </c>
      <c r="N290">
        <v>0.37117800133514978</v>
      </c>
      <c r="O290">
        <v>0.28416390634991218</v>
      </c>
    </row>
    <row r="291" spans="1:15">
      <c r="A291" s="19">
        <v>43434</v>
      </c>
      <c r="B291">
        <v>847.8</v>
      </c>
      <c r="C291">
        <v>847.5</v>
      </c>
      <c r="D291">
        <v>2900</v>
      </c>
      <c r="E291">
        <v>2907</v>
      </c>
      <c r="F291">
        <v>0.29153766769865802</v>
      </c>
      <c r="G291">
        <v>0.32796089680925899</v>
      </c>
      <c r="H291">
        <v>2.1524660602381201E-2</v>
      </c>
      <c r="I291">
        <v>-1.6921627608182499</v>
      </c>
      <c r="J291">
        <v>-12.49</v>
      </c>
      <c r="L291">
        <v>0.34948555741164022</v>
      </c>
      <c r="M291">
        <v>0.30643623620687777</v>
      </c>
      <c r="N291">
        <v>0.3710102180140214</v>
      </c>
      <c r="O291">
        <v>0.28491157560449659</v>
      </c>
    </row>
    <row r="292" spans="1:15">
      <c r="A292" s="19">
        <v>43433</v>
      </c>
      <c r="B292">
        <v>850.2</v>
      </c>
      <c r="C292">
        <v>851.9</v>
      </c>
      <c r="D292">
        <v>2947</v>
      </c>
      <c r="E292">
        <v>2900</v>
      </c>
      <c r="F292">
        <v>0.29375862068965503</v>
      </c>
      <c r="G292">
        <v>0.32835186721728798</v>
      </c>
      <c r="H292">
        <v>2.1122066333342501E-2</v>
      </c>
      <c r="I292">
        <v>-1.63777757259597</v>
      </c>
      <c r="J292">
        <v>-11.78</v>
      </c>
      <c r="L292">
        <v>0.3494739335506305</v>
      </c>
      <c r="M292">
        <v>0.30722980088394547</v>
      </c>
      <c r="N292">
        <v>0.37059599988397296</v>
      </c>
      <c r="O292">
        <v>0.28610773455060301</v>
      </c>
    </row>
    <row r="293" spans="1:15">
      <c r="A293" s="19">
        <v>43432</v>
      </c>
      <c r="B293">
        <v>852</v>
      </c>
      <c r="C293">
        <v>846.7</v>
      </c>
      <c r="D293">
        <v>2945</v>
      </c>
      <c r="E293">
        <v>2914</v>
      </c>
      <c r="F293">
        <v>0.29056280027453601</v>
      </c>
      <c r="G293">
        <v>0.328689609834595</v>
      </c>
      <c r="H293">
        <v>2.0765732458396101E-2</v>
      </c>
      <c r="I293">
        <v>-1.8360445332927999</v>
      </c>
      <c r="J293">
        <v>-13.12</v>
      </c>
      <c r="L293">
        <v>0.34945534229299108</v>
      </c>
      <c r="M293">
        <v>0.30792387737619892</v>
      </c>
      <c r="N293">
        <v>0.37022107475138721</v>
      </c>
      <c r="O293">
        <v>0.28715814491780278</v>
      </c>
    </row>
    <row r="294" spans="1:15">
      <c r="A294" s="19">
        <v>43431</v>
      </c>
      <c r="B294">
        <v>854</v>
      </c>
      <c r="C294">
        <v>851.5</v>
      </c>
      <c r="D294">
        <v>2938</v>
      </c>
      <c r="E294">
        <v>2939</v>
      </c>
      <c r="F294">
        <v>0.28972439605307898</v>
      </c>
      <c r="G294">
        <v>0.32898727687309898</v>
      </c>
      <c r="H294">
        <v>2.0373371709785201E-2</v>
      </c>
      <c r="I294">
        <v>-1.9271665671893801</v>
      </c>
      <c r="J294">
        <v>-13.55</v>
      </c>
      <c r="L294">
        <v>0.34936064858288418</v>
      </c>
      <c r="M294">
        <v>0.30861390516331377</v>
      </c>
      <c r="N294">
        <v>0.36973402029266939</v>
      </c>
      <c r="O294">
        <v>0.28824053345352857</v>
      </c>
    </row>
    <row r="295" spans="1:15">
      <c r="A295" s="19">
        <v>43430</v>
      </c>
      <c r="B295">
        <v>838.4</v>
      </c>
      <c r="C295">
        <v>852</v>
      </c>
      <c r="D295">
        <v>2906</v>
      </c>
      <c r="E295">
        <v>2906</v>
      </c>
      <c r="F295">
        <v>0.293186510667584</v>
      </c>
      <c r="G295">
        <v>0.32933268982667502</v>
      </c>
      <c r="H295">
        <v>1.9919322468247899E-2</v>
      </c>
      <c r="I295">
        <v>-1.8146289471797701</v>
      </c>
      <c r="J295">
        <v>-12.33</v>
      </c>
      <c r="L295">
        <v>0.34925201229492292</v>
      </c>
      <c r="M295">
        <v>0.30941336735842712</v>
      </c>
      <c r="N295">
        <v>0.36917133476317082</v>
      </c>
      <c r="O295">
        <v>0.28949404489017921</v>
      </c>
    </row>
    <row r="296" spans="1:15">
      <c r="A296" s="19">
        <v>43426</v>
      </c>
      <c r="B296">
        <v>850</v>
      </c>
      <c r="C296">
        <v>852.3</v>
      </c>
      <c r="D296">
        <v>2913</v>
      </c>
      <c r="E296">
        <v>2929</v>
      </c>
      <c r="F296">
        <v>0.29098668487538398</v>
      </c>
      <c r="G296">
        <v>0.32962429786028002</v>
      </c>
      <c r="H296">
        <v>1.9544589616814E-2</v>
      </c>
      <c r="I296">
        <v>-1.97689558810979</v>
      </c>
      <c r="J296">
        <v>-13.28</v>
      </c>
      <c r="L296">
        <v>0.34916888747709401</v>
      </c>
      <c r="M296">
        <v>0.31007970824346603</v>
      </c>
      <c r="N296">
        <v>0.368713477093908</v>
      </c>
      <c r="O296">
        <v>0.29053511862665204</v>
      </c>
    </row>
    <row r="297" spans="1:15">
      <c r="A297" s="19">
        <v>43425</v>
      </c>
      <c r="B297">
        <v>843.2</v>
      </c>
      <c r="C297">
        <v>845.4</v>
      </c>
      <c r="D297">
        <v>2884</v>
      </c>
      <c r="E297">
        <v>2909</v>
      </c>
      <c r="F297">
        <v>0.29061533172911602</v>
      </c>
      <c r="G297">
        <v>0.329870868593023</v>
      </c>
      <c r="H297">
        <v>1.91686244039991E-2</v>
      </c>
      <c r="I297">
        <v>-2.0479057879456701</v>
      </c>
      <c r="J297">
        <v>-13.51</v>
      </c>
      <c r="L297">
        <v>0.34903949299702208</v>
      </c>
      <c r="M297">
        <v>0.31070224418902392</v>
      </c>
      <c r="N297">
        <v>0.36820811740102122</v>
      </c>
      <c r="O297">
        <v>0.29153361978502479</v>
      </c>
    </row>
    <row r="298" spans="1:15">
      <c r="A298" s="19">
        <v>43424</v>
      </c>
      <c r="B298">
        <v>856.8</v>
      </c>
      <c r="C298">
        <v>869.2</v>
      </c>
      <c r="D298">
        <v>2926</v>
      </c>
      <c r="E298">
        <v>2934</v>
      </c>
      <c r="F298">
        <v>0.29625085207907298</v>
      </c>
      <c r="G298">
        <v>0.330045280657423</v>
      </c>
      <c r="H298">
        <v>1.8867801439008701E-2</v>
      </c>
      <c r="I298">
        <v>-1.7911163994168999</v>
      </c>
      <c r="J298">
        <v>-11.41</v>
      </c>
      <c r="L298">
        <v>0.34891308209643168</v>
      </c>
      <c r="M298">
        <v>0.31117747921841432</v>
      </c>
      <c r="N298">
        <v>0.36778088353544042</v>
      </c>
      <c r="O298">
        <v>0.29230967777940559</v>
      </c>
    </row>
    <row r="299" spans="1:15">
      <c r="A299" s="19">
        <v>43423</v>
      </c>
      <c r="B299">
        <v>861</v>
      </c>
      <c r="C299">
        <v>862.4</v>
      </c>
      <c r="D299">
        <v>2942</v>
      </c>
      <c r="E299">
        <v>2941</v>
      </c>
      <c r="F299">
        <v>0.29323359401563998</v>
      </c>
      <c r="G299">
        <v>0.33008456695523197</v>
      </c>
      <c r="H299">
        <v>1.8800341160402599E-2</v>
      </c>
      <c r="I299">
        <v>-1.9601225650738101</v>
      </c>
      <c r="J299">
        <v>-12.57</v>
      </c>
      <c r="L299">
        <v>0.34888490811563455</v>
      </c>
      <c r="M299">
        <v>0.31128422579482939</v>
      </c>
      <c r="N299">
        <v>0.36768524927603718</v>
      </c>
      <c r="O299">
        <v>0.29248388463442676</v>
      </c>
    </row>
    <row r="300" spans="1:15">
      <c r="A300" s="19">
        <v>43420</v>
      </c>
      <c r="B300">
        <v>857</v>
      </c>
      <c r="C300">
        <v>860.1</v>
      </c>
      <c r="D300">
        <v>2914</v>
      </c>
      <c r="E300">
        <v>2935</v>
      </c>
      <c r="F300">
        <v>0.29304940374786997</v>
      </c>
      <c r="G300">
        <v>0.33004805302842199</v>
      </c>
      <c r="H300">
        <v>1.8874391035263401E-2</v>
      </c>
      <c r="I300">
        <v>-1.96025658318866</v>
      </c>
      <c r="J300">
        <v>-12.63</v>
      </c>
      <c r="L300">
        <v>0.34892244406368539</v>
      </c>
      <c r="M300">
        <v>0.3111736619931586</v>
      </c>
      <c r="N300">
        <v>0.36779683509894878</v>
      </c>
      <c r="O300">
        <v>0.29229927095789521</v>
      </c>
    </row>
    <row r="301" spans="1:15">
      <c r="A301" s="19">
        <v>43419</v>
      </c>
      <c r="B301">
        <v>852.1</v>
      </c>
      <c r="C301">
        <v>857</v>
      </c>
      <c r="D301">
        <v>2880</v>
      </c>
      <c r="E301">
        <v>2912</v>
      </c>
      <c r="F301">
        <v>0.29429945054945</v>
      </c>
      <c r="G301">
        <v>0.32989081028974598</v>
      </c>
      <c r="H301">
        <v>1.9227788366543701E-2</v>
      </c>
      <c r="I301">
        <v>-1.8510376264710799</v>
      </c>
      <c r="J301">
        <v>-12.09</v>
      </c>
      <c r="L301">
        <v>0.34911859865628969</v>
      </c>
      <c r="M301">
        <v>0.31066302192320228</v>
      </c>
      <c r="N301">
        <v>0.3683463870228334</v>
      </c>
      <c r="O301">
        <v>0.29143523355665857</v>
      </c>
    </row>
    <row r="302" spans="1:15">
      <c r="A302" s="19">
        <v>43418</v>
      </c>
      <c r="B302">
        <v>859</v>
      </c>
      <c r="C302">
        <v>853.3</v>
      </c>
      <c r="D302">
        <v>2901</v>
      </c>
      <c r="E302">
        <v>2899</v>
      </c>
      <c r="F302">
        <v>0.294342876854087</v>
      </c>
      <c r="G302">
        <v>0.329701012553825</v>
      </c>
      <c r="H302">
        <v>1.9643927301437401E-2</v>
      </c>
      <c r="I302">
        <v>-1.7999524818619399</v>
      </c>
      <c r="J302">
        <v>-12.01</v>
      </c>
      <c r="L302">
        <v>0.34934493985526238</v>
      </c>
      <c r="M302">
        <v>0.31005708525238762</v>
      </c>
      <c r="N302">
        <v>0.36898886715669982</v>
      </c>
      <c r="O302">
        <v>0.29041315795095018</v>
      </c>
    </row>
    <row r="303" spans="1:15">
      <c r="A303" s="19">
        <v>43417</v>
      </c>
      <c r="B303">
        <v>870</v>
      </c>
      <c r="C303">
        <v>872.7</v>
      </c>
      <c r="D303">
        <v>2886</v>
      </c>
      <c r="E303">
        <v>2898</v>
      </c>
      <c r="F303">
        <v>0.30113871635610701</v>
      </c>
      <c r="G303">
        <v>0.32952142468120699</v>
      </c>
      <c r="H303">
        <v>2.0024242758706099E-2</v>
      </c>
      <c r="I303">
        <v>-1.4174173109622299</v>
      </c>
      <c r="J303">
        <v>-9.43</v>
      </c>
      <c r="L303">
        <v>0.34954566743991311</v>
      </c>
      <c r="M303">
        <v>0.30949718192250086</v>
      </c>
      <c r="N303">
        <v>0.36956991019861918</v>
      </c>
      <c r="O303">
        <v>0.2894729391637948</v>
      </c>
    </row>
    <row r="304" spans="1:15">
      <c r="A304" s="19">
        <v>43416</v>
      </c>
      <c r="B304">
        <v>882.5</v>
      </c>
      <c r="C304">
        <v>891.8</v>
      </c>
      <c r="D304">
        <v>2919</v>
      </c>
      <c r="E304">
        <v>2937</v>
      </c>
      <c r="F304">
        <v>0.30364317330609403</v>
      </c>
      <c r="G304">
        <v>0.32933702806445497</v>
      </c>
      <c r="H304">
        <v>2.0345854741111401E-2</v>
      </c>
      <c r="I304">
        <v>-1.2628545266492499</v>
      </c>
      <c r="J304">
        <v>-8.4600000000000009</v>
      </c>
      <c r="L304">
        <v>0.34968288280556636</v>
      </c>
      <c r="M304">
        <v>0.30899117332334358</v>
      </c>
      <c r="N304">
        <v>0.37002873754667776</v>
      </c>
      <c r="O304">
        <v>0.28864531858223219</v>
      </c>
    </row>
    <row r="305" spans="1:15">
      <c r="A305" s="19">
        <v>43413</v>
      </c>
      <c r="B305">
        <v>892.6</v>
      </c>
      <c r="C305">
        <v>886.2</v>
      </c>
      <c r="D305">
        <v>2940</v>
      </c>
      <c r="E305">
        <v>2935</v>
      </c>
      <c r="F305">
        <v>0.30194207836456499</v>
      </c>
      <c r="G305">
        <v>0.32917237184679898</v>
      </c>
      <c r="H305">
        <v>2.0601489621150399E-2</v>
      </c>
      <c r="I305">
        <v>-1.3217633279429499</v>
      </c>
      <c r="J305">
        <v>-9.02</v>
      </c>
      <c r="L305">
        <v>0.34977386146794937</v>
      </c>
      <c r="M305">
        <v>0.3085708822256486</v>
      </c>
      <c r="N305">
        <v>0.3703753510890998</v>
      </c>
      <c r="O305">
        <v>0.28796939260449816</v>
      </c>
    </row>
    <row r="306" spans="1:15">
      <c r="A306" s="19">
        <v>43412</v>
      </c>
      <c r="B306">
        <v>889.4</v>
      </c>
      <c r="C306">
        <v>894.6</v>
      </c>
      <c r="D306">
        <v>2919</v>
      </c>
      <c r="E306">
        <v>2925</v>
      </c>
      <c r="F306">
        <v>0.30584615384615299</v>
      </c>
      <c r="G306">
        <v>0.32898664140303102</v>
      </c>
      <c r="H306">
        <v>2.09066748343219E-2</v>
      </c>
      <c r="I306">
        <v>-1.1068468678189101</v>
      </c>
      <c r="J306">
        <v>-7.57</v>
      </c>
      <c r="L306">
        <v>0.34989331623735292</v>
      </c>
      <c r="M306">
        <v>0.30807996656870912</v>
      </c>
      <c r="N306">
        <v>0.37079999107167483</v>
      </c>
      <c r="O306">
        <v>0.28717329173438721</v>
      </c>
    </row>
    <row r="307" spans="1:15">
      <c r="A307" s="19">
        <v>43411</v>
      </c>
      <c r="B307">
        <v>890</v>
      </c>
      <c r="C307">
        <v>867</v>
      </c>
      <c r="D307">
        <v>2862</v>
      </c>
      <c r="E307">
        <v>2868</v>
      </c>
      <c r="F307">
        <v>0.30230125523012502</v>
      </c>
      <c r="G307">
        <v>0.32875488153604898</v>
      </c>
      <c r="H307">
        <v>2.1255348981468799E-2</v>
      </c>
      <c r="I307" s="20">
        <v>-1.24456325459476</v>
      </c>
      <c r="J307">
        <v>-8.75</v>
      </c>
      <c r="L307">
        <v>0.35001023051751778</v>
      </c>
      <c r="M307">
        <v>0.30749953255458018</v>
      </c>
      <c r="N307">
        <v>0.37126557949898659</v>
      </c>
      <c r="O307">
        <v>0.28624418357311138</v>
      </c>
    </row>
    <row r="308" spans="1:15">
      <c r="A308" s="19">
        <v>43410</v>
      </c>
      <c r="B308">
        <v>869.8</v>
      </c>
      <c r="C308">
        <v>894.4</v>
      </c>
      <c r="D308">
        <v>2821</v>
      </c>
      <c r="E308">
        <v>2840</v>
      </c>
      <c r="F308">
        <v>0.314929577464788</v>
      </c>
      <c r="G308">
        <v>0.32862237164896302</v>
      </c>
      <c r="H308">
        <v>2.1449940577695899E-2</v>
      </c>
      <c r="I308">
        <v>-0.63836047165615495</v>
      </c>
      <c r="J308">
        <v>-4.3499999999999996</v>
      </c>
      <c r="L308">
        <v>0.35007231222665891</v>
      </c>
      <c r="M308">
        <v>0.30717243107126713</v>
      </c>
      <c r="N308">
        <v>0.3715222528043548</v>
      </c>
      <c r="O308">
        <v>0.28572249049357124</v>
      </c>
    </row>
    <row r="309" spans="1:15">
      <c r="A309" s="19">
        <v>43409</v>
      </c>
      <c r="B309">
        <v>890</v>
      </c>
      <c r="C309">
        <v>859.1</v>
      </c>
      <c r="D309">
        <v>2789</v>
      </c>
      <c r="E309">
        <v>2821</v>
      </c>
      <c r="F309">
        <v>0.304537398085785</v>
      </c>
      <c r="G309">
        <v>0.32840825243677002</v>
      </c>
      <c r="H309">
        <v>2.16646350565569E-2</v>
      </c>
      <c r="I309">
        <v>-1.1018350546255899</v>
      </c>
      <c r="J309">
        <v>-7.84</v>
      </c>
      <c r="L309">
        <v>0.35007288749332693</v>
      </c>
      <c r="M309">
        <v>0.30674361738021311</v>
      </c>
      <c r="N309">
        <v>0.37173752254988379</v>
      </c>
      <c r="O309">
        <v>0.28507898232365625</v>
      </c>
    </row>
    <row r="310" spans="1:15">
      <c r="A310" s="19">
        <v>43406</v>
      </c>
      <c r="B310">
        <v>915.8</v>
      </c>
      <c r="C310">
        <v>918.4</v>
      </c>
      <c r="D310">
        <v>2815</v>
      </c>
      <c r="E310">
        <v>2821</v>
      </c>
      <c r="F310">
        <v>0.325558312655086</v>
      </c>
      <c r="G310">
        <v>0.32834083098496503</v>
      </c>
      <c r="H310">
        <v>2.1746530888999901E-2</v>
      </c>
      <c r="I310">
        <v>-0.127952285542973</v>
      </c>
      <c r="J310">
        <v>-0.85</v>
      </c>
      <c r="L310">
        <v>0.35008736187396494</v>
      </c>
      <c r="M310">
        <v>0.30659430009596511</v>
      </c>
      <c r="N310">
        <v>0.37183389276296486</v>
      </c>
      <c r="O310">
        <v>0.2848477692069652</v>
      </c>
    </row>
    <row r="311" spans="1:15">
      <c r="A311" s="19">
        <v>43405</v>
      </c>
      <c r="B311">
        <v>917</v>
      </c>
      <c r="C311">
        <v>903.8</v>
      </c>
      <c r="D311">
        <v>2734</v>
      </c>
      <c r="E311">
        <v>2815</v>
      </c>
      <c r="F311">
        <v>0.32106571936056799</v>
      </c>
      <c r="G311">
        <v>0.32796169415303</v>
      </c>
      <c r="H311">
        <v>2.20376638198654E-2</v>
      </c>
      <c r="I311">
        <v>-0.31291768713912799</v>
      </c>
      <c r="J311">
        <v>-2.15</v>
      </c>
      <c r="L311">
        <v>0.34999935797289539</v>
      </c>
      <c r="M311">
        <v>0.30592403033316462</v>
      </c>
      <c r="N311">
        <v>0.37203702179276082</v>
      </c>
      <c r="O311">
        <v>0.28388636651329918</v>
      </c>
    </row>
    <row r="312" spans="1:15">
      <c r="A312" s="19">
        <v>43404</v>
      </c>
      <c r="B312">
        <v>918.7</v>
      </c>
      <c r="C312">
        <v>916.3</v>
      </c>
      <c r="D312">
        <v>2754</v>
      </c>
      <c r="E312">
        <v>2730</v>
      </c>
      <c r="F312">
        <v>0.33564102564102499</v>
      </c>
      <c r="G312">
        <v>0.32768505817757398</v>
      </c>
      <c r="H312">
        <v>2.2251674281277299E-2</v>
      </c>
      <c r="I312">
        <v>0.357544666656605</v>
      </c>
      <c r="J312">
        <v>2.37</v>
      </c>
      <c r="L312">
        <v>0.34993673245885126</v>
      </c>
      <c r="M312">
        <v>0.30543338389629671</v>
      </c>
      <c r="N312">
        <v>0.3721884067401286</v>
      </c>
      <c r="O312">
        <v>0.28318170961501937</v>
      </c>
    </row>
    <row r="313" spans="1:15">
      <c r="A313" s="19">
        <v>43403</v>
      </c>
      <c r="B313">
        <v>888.5</v>
      </c>
      <c r="C313">
        <v>908.6</v>
      </c>
      <c r="D313">
        <v>2684</v>
      </c>
      <c r="E313">
        <v>2721</v>
      </c>
      <c r="F313">
        <v>0.33392135244395399</v>
      </c>
      <c r="G313">
        <v>0.32722034319002502</v>
      </c>
      <c r="H313">
        <v>2.2443786114044E-2</v>
      </c>
      <c r="I313">
        <v>0.29856857572421902</v>
      </c>
      <c r="J313">
        <v>2.0099999999999998</v>
      </c>
      <c r="L313">
        <v>0.34966412930406904</v>
      </c>
      <c r="M313">
        <v>0.304776557075981</v>
      </c>
      <c r="N313">
        <v>0.372107915418113</v>
      </c>
      <c r="O313">
        <v>0.28233277096193704</v>
      </c>
    </row>
    <row r="314" spans="1:15">
      <c r="A314" s="19">
        <v>43402</v>
      </c>
      <c r="B314">
        <v>896.9</v>
      </c>
      <c r="C314">
        <v>886.8</v>
      </c>
      <c r="D314">
        <v>2674</v>
      </c>
      <c r="E314">
        <v>2684</v>
      </c>
      <c r="F314">
        <v>0.33040238450074499</v>
      </c>
      <c r="G314">
        <v>0.32679627465528699</v>
      </c>
      <c r="H314">
        <v>2.2613002583055101E-2</v>
      </c>
      <c r="I314">
        <v>0.15947063342044901</v>
      </c>
      <c r="J314">
        <v>1.0900000000000001</v>
      </c>
      <c r="L314">
        <v>0.34940927723834209</v>
      </c>
      <c r="M314">
        <v>0.30418327207223189</v>
      </c>
      <c r="N314">
        <v>0.37202227982139718</v>
      </c>
      <c r="O314">
        <v>0.28157026948917679</v>
      </c>
    </row>
    <row r="315" spans="1:15">
      <c r="A315" s="19">
        <v>43399</v>
      </c>
      <c r="B315">
        <v>894.5</v>
      </c>
      <c r="C315">
        <v>885.6</v>
      </c>
      <c r="D315">
        <v>2651</v>
      </c>
      <c r="E315">
        <v>2665</v>
      </c>
      <c r="F315">
        <v>0.33230769230769203</v>
      </c>
      <c r="G315">
        <v>0.32640701373228098</v>
      </c>
      <c r="H315">
        <v>2.27980971009582E-2</v>
      </c>
      <c r="I315">
        <v>0.25882329342140098</v>
      </c>
      <c r="J315">
        <v>1.78</v>
      </c>
      <c r="L315">
        <v>0.34920511083323919</v>
      </c>
      <c r="M315">
        <v>0.30360891663132278</v>
      </c>
      <c r="N315">
        <v>0.37200320793419739</v>
      </c>
      <c r="O315">
        <v>0.28081081953036457</v>
      </c>
    </row>
    <row r="316" spans="1:15">
      <c r="A316" s="19">
        <v>43398</v>
      </c>
      <c r="B316">
        <v>885.6</v>
      </c>
      <c r="C316">
        <v>880.9</v>
      </c>
      <c r="D316">
        <v>2675</v>
      </c>
      <c r="E316">
        <v>2654</v>
      </c>
      <c r="F316">
        <v>0.33191409193669902</v>
      </c>
      <c r="G316">
        <v>0.32586497885478</v>
      </c>
      <c r="H316">
        <v>2.31321814377882E-2</v>
      </c>
      <c r="I316">
        <v>0.26150205929290499</v>
      </c>
      <c r="J316">
        <v>1.82</v>
      </c>
      <c r="L316">
        <v>0.34899716029256822</v>
      </c>
      <c r="M316">
        <v>0.30273279741699177</v>
      </c>
      <c r="N316">
        <v>0.37212934173035639</v>
      </c>
      <c r="O316">
        <v>0.2796006159792036</v>
      </c>
    </row>
    <row r="317" spans="1:15">
      <c r="A317" s="19">
        <v>43397</v>
      </c>
      <c r="B317">
        <v>929.2</v>
      </c>
      <c r="C317">
        <v>913.7</v>
      </c>
      <c r="D317">
        <v>2701</v>
      </c>
      <c r="E317">
        <v>2725</v>
      </c>
      <c r="F317">
        <v>0.33530275229357798</v>
      </c>
      <c r="G317">
        <v>0.32534005265870902</v>
      </c>
      <c r="H317">
        <v>2.34336863952125E-2</v>
      </c>
      <c r="I317">
        <v>0.42514436127744498</v>
      </c>
      <c r="J317">
        <v>2.97</v>
      </c>
      <c r="L317">
        <v>0.34877373905392151</v>
      </c>
      <c r="M317">
        <v>0.30190636626349654</v>
      </c>
      <c r="N317">
        <v>0.37220742544913404</v>
      </c>
      <c r="O317">
        <v>0.278472679868284</v>
      </c>
    </row>
    <row r="318" spans="1:15">
      <c r="A318" s="19">
        <v>43396</v>
      </c>
      <c r="B318">
        <v>940.5</v>
      </c>
      <c r="C318">
        <v>917.7</v>
      </c>
      <c r="D318">
        <v>2761</v>
      </c>
      <c r="E318">
        <v>2690</v>
      </c>
      <c r="F318">
        <v>0.34115241635687699</v>
      </c>
      <c r="G318">
        <v>0.32474598878433703</v>
      </c>
      <c r="H318">
        <v>2.37363893169594E-2</v>
      </c>
      <c r="I318">
        <v>0.69119306030329497</v>
      </c>
      <c r="J318">
        <v>4.8099999999999996</v>
      </c>
      <c r="L318">
        <v>0.34848237810129645</v>
      </c>
      <c r="M318">
        <v>0.3010095994673776</v>
      </c>
      <c r="N318">
        <v>0.37221876741825582</v>
      </c>
      <c r="O318">
        <v>0.27727321015041823</v>
      </c>
    </row>
    <row r="319" spans="1:15">
      <c r="A319" s="19">
        <v>43395</v>
      </c>
      <c r="B319">
        <v>945.1</v>
      </c>
      <c r="C319">
        <v>950.3</v>
      </c>
      <c r="D319">
        <v>2741</v>
      </c>
      <c r="E319">
        <v>2770</v>
      </c>
      <c r="F319">
        <v>0.34306859205776102</v>
      </c>
      <c r="G319">
        <v>0.32409843770937002</v>
      </c>
      <c r="H319">
        <v>2.3941554573407402E-2</v>
      </c>
      <c r="I319">
        <v>0.79235265572359803</v>
      </c>
      <c r="J319">
        <v>5.53</v>
      </c>
      <c r="L319">
        <v>0.34803999228277743</v>
      </c>
      <c r="M319">
        <v>0.30015688313596262</v>
      </c>
      <c r="N319">
        <v>0.37198154685618484</v>
      </c>
      <c r="O319">
        <v>0.27621532856255521</v>
      </c>
    </row>
    <row r="320" spans="1:15">
      <c r="A320" s="19">
        <v>43392</v>
      </c>
      <c r="B320">
        <v>953.6</v>
      </c>
      <c r="C320">
        <v>956.5</v>
      </c>
      <c r="D320">
        <v>2732</v>
      </c>
      <c r="E320">
        <v>2758</v>
      </c>
      <c r="F320">
        <v>0.34680928208846901</v>
      </c>
      <c r="G320">
        <v>0.32339851062792901</v>
      </c>
      <c r="H320">
        <v>2.4143219169926299E-2</v>
      </c>
      <c r="I320">
        <v>0.969662384115762</v>
      </c>
      <c r="J320">
        <v>6.75</v>
      </c>
      <c r="L320">
        <v>0.3475417297978553</v>
      </c>
      <c r="M320">
        <v>0.29925529145800273</v>
      </c>
      <c r="N320">
        <v>0.37168494896778159</v>
      </c>
      <c r="O320">
        <v>0.27511207228807644</v>
      </c>
    </row>
    <row r="321" spans="1:15">
      <c r="A321" s="19">
        <v>43391</v>
      </c>
      <c r="B321">
        <v>981</v>
      </c>
      <c r="C321">
        <v>968</v>
      </c>
      <c r="D321">
        <v>2763</v>
      </c>
      <c r="E321">
        <v>2781</v>
      </c>
      <c r="F321">
        <v>0.34807623157137701</v>
      </c>
      <c r="G321">
        <v>0.32265654649116299</v>
      </c>
      <c r="H321">
        <v>2.42671161028645E-2</v>
      </c>
      <c r="I321">
        <v>1.0474950946978501</v>
      </c>
      <c r="J321">
        <v>7.3</v>
      </c>
      <c r="L321">
        <v>0.34692366259402752</v>
      </c>
      <c r="M321">
        <v>0.29838943038829846</v>
      </c>
      <c r="N321">
        <v>0.37119077869689199</v>
      </c>
      <c r="O321">
        <v>0.27412231428543399</v>
      </c>
    </row>
    <row r="322" spans="1:15">
      <c r="A322" s="19">
        <v>43390</v>
      </c>
      <c r="B322">
        <v>989.7</v>
      </c>
      <c r="C322">
        <v>980.6</v>
      </c>
      <c r="D322">
        <v>2711</v>
      </c>
      <c r="E322">
        <v>2761</v>
      </c>
      <c r="F322">
        <v>0.35516117348786602</v>
      </c>
      <c r="G322">
        <v>0.32188902611696302</v>
      </c>
      <c r="H322">
        <v>2.43611401288279E-2</v>
      </c>
      <c r="I322">
        <v>1.36578777491332</v>
      </c>
      <c r="J322">
        <v>9.3699999999999992</v>
      </c>
      <c r="L322">
        <v>0.34625016624579091</v>
      </c>
      <c r="M322">
        <v>0.29752788598813512</v>
      </c>
      <c r="N322">
        <v>0.37061130637461881</v>
      </c>
      <c r="O322">
        <v>0.27316674585930723</v>
      </c>
    </row>
    <row r="323" spans="1:15">
      <c r="A323" s="19">
        <v>43389</v>
      </c>
      <c r="B323">
        <v>961.4</v>
      </c>
      <c r="C323">
        <v>983.4</v>
      </c>
      <c r="D323">
        <v>2685</v>
      </c>
      <c r="E323">
        <v>2689</v>
      </c>
      <c r="F323">
        <v>0.365712160654518</v>
      </c>
      <c r="G323">
        <v>0.320912389870954</v>
      </c>
      <c r="H323">
        <v>2.4475664170473699E-2</v>
      </c>
      <c r="I323">
        <v>1.83038018790961</v>
      </c>
      <c r="J323">
        <v>12.25</v>
      </c>
      <c r="L323">
        <v>0.34538805404142769</v>
      </c>
      <c r="M323">
        <v>0.2964367257004803</v>
      </c>
      <c r="N323">
        <v>0.36986371821190139</v>
      </c>
      <c r="O323">
        <v>0.2719610615300066</v>
      </c>
    </row>
    <row r="324" spans="1:15">
      <c r="A324" s="19">
        <v>43388</v>
      </c>
      <c r="B324">
        <v>968</v>
      </c>
      <c r="C324">
        <v>969.3</v>
      </c>
      <c r="D324">
        <v>2715</v>
      </c>
      <c r="E324">
        <v>2694</v>
      </c>
      <c r="F324">
        <v>0.35979955456570101</v>
      </c>
      <c r="G324">
        <v>0.31977368292602598</v>
      </c>
      <c r="H324">
        <v>2.43512397182678E-2</v>
      </c>
      <c r="I324">
        <v>1.64368927835934</v>
      </c>
      <c r="J324">
        <v>11.12</v>
      </c>
      <c r="L324">
        <v>0.34412492264429378</v>
      </c>
      <c r="M324">
        <v>0.29542244320775818</v>
      </c>
      <c r="N324">
        <v>0.36847616236256159</v>
      </c>
      <c r="O324">
        <v>0.27107120348949038</v>
      </c>
    </row>
    <row r="325" spans="1:15">
      <c r="A325" s="19">
        <v>43385</v>
      </c>
      <c r="B325">
        <v>973.3</v>
      </c>
      <c r="C325">
        <v>975.1</v>
      </c>
      <c r="D325">
        <v>2786</v>
      </c>
      <c r="E325">
        <v>2756</v>
      </c>
      <c r="F325">
        <v>0.35380986937590703</v>
      </c>
      <c r="G325">
        <v>0.31870860705311499</v>
      </c>
      <c r="H325">
        <v>2.4324191764157E-2</v>
      </c>
      <c r="I325">
        <v>1.4430597597292101</v>
      </c>
      <c r="J325">
        <v>9.92</v>
      </c>
      <c r="L325">
        <v>0.343032798817272</v>
      </c>
      <c r="M325">
        <v>0.29438441528895798</v>
      </c>
      <c r="N325">
        <v>0.36735699058142901</v>
      </c>
      <c r="O325">
        <v>0.27006022352480097</v>
      </c>
    </row>
    <row r="326" spans="1:15">
      <c r="A326" s="19">
        <v>43384</v>
      </c>
      <c r="B326">
        <v>975.5</v>
      </c>
      <c r="C326">
        <v>986</v>
      </c>
      <c r="D326">
        <v>2817</v>
      </c>
      <c r="E326">
        <v>2803</v>
      </c>
      <c r="F326">
        <v>0.35176596503745899</v>
      </c>
      <c r="G326">
        <v>0.31772546779341598</v>
      </c>
      <c r="H326">
        <v>2.4375666029127101E-2</v>
      </c>
      <c r="I326">
        <v>1.3964950620576699</v>
      </c>
      <c r="J326">
        <v>9.68</v>
      </c>
      <c r="L326">
        <v>0.34210113382254309</v>
      </c>
      <c r="M326">
        <v>0.29334980176428888</v>
      </c>
      <c r="N326">
        <v>0.3664767998516702</v>
      </c>
      <c r="O326">
        <v>0.26897413573516177</v>
      </c>
    </row>
    <row r="327" spans="1:15">
      <c r="A327" s="19">
        <v>43383</v>
      </c>
      <c r="B327">
        <v>1050</v>
      </c>
      <c r="C327">
        <v>1050.5</v>
      </c>
      <c r="D327">
        <v>2870</v>
      </c>
      <c r="E327">
        <v>2906</v>
      </c>
      <c r="F327">
        <v>0.36149346180316499</v>
      </c>
      <c r="G327">
        <v>0.31665137693060702</v>
      </c>
      <c r="H327">
        <v>2.4625588067883501E-2</v>
      </c>
      <c r="I327">
        <v>1.8209548843643899</v>
      </c>
      <c r="J327">
        <v>12.4</v>
      </c>
      <c r="L327">
        <v>0.34127696499849053</v>
      </c>
      <c r="M327">
        <v>0.29202578886272351</v>
      </c>
      <c r="N327">
        <v>0.36590255306637404</v>
      </c>
      <c r="O327">
        <v>0.26740020079484</v>
      </c>
    </row>
    <row r="328" spans="1:15">
      <c r="A328" s="19">
        <v>43382</v>
      </c>
      <c r="B328">
        <v>1044</v>
      </c>
      <c r="C328">
        <v>1049</v>
      </c>
      <c r="D328">
        <v>2869</v>
      </c>
      <c r="E328">
        <v>2858</v>
      </c>
      <c r="F328">
        <v>0.367039888033589</v>
      </c>
      <c r="G328">
        <v>0.31554840762816</v>
      </c>
      <c r="H328">
        <v>2.4444319512377601E-2</v>
      </c>
      <c r="I328">
        <v>2.10648041887017</v>
      </c>
      <c r="J328">
        <v>14.03</v>
      </c>
      <c r="L328">
        <v>0.33999272714053758</v>
      </c>
      <c r="M328">
        <v>0.29110408811578242</v>
      </c>
      <c r="N328">
        <v>0.36443704665291521</v>
      </c>
      <c r="O328">
        <v>0.26665976860340479</v>
      </c>
    </row>
    <row r="329" spans="1:15">
      <c r="A329" s="19">
        <v>43378</v>
      </c>
      <c r="B329">
        <v>1041</v>
      </c>
      <c r="C329">
        <v>1043</v>
      </c>
      <c r="D329">
        <v>2885</v>
      </c>
      <c r="E329">
        <v>2900</v>
      </c>
      <c r="F329">
        <v>0.35965517241379302</v>
      </c>
      <c r="G329">
        <v>0.31434927929648399</v>
      </c>
      <c r="H329">
        <v>2.4092326960389199E-2</v>
      </c>
      <c r="I329">
        <v>1.8805113010377601</v>
      </c>
      <c r="J329">
        <v>12.6</v>
      </c>
      <c r="L329">
        <v>0.3384416062568732</v>
      </c>
      <c r="M329">
        <v>0.29025695233609478</v>
      </c>
      <c r="N329">
        <v>0.36253393321726241</v>
      </c>
      <c r="O329">
        <v>0.26616462537570557</v>
      </c>
    </row>
    <row r="330" spans="1:15">
      <c r="A330" s="19">
        <v>43377</v>
      </c>
      <c r="B330">
        <v>1048</v>
      </c>
      <c r="C330">
        <v>1057</v>
      </c>
      <c r="D330">
        <v>2924</v>
      </c>
      <c r="E330">
        <v>2902</v>
      </c>
      <c r="F330">
        <v>0.364231564438318</v>
      </c>
      <c r="G330">
        <v>0.31328633313798399</v>
      </c>
      <c r="H330">
        <v>2.3827169448504298E-2</v>
      </c>
      <c r="I330">
        <v>2.1381151214976302</v>
      </c>
      <c r="J330">
        <v>13.99</v>
      </c>
      <c r="L330">
        <v>0.33711350258648831</v>
      </c>
      <c r="M330">
        <v>0.28945916368947966</v>
      </c>
      <c r="N330">
        <v>0.36094067203499258</v>
      </c>
      <c r="O330">
        <v>0.26563199424097539</v>
      </c>
    </row>
    <row r="331" spans="1:15">
      <c r="A331" s="19">
        <v>43376</v>
      </c>
      <c r="B331">
        <v>1055</v>
      </c>
      <c r="C331">
        <v>1038</v>
      </c>
      <c r="D331">
        <v>2948</v>
      </c>
      <c r="E331">
        <v>2897</v>
      </c>
      <c r="F331">
        <v>0.35830169140490098</v>
      </c>
      <c r="G331">
        <v>0.31215936211699402</v>
      </c>
      <c r="H331">
        <v>2.33857032765898E-2</v>
      </c>
      <c r="I331">
        <v>1.97309992101445</v>
      </c>
      <c r="J331">
        <v>12.88</v>
      </c>
      <c r="L331">
        <v>0.33554506539358381</v>
      </c>
      <c r="M331">
        <v>0.28877365884040423</v>
      </c>
      <c r="N331">
        <v>0.35893076867017359</v>
      </c>
      <c r="O331">
        <v>0.26538795556381445</v>
      </c>
    </row>
    <row r="332" spans="1:15">
      <c r="A332" s="19">
        <v>43375</v>
      </c>
      <c r="B332">
        <v>1050</v>
      </c>
      <c r="C332">
        <v>1061.5</v>
      </c>
      <c r="D332">
        <v>2947</v>
      </c>
      <c r="E332">
        <v>2941</v>
      </c>
      <c r="F332">
        <v>0.360931655899353</v>
      </c>
      <c r="G332">
        <v>0.31117464692423602</v>
      </c>
      <c r="H332">
        <v>2.2973292084187601E-2</v>
      </c>
      <c r="I332">
        <v>2.1658632464506198</v>
      </c>
      <c r="J332">
        <v>13.79</v>
      </c>
      <c r="L332">
        <v>0.3341479390084236</v>
      </c>
      <c r="M332">
        <v>0.28820135484004844</v>
      </c>
      <c r="N332">
        <v>0.35712123109261124</v>
      </c>
      <c r="O332">
        <v>0.26522806275586081</v>
      </c>
    </row>
    <row r="333" spans="1:15">
      <c r="A333" s="19">
        <v>43374</v>
      </c>
      <c r="B333">
        <v>1035.5</v>
      </c>
      <c r="C333">
        <v>1046.5</v>
      </c>
      <c r="D333">
        <v>2928</v>
      </c>
      <c r="E333">
        <v>2915</v>
      </c>
      <c r="F333">
        <v>0.35900514579759801</v>
      </c>
      <c r="G333">
        <v>0.31010500530719898</v>
      </c>
      <c r="H333">
        <v>2.2494303058456299E-2</v>
      </c>
      <c r="I333">
        <v>2.1738900006513302</v>
      </c>
      <c r="J333">
        <v>13.62</v>
      </c>
      <c r="L333">
        <v>0.33259930836565527</v>
      </c>
      <c r="M333">
        <v>0.28761070224874269</v>
      </c>
      <c r="N333">
        <v>0.35509361142411155</v>
      </c>
      <c r="O333">
        <v>0.2651163991902864</v>
      </c>
    </row>
    <row r="334" spans="1:15">
      <c r="A334" s="19">
        <v>43371</v>
      </c>
      <c r="B334">
        <v>1022</v>
      </c>
      <c r="C334">
        <v>1040</v>
      </c>
      <c r="D334">
        <v>2952</v>
      </c>
      <c r="E334">
        <v>2946</v>
      </c>
      <c r="F334">
        <v>0.35302104548540297</v>
      </c>
      <c r="G334">
        <v>0.30903343114981302</v>
      </c>
      <c r="H334">
        <v>2.2049160603866198E-2</v>
      </c>
      <c r="I334">
        <v>1.9949790890396399</v>
      </c>
      <c r="J334">
        <v>12.46</v>
      </c>
      <c r="L334">
        <v>0.33108259175367921</v>
      </c>
      <c r="M334">
        <v>0.28698427054594683</v>
      </c>
      <c r="N334">
        <v>0.3531317523575454</v>
      </c>
      <c r="O334">
        <v>0.26493510994208064</v>
      </c>
    </row>
    <row r="335" spans="1:15">
      <c r="A335" s="19">
        <v>43370</v>
      </c>
      <c r="B335">
        <v>1000.5</v>
      </c>
      <c r="C335">
        <v>1009.5</v>
      </c>
      <c r="D335">
        <v>3035</v>
      </c>
      <c r="E335">
        <v>2982</v>
      </c>
      <c r="F335">
        <v>0.338531187122736</v>
      </c>
      <c r="G335">
        <v>0.30809803513808098</v>
      </c>
      <c r="H335">
        <v>2.1647661929488301E-2</v>
      </c>
      <c r="I335">
        <v>1.4058401357053201</v>
      </c>
      <c r="J335">
        <v>8.99</v>
      </c>
      <c r="L335">
        <v>0.32974569706756929</v>
      </c>
      <c r="M335">
        <v>0.28645037320859268</v>
      </c>
      <c r="N335">
        <v>0.35139335899705759</v>
      </c>
      <c r="O335">
        <v>0.26480271127910437</v>
      </c>
    </row>
    <row r="336" spans="1:15">
      <c r="A336" s="19">
        <v>43369</v>
      </c>
      <c r="B336">
        <v>1016</v>
      </c>
      <c r="C336">
        <v>1011</v>
      </c>
      <c r="D336">
        <v>3005</v>
      </c>
      <c r="E336">
        <v>3025</v>
      </c>
      <c r="F336">
        <v>0.334214876033057</v>
      </c>
      <c r="G336">
        <v>0.30740795590044001</v>
      </c>
      <c r="H336">
        <v>2.1490886128421E-2</v>
      </c>
      <c r="I336">
        <v>1.2473622526511601</v>
      </c>
      <c r="J336">
        <v>8.02</v>
      </c>
      <c r="L336">
        <v>0.32889884202886099</v>
      </c>
      <c r="M336">
        <v>0.28591706977201903</v>
      </c>
      <c r="N336">
        <v>0.35038972815728203</v>
      </c>
      <c r="O336">
        <v>0.26442618364359799</v>
      </c>
    </row>
    <row r="337" spans="1:15">
      <c r="A337" s="19">
        <v>43368</v>
      </c>
      <c r="B337">
        <v>1020</v>
      </c>
      <c r="C337">
        <v>1025.5</v>
      </c>
      <c r="D337">
        <v>3000</v>
      </c>
      <c r="E337">
        <v>3040</v>
      </c>
      <c r="F337">
        <v>0.337335526315789</v>
      </c>
      <c r="G337">
        <v>0.30683138413213601</v>
      </c>
      <c r="H337">
        <v>2.1343527126364802E-2</v>
      </c>
      <c r="I337" s="20">
        <v>1.42919874503651</v>
      </c>
      <c r="J337">
        <v>9.0399999999999991</v>
      </c>
      <c r="L337">
        <v>0.32817491125850079</v>
      </c>
      <c r="M337">
        <v>0.28548785700577123</v>
      </c>
      <c r="N337">
        <v>0.34951843838486563</v>
      </c>
      <c r="O337">
        <v>0.26414432987940639</v>
      </c>
    </row>
    <row r="338" spans="1:15">
      <c r="A338" s="19">
        <v>43364</v>
      </c>
      <c r="B338">
        <v>1003</v>
      </c>
      <c r="C338">
        <v>1014</v>
      </c>
      <c r="D338">
        <v>2972</v>
      </c>
      <c r="E338">
        <v>2956</v>
      </c>
      <c r="F338">
        <v>0.343031123139377</v>
      </c>
      <c r="G338">
        <v>0.30625788954583499</v>
      </c>
      <c r="H338">
        <v>2.1092570644374399E-2</v>
      </c>
      <c r="I338">
        <v>1.74342114166866</v>
      </c>
      <c r="J338">
        <v>10.72</v>
      </c>
      <c r="L338">
        <v>0.32735046019020941</v>
      </c>
      <c r="M338">
        <v>0.28516531890146057</v>
      </c>
      <c r="N338">
        <v>0.34844303083458378</v>
      </c>
      <c r="O338">
        <v>0.26407274825708621</v>
      </c>
    </row>
    <row r="339" spans="1:15">
      <c r="A339" s="19">
        <v>43363</v>
      </c>
      <c r="B339">
        <v>997</v>
      </c>
      <c r="C339">
        <v>995.3</v>
      </c>
      <c r="D339">
        <v>2994</v>
      </c>
      <c r="E339">
        <v>2948</v>
      </c>
      <c r="F339">
        <v>0.33761872455902298</v>
      </c>
      <c r="G339">
        <v>0.305559579833801</v>
      </c>
      <c r="H339">
        <v>2.0727359254269301E-2</v>
      </c>
      <c r="I339">
        <v>1.5467066659066999</v>
      </c>
      <c r="J339">
        <v>9.5</v>
      </c>
      <c r="L339">
        <v>0.32628693908807027</v>
      </c>
      <c r="M339">
        <v>0.28483222057953173</v>
      </c>
      <c r="N339">
        <v>0.3470142983423396</v>
      </c>
      <c r="O339">
        <v>0.2641048613252624</v>
      </c>
    </row>
    <row r="340" spans="1:15">
      <c r="A340" s="19">
        <v>43362</v>
      </c>
      <c r="B340">
        <v>990</v>
      </c>
      <c r="C340">
        <v>997.4</v>
      </c>
      <c r="D340">
        <v>2940</v>
      </c>
      <c r="E340">
        <v>2975</v>
      </c>
      <c r="F340">
        <v>0.33526050420168002</v>
      </c>
      <c r="G340">
        <v>0.30490736739250002</v>
      </c>
      <c r="H340">
        <v>2.0476397989796401E-2</v>
      </c>
      <c r="I340">
        <v>1.48234747265148</v>
      </c>
      <c r="J340">
        <v>9.0500000000000007</v>
      </c>
      <c r="L340">
        <v>0.32538376538229641</v>
      </c>
      <c r="M340">
        <v>0.28443096940270363</v>
      </c>
      <c r="N340">
        <v>0.3458601633720928</v>
      </c>
      <c r="O340">
        <v>0.26395457141290724</v>
      </c>
    </row>
    <row r="341" spans="1:15">
      <c r="A341" s="19">
        <v>43361</v>
      </c>
      <c r="B341">
        <v>953</v>
      </c>
      <c r="C341">
        <v>976.7</v>
      </c>
      <c r="D341">
        <v>2839</v>
      </c>
      <c r="E341">
        <v>2930</v>
      </c>
      <c r="F341">
        <v>0.33334470989761</v>
      </c>
      <c r="G341">
        <v>0.30429512207331899</v>
      </c>
      <c r="H341">
        <v>2.0244856711083999E-2</v>
      </c>
      <c r="I341">
        <v>1.43491199956908</v>
      </c>
      <c r="J341">
        <v>8.7100000000000009</v>
      </c>
      <c r="L341">
        <v>0.32453997878440299</v>
      </c>
      <c r="M341">
        <v>0.28405026536223499</v>
      </c>
      <c r="N341">
        <v>0.344784835495487</v>
      </c>
      <c r="O341">
        <v>0.26380540865115099</v>
      </c>
    </row>
    <row r="342" spans="1:15">
      <c r="A342" s="19">
        <v>43357</v>
      </c>
      <c r="B342">
        <v>947.9</v>
      </c>
      <c r="C342">
        <v>956.8</v>
      </c>
      <c r="D342">
        <v>2837</v>
      </c>
      <c r="E342">
        <v>2845</v>
      </c>
      <c r="F342">
        <v>0.33630931458699398</v>
      </c>
      <c r="G342">
        <v>0.30364775278549999</v>
      </c>
      <c r="H342">
        <v>2.0081211091612001E-2</v>
      </c>
      <c r="I342">
        <v>1.6264737048223701</v>
      </c>
      <c r="J342">
        <v>9.7100000000000009</v>
      </c>
      <c r="L342">
        <v>0.32372896387711197</v>
      </c>
      <c r="M342">
        <v>0.28356654169388801</v>
      </c>
      <c r="N342">
        <v>0.34381017496872401</v>
      </c>
      <c r="O342">
        <v>0.26348533060227597</v>
      </c>
    </row>
    <row r="343" spans="1:15">
      <c r="A343" s="19">
        <v>43356</v>
      </c>
      <c r="B343">
        <v>920</v>
      </c>
      <c r="C343">
        <v>941.7</v>
      </c>
      <c r="D343">
        <v>2767</v>
      </c>
      <c r="E343">
        <v>2818</v>
      </c>
      <c r="F343">
        <v>0.33417317246273898</v>
      </c>
      <c r="G343">
        <v>0.302928021269875</v>
      </c>
      <c r="H343">
        <v>1.9863859740466699E-2</v>
      </c>
      <c r="I343">
        <v>1.57296475111587</v>
      </c>
      <c r="J343">
        <v>9.35</v>
      </c>
      <c r="L343">
        <v>0.32279188101034173</v>
      </c>
      <c r="M343">
        <v>0.28306416152940828</v>
      </c>
      <c r="N343">
        <v>0.3426557407508084</v>
      </c>
      <c r="O343">
        <v>0.2632003017889416</v>
      </c>
    </row>
    <row r="344" spans="1:15">
      <c r="A344" s="19">
        <v>43355</v>
      </c>
      <c r="B344">
        <v>918</v>
      </c>
      <c r="C344">
        <v>916</v>
      </c>
      <c r="D344">
        <v>2782</v>
      </c>
      <c r="E344">
        <v>2769</v>
      </c>
      <c r="F344">
        <v>0.33080534488985103</v>
      </c>
      <c r="G344">
        <v>0.30217691939119101</v>
      </c>
      <c r="H344">
        <v>1.97328086862338E-2</v>
      </c>
      <c r="I344">
        <v>1.45080337796169</v>
      </c>
      <c r="J344">
        <v>8.65</v>
      </c>
      <c r="L344">
        <v>0.32190972807742479</v>
      </c>
      <c r="M344">
        <v>0.28244411070495723</v>
      </c>
      <c r="N344">
        <v>0.34164253676365863</v>
      </c>
      <c r="O344">
        <v>0.26271130201872339</v>
      </c>
    </row>
    <row r="345" spans="1:15">
      <c r="A345" s="19">
        <v>43354</v>
      </c>
      <c r="B345">
        <v>914.5</v>
      </c>
      <c r="C345">
        <v>912.6</v>
      </c>
      <c r="D345">
        <v>2754</v>
      </c>
      <c r="E345">
        <v>2782</v>
      </c>
      <c r="F345">
        <v>0.32803738317756997</v>
      </c>
      <c r="G345">
        <v>0.30147590823528297</v>
      </c>
      <c r="H345">
        <v>1.9636977332537501E-2</v>
      </c>
      <c r="I345">
        <v>1.3526254317295301</v>
      </c>
      <c r="J345">
        <v>8.1</v>
      </c>
      <c r="L345">
        <v>0.32111288556782047</v>
      </c>
      <c r="M345">
        <v>0.28183893090274548</v>
      </c>
      <c r="N345">
        <v>0.34074986290035797</v>
      </c>
      <c r="O345">
        <v>0.26220195357020798</v>
      </c>
    </row>
    <row r="346" spans="1:15">
      <c r="A346" s="19">
        <v>43353</v>
      </c>
      <c r="B346">
        <v>905.2</v>
      </c>
      <c r="C346">
        <v>906.5</v>
      </c>
      <c r="D346">
        <v>2697</v>
      </c>
      <c r="E346">
        <v>2742</v>
      </c>
      <c r="F346">
        <v>0.33059810357403302</v>
      </c>
      <c r="G346">
        <v>0.30078277249003299</v>
      </c>
      <c r="H346">
        <v>1.9604637544210098E-2</v>
      </c>
      <c r="I346">
        <v>1.52083051863435</v>
      </c>
      <c r="J346">
        <v>9.02</v>
      </c>
      <c r="L346">
        <v>0.32038741003424309</v>
      </c>
      <c r="M346">
        <v>0.28117813494582289</v>
      </c>
      <c r="N346">
        <v>0.33999204757845319</v>
      </c>
      <c r="O346">
        <v>0.26157349740161279</v>
      </c>
    </row>
    <row r="347" spans="1:15">
      <c r="A347" s="19">
        <v>43350</v>
      </c>
      <c r="B347">
        <v>911.3</v>
      </c>
      <c r="C347">
        <v>912.5</v>
      </c>
      <c r="D347">
        <v>2673</v>
      </c>
      <c r="E347">
        <v>2671</v>
      </c>
      <c r="F347">
        <v>0.34163234743541698</v>
      </c>
      <c r="G347">
        <v>0.30010027513523302</v>
      </c>
      <c r="H347">
        <v>1.9445139221772299E-2</v>
      </c>
      <c r="I347">
        <v>2.1358588296288201</v>
      </c>
      <c r="J347">
        <v>12.16</v>
      </c>
      <c r="L347">
        <v>0.31954541435700534</v>
      </c>
      <c r="M347">
        <v>0.2806551359134607</v>
      </c>
      <c r="N347">
        <v>0.33899055357877761</v>
      </c>
      <c r="O347">
        <v>0.26120999669168843</v>
      </c>
    </row>
    <row r="348" spans="1:15">
      <c r="A348" s="19">
        <v>43349</v>
      </c>
      <c r="B348">
        <v>902.5</v>
      </c>
      <c r="C348">
        <v>903.6</v>
      </c>
      <c r="D348">
        <v>2701</v>
      </c>
      <c r="E348">
        <v>2694</v>
      </c>
      <c r="F348">
        <v>0.33541202672605702</v>
      </c>
      <c r="G348">
        <v>0.29927416031243997</v>
      </c>
      <c r="H348">
        <v>1.8973544215289798E-2</v>
      </c>
      <c r="I348">
        <v>1.9046450153733401</v>
      </c>
      <c r="J348">
        <v>10.77</v>
      </c>
      <c r="L348">
        <v>0.31824770452772977</v>
      </c>
      <c r="M348">
        <v>0.28030061609715018</v>
      </c>
      <c r="N348">
        <v>0.33722124874301956</v>
      </c>
      <c r="O348">
        <v>0.26132707188186038</v>
      </c>
    </row>
    <row r="349" spans="1:15">
      <c r="A349" s="19">
        <v>43348</v>
      </c>
      <c r="B349">
        <v>911</v>
      </c>
      <c r="C349">
        <v>901.3</v>
      </c>
      <c r="D349">
        <v>2739</v>
      </c>
      <c r="E349">
        <v>2721</v>
      </c>
      <c r="F349">
        <v>0.33123851525174502</v>
      </c>
      <c r="G349">
        <v>0.29860461433517699</v>
      </c>
      <c r="H349">
        <v>1.8568172992538701E-2</v>
      </c>
      <c r="I349">
        <v>1.75751814299022</v>
      </c>
      <c r="J349">
        <v>9.85</v>
      </c>
      <c r="L349">
        <v>0.3171727873277157</v>
      </c>
      <c r="M349">
        <v>0.28003644134263828</v>
      </c>
      <c r="N349">
        <v>0.33574096032025441</v>
      </c>
      <c r="O349">
        <v>0.26146826835009956</v>
      </c>
    </row>
    <row r="350" spans="1:15">
      <c r="A350" s="19">
        <v>43347</v>
      </c>
      <c r="B350">
        <v>915.4</v>
      </c>
      <c r="C350">
        <v>912.5</v>
      </c>
      <c r="D350">
        <v>2768</v>
      </c>
      <c r="E350">
        <v>2746</v>
      </c>
      <c r="F350">
        <v>0.33230152949745001</v>
      </c>
      <c r="G350">
        <v>0.29809236309356901</v>
      </c>
      <c r="H350">
        <v>1.8186842345771101E-2</v>
      </c>
      <c r="I350">
        <v>1.88098438164749</v>
      </c>
      <c r="J350">
        <v>10.29</v>
      </c>
      <c r="L350">
        <v>0.31627920543934013</v>
      </c>
      <c r="M350">
        <v>0.2799055207477979</v>
      </c>
      <c r="N350">
        <v>0.33446604778511124</v>
      </c>
      <c r="O350">
        <v>0.26171867840202678</v>
      </c>
    </row>
    <row r="351" spans="1:15">
      <c r="A351" s="19">
        <v>43346</v>
      </c>
      <c r="B351">
        <v>912.9</v>
      </c>
      <c r="C351">
        <v>914.4</v>
      </c>
      <c r="D351">
        <v>2814</v>
      </c>
      <c r="E351">
        <v>2762</v>
      </c>
      <c r="F351">
        <v>0.33106444605358398</v>
      </c>
      <c r="G351">
        <v>0.297483898255826</v>
      </c>
      <c r="H351">
        <v>1.7791235614436102E-2</v>
      </c>
      <c r="I351">
        <v>1.8874769872931301</v>
      </c>
      <c r="J351">
        <v>10.14</v>
      </c>
      <c r="L351">
        <v>0.31527513387026207</v>
      </c>
      <c r="M351">
        <v>0.27969266264138992</v>
      </c>
      <c r="N351">
        <v>0.3330663694846982</v>
      </c>
      <c r="O351">
        <v>0.26190142702695379</v>
      </c>
    </row>
    <row r="352" spans="1:15">
      <c r="A352" s="19">
        <v>43343</v>
      </c>
      <c r="B352">
        <v>910.1</v>
      </c>
      <c r="C352">
        <v>911.6</v>
      </c>
      <c r="D352">
        <v>2809</v>
      </c>
      <c r="E352">
        <v>2817</v>
      </c>
      <c r="F352">
        <v>0.323606673766418</v>
      </c>
      <c r="G352">
        <v>0.296891060655328</v>
      </c>
      <c r="H352">
        <v>1.73988567742384E-2</v>
      </c>
      <c r="I352">
        <v>1.53548094899235</v>
      </c>
      <c r="J352">
        <v>8.26</v>
      </c>
      <c r="L352">
        <v>0.31428991742956641</v>
      </c>
      <c r="M352">
        <v>0.27949220388108958</v>
      </c>
      <c r="N352">
        <v>0.33168877420380483</v>
      </c>
      <c r="O352">
        <v>0.26209334710685117</v>
      </c>
    </row>
    <row r="353" spans="1:15">
      <c r="A353" s="19">
        <v>43342</v>
      </c>
      <c r="B353">
        <v>931.1</v>
      </c>
      <c r="C353">
        <v>914.5</v>
      </c>
      <c r="D353">
        <v>2839</v>
      </c>
      <c r="E353">
        <v>2822</v>
      </c>
      <c r="F353">
        <v>0.32406094968107702</v>
      </c>
      <c r="G353">
        <v>0.29640811328397598</v>
      </c>
      <c r="H353">
        <v>1.7151541356304801E-2</v>
      </c>
      <c r="I353">
        <v>1.6122653831887499</v>
      </c>
      <c r="J353">
        <v>8.5299999999999994</v>
      </c>
      <c r="L353">
        <v>0.31355965464028079</v>
      </c>
      <c r="M353">
        <v>0.27925657192767117</v>
      </c>
      <c r="N353">
        <v>0.33071119599658561</v>
      </c>
      <c r="O353">
        <v>0.26210503057136636</v>
      </c>
    </row>
    <row r="354" spans="1:15">
      <c r="A354" s="19">
        <v>43341</v>
      </c>
      <c r="B354">
        <v>930.9</v>
      </c>
      <c r="C354">
        <v>930.9</v>
      </c>
      <c r="D354">
        <v>2788</v>
      </c>
      <c r="E354">
        <v>2824</v>
      </c>
      <c r="F354">
        <v>0.32963881019829999</v>
      </c>
      <c r="G354">
        <v>0.29584590628605001</v>
      </c>
      <c r="H354">
        <v>1.6925478163330902E-2</v>
      </c>
      <c r="I354">
        <v>1.99657011672865</v>
      </c>
      <c r="J354">
        <v>10.25</v>
      </c>
      <c r="L354">
        <v>0.31277138444938091</v>
      </c>
      <c r="M354">
        <v>0.27892042812271911</v>
      </c>
      <c r="N354">
        <v>0.32969686261271181</v>
      </c>
      <c r="O354">
        <v>0.26199494995938821</v>
      </c>
    </row>
    <row r="355" spans="1:15">
      <c r="A355" s="19">
        <v>43340</v>
      </c>
      <c r="B355">
        <v>922.5</v>
      </c>
      <c r="C355">
        <v>925.7</v>
      </c>
      <c r="D355">
        <v>2802</v>
      </c>
      <c r="E355">
        <v>2786</v>
      </c>
      <c r="F355">
        <v>0.33226848528356001</v>
      </c>
      <c r="G355">
        <v>0.29517760387050301</v>
      </c>
      <c r="H355">
        <v>1.65636509625719E-2</v>
      </c>
      <c r="I355">
        <v>2.2392938306216301</v>
      </c>
      <c r="J355">
        <v>11.16</v>
      </c>
      <c r="L355">
        <v>0.31174125483307491</v>
      </c>
      <c r="M355">
        <v>0.27861395290793112</v>
      </c>
      <c r="N355">
        <v>0.32830490579564681</v>
      </c>
      <c r="O355">
        <v>0.26205030194535922</v>
      </c>
    </row>
    <row r="356" spans="1:15">
      <c r="A356" s="19">
        <v>43339</v>
      </c>
      <c r="B356">
        <v>916.3</v>
      </c>
      <c r="C356">
        <v>916.6</v>
      </c>
      <c r="D356">
        <v>2757</v>
      </c>
      <c r="E356">
        <v>2789</v>
      </c>
      <c r="F356">
        <v>0.32864826102545702</v>
      </c>
      <c r="G356">
        <v>0.29443440623232697</v>
      </c>
      <c r="H356">
        <v>1.6127497767995099E-2</v>
      </c>
      <c r="I356">
        <v>2.1214608295297199</v>
      </c>
      <c r="J356">
        <v>10.41</v>
      </c>
      <c r="L356">
        <v>0.31056190400032208</v>
      </c>
      <c r="M356">
        <v>0.27830690846433187</v>
      </c>
      <c r="N356">
        <v>0.32668940176831718</v>
      </c>
      <c r="O356">
        <v>0.26217941069633677</v>
      </c>
    </row>
    <row r="357" spans="1:15">
      <c r="A357" s="19">
        <v>43336</v>
      </c>
      <c r="B357">
        <v>911.7</v>
      </c>
      <c r="C357">
        <v>912.8</v>
      </c>
      <c r="D357">
        <v>2778</v>
      </c>
      <c r="E357">
        <v>2744</v>
      </c>
      <c r="F357">
        <v>0.33265306122448901</v>
      </c>
      <c r="G357">
        <v>0.29385275356776303</v>
      </c>
      <c r="H357">
        <v>1.5663035832437298E-2</v>
      </c>
      <c r="I357">
        <v>2.4771894843254501</v>
      </c>
      <c r="J357">
        <v>11.66</v>
      </c>
      <c r="L357">
        <v>0.3095157894002003</v>
      </c>
      <c r="M357">
        <v>0.27818971773532575</v>
      </c>
      <c r="N357">
        <v>0.32517882523263764</v>
      </c>
      <c r="O357">
        <v>0.26252668190288841</v>
      </c>
    </row>
    <row r="358" spans="1:15">
      <c r="A358" s="19">
        <v>43335</v>
      </c>
      <c r="B358">
        <v>913.6</v>
      </c>
      <c r="C358">
        <v>904.1</v>
      </c>
      <c r="D358">
        <v>2726</v>
      </c>
      <c r="E358">
        <v>2732</v>
      </c>
      <c r="F358">
        <v>0.330929721815519</v>
      </c>
      <c r="G358">
        <v>0.29320090369524399</v>
      </c>
      <c r="H358">
        <v>1.5039612736209599E-2</v>
      </c>
      <c r="I358">
        <v>2.5086296291019701</v>
      </c>
      <c r="J358">
        <v>11.4</v>
      </c>
      <c r="L358">
        <v>0.30824051643145356</v>
      </c>
      <c r="M358">
        <v>0.27816129095903441</v>
      </c>
      <c r="N358">
        <v>0.32328012916766319</v>
      </c>
      <c r="O358">
        <v>0.26312167822282478</v>
      </c>
    </row>
    <row r="359" spans="1:15">
      <c r="A359" s="19">
        <v>43334</v>
      </c>
      <c r="B359">
        <v>896.9</v>
      </c>
      <c r="C359">
        <v>913</v>
      </c>
      <c r="D359">
        <v>2735</v>
      </c>
      <c r="E359">
        <v>2719</v>
      </c>
      <c r="F359">
        <v>0.33578521515262899</v>
      </c>
      <c r="G359">
        <v>0.29262522398784302</v>
      </c>
      <c r="H359">
        <v>1.43970361043868E-2</v>
      </c>
      <c r="I359">
        <v>2.9978386420546199</v>
      </c>
      <c r="J359">
        <v>12.85</v>
      </c>
      <c r="L359">
        <v>0.30702226009222983</v>
      </c>
      <c r="M359">
        <v>0.27822818788345621</v>
      </c>
      <c r="N359">
        <v>0.32141929619661663</v>
      </c>
      <c r="O359">
        <v>0.26383115177906941</v>
      </c>
    </row>
    <row r="360" spans="1:15">
      <c r="A360" s="19">
        <v>43333</v>
      </c>
      <c r="B360">
        <v>897</v>
      </c>
      <c r="C360">
        <v>889.1</v>
      </c>
      <c r="D360">
        <v>2760</v>
      </c>
      <c r="E360">
        <v>2750</v>
      </c>
      <c r="F360">
        <v>0.32330909090908999</v>
      </c>
      <c r="G360">
        <v>0.29193158613564202</v>
      </c>
      <c r="H360">
        <v>1.35278866873704E-2</v>
      </c>
      <c r="I360">
        <v>2.3194683322371201</v>
      </c>
      <c r="J360">
        <v>9.7100000000000009</v>
      </c>
      <c r="L360">
        <v>0.30545947282301245</v>
      </c>
      <c r="M360">
        <v>0.27840369944827159</v>
      </c>
      <c r="N360">
        <v>0.31898735951038282</v>
      </c>
      <c r="O360">
        <v>0.26487581276090122</v>
      </c>
    </row>
    <row r="361" spans="1:15">
      <c r="A361" s="19">
        <v>43332</v>
      </c>
      <c r="B361">
        <v>903</v>
      </c>
      <c r="C361">
        <v>895.3</v>
      </c>
      <c r="D361">
        <v>2779</v>
      </c>
      <c r="E361">
        <v>2771</v>
      </c>
      <c r="F361">
        <v>0.32309635510645901</v>
      </c>
      <c r="G361">
        <v>0.291327663658842</v>
      </c>
      <c r="H361">
        <v>1.3118460729826999E-2</v>
      </c>
      <c r="I361">
        <v>2.4216782823754501</v>
      </c>
      <c r="J361">
        <v>9.83</v>
      </c>
      <c r="L361">
        <v>0.30444612438866897</v>
      </c>
      <c r="M361">
        <v>0.27820920292901502</v>
      </c>
      <c r="N361">
        <v>0.317564585118496</v>
      </c>
      <c r="O361">
        <v>0.26509074219918799</v>
      </c>
    </row>
    <row r="362" spans="1:15">
      <c r="A362" s="19">
        <v>43329</v>
      </c>
      <c r="B362">
        <v>900</v>
      </c>
      <c r="C362">
        <v>908.3</v>
      </c>
      <c r="D362">
        <v>2795</v>
      </c>
      <c r="E362">
        <v>2825</v>
      </c>
      <c r="F362">
        <v>0.32152212389380502</v>
      </c>
      <c r="G362">
        <v>0.29081560722359601</v>
      </c>
      <c r="H362">
        <v>1.2608022001991501E-2</v>
      </c>
      <c r="I362">
        <v>2.4354745467098802</v>
      </c>
      <c r="J362">
        <v>9.5500000000000007</v>
      </c>
      <c r="L362">
        <v>0.30342362922558752</v>
      </c>
      <c r="M362">
        <v>0.27820758522160449</v>
      </c>
      <c r="N362">
        <v>0.31603165122757904</v>
      </c>
      <c r="O362">
        <v>0.26559956321961298</v>
      </c>
    </row>
    <row r="363" spans="1:15">
      <c r="A363" s="19">
        <v>43328</v>
      </c>
      <c r="B363">
        <v>896</v>
      </c>
      <c r="C363">
        <v>891.9</v>
      </c>
      <c r="D363">
        <v>2800</v>
      </c>
      <c r="E363">
        <v>2804</v>
      </c>
      <c r="F363">
        <v>0.31808131241084098</v>
      </c>
      <c r="G363">
        <v>0.29031797431522399</v>
      </c>
      <c r="H363">
        <v>1.2113064115250699E-2</v>
      </c>
      <c r="I363">
        <v>2.29201611016504</v>
      </c>
      <c r="J363">
        <v>8.73</v>
      </c>
      <c r="L363">
        <v>0.3024310384304747</v>
      </c>
      <c r="M363">
        <v>0.27820491019997329</v>
      </c>
      <c r="N363">
        <v>0.3145441025457254</v>
      </c>
      <c r="O363">
        <v>0.26609184608472258</v>
      </c>
    </row>
    <row r="364" spans="1:15">
      <c r="A364" s="19">
        <v>43327</v>
      </c>
      <c r="B364">
        <v>911.9</v>
      </c>
      <c r="C364">
        <v>907.6</v>
      </c>
      <c r="D364">
        <v>2830</v>
      </c>
      <c r="E364">
        <v>2837</v>
      </c>
      <c r="F364">
        <v>0.31991540359534698</v>
      </c>
      <c r="G364">
        <v>0.28984164977062099</v>
      </c>
      <c r="H364">
        <v>1.1707565879491E-2</v>
      </c>
      <c r="I364">
        <v>2.5687452143581702</v>
      </c>
      <c r="J364">
        <v>9.4</v>
      </c>
      <c r="L364">
        <v>0.301549215650112</v>
      </c>
      <c r="M364">
        <v>0.27813408389112998</v>
      </c>
      <c r="N364">
        <v>0.31325678152960301</v>
      </c>
      <c r="O364">
        <v>0.26642651801163897</v>
      </c>
    </row>
    <row r="365" spans="1:15">
      <c r="A365" s="19">
        <v>43326</v>
      </c>
      <c r="B365">
        <v>899.9</v>
      </c>
      <c r="C365">
        <v>907.9</v>
      </c>
      <c r="D365">
        <v>2767</v>
      </c>
      <c r="E365">
        <v>2823</v>
      </c>
      <c r="F365">
        <v>0.32160821820758001</v>
      </c>
      <c r="G365">
        <v>0.28935021573921199</v>
      </c>
      <c r="H365">
        <v>1.1197326234152399E-2</v>
      </c>
      <c r="I365">
        <v>2.88086653847588</v>
      </c>
      <c r="J365">
        <v>10.029999999999999</v>
      </c>
      <c r="L365">
        <v>0.30054754197336442</v>
      </c>
      <c r="M365">
        <v>0.27815288950505956</v>
      </c>
      <c r="N365">
        <v>0.31174486820751679</v>
      </c>
      <c r="O365">
        <v>0.26695556327090719</v>
      </c>
    </row>
    <row r="366" spans="1:15">
      <c r="A366" s="19">
        <v>43325</v>
      </c>
      <c r="B366">
        <v>908</v>
      </c>
      <c r="C366">
        <v>887.5</v>
      </c>
      <c r="D366">
        <v>2827</v>
      </c>
      <c r="E366">
        <v>2766</v>
      </c>
      <c r="F366">
        <v>0.32086044830079502</v>
      </c>
      <c r="G366">
        <v>0.28882948979802597</v>
      </c>
      <c r="H366">
        <v>1.05759380119577E-2</v>
      </c>
      <c r="I366">
        <v>3.02866360095459</v>
      </c>
      <c r="J366">
        <v>9.98</v>
      </c>
      <c r="L366">
        <v>0.29940542780998369</v>
      </c>
      <c r="M366">
        <v>0.27825355178606825</v>
      </c>
      <c r="N366">
        <v>0.30998136582194136</v>
      </c>
      <c r="O366">
        <v>0.26767761377411059</v>
      </c>
    </row>
    <row r="367" spans="1:15">
      <c r="A367" s="19">
        <v>43322</v>
      </c>
      <c r="B367">
        <v>919.3</v>
      </c>
      <c r="C367">
        <v>911</v>
      </c>
      <c r="D367">
        <v>2909</v>
      </c>
      <c r="E367">
        <v>2855</v>
      </c>
      <c r="F367">
        <v>0.31908931698774001</v>
      </c>
      <c r="G367">
        <v>0.28831449634925999</v>
      </c>
      <c r="H367">
        <v>9.9239683558367802E-3</v>
      </c>
      <c r="I367">
        <v>3.1010599323787398</v>
      </c>
      <c r="J367">
        <v>9.64</v>
      </c>
      <c r="L367">
        <v>0.29823846470509674</v>
      </c>
      <c r="M367">
        <v>0.27839052799342323</v>
      </c>
      <c r="N367">
        <v>0.30816243306093355</v>
      </c>
      <c r="O367">
        <v>0.26846655963758642</v>
      </c>
    </row>
    <row r="368" spans="1:15">
      <c r="A368" s="19">
        <v>43321</v>
      </c>
      <c r="B368">
        <v>912.4</v>
      </c>
      <c r="C368">
        <v>917.7</v>
      </c>
      <c r="D368">
        <v>2912</v>
      </c>
      <c r="E368">
        <v>2933</v>
      </c>
      <c r="F368">
        <v>0.31288782816229099</v>
      </c>
      <c r="G368">
        <v>0.287781811203217</v>
      </c>
      <c r="H368">
        <v>9.3110861166377408E-3</v>
      </c>
      <c r="I368">
        <v>2.6963575080905402</v>
      </c>
      <c r="J368">
        <v>8.02</v>
      </c>
      <c r="L368">
        <v>0.29709289731985472</v>
      </c>
      <c r="M368">
        <v>0.27847072508657927</v>
      </c>
      <c r="N368">
        <v>0.3064039834364925</v>
      </c>
      <c r="O368">
        <v>0.26915963896994149</v>
      </c>
    </row>
    <row r="369" spans="1:15">
      <c r="A369" s="19">
        <v>43320</v>
      </c>
      <c r="B369">
        <v>916.1</v>
      </c>
      <c r="C369">
        <v>918.8</v>
      </c>
      <c r="D369">
        <v>2890</v>
      </c>
      <c r="E369">
        <v>2911</v>
      </c>
      <c r="F369">
        <v>0.31563036757128099</v>
      </c>
      <c r="G369">
        <v>0.28727641138045401</v>
      </c>
      <c r="H369">
        <v>8.9566129877016194E-3</v>
      </c>
      <c r="I369">
        <v>3.1657007207702499</v>
      </c>
      <c r="J369">
        <v>8.98</v>
      </c>
      <c r="L369">
        <v>0.29623302436815563</v>
      </c>
      <c r="M369">
        <v>0.27831979839275239</v>
      </c>
      <c r="N369">
        <v>0.30518963735585725</v>
      </c>
      <c r="O369">
        <v>0.26936318540505078</v>
      </c>
    </row>
    <row r="370" spans="1:15">
      <c r="A370" s="19">
        <v>43319</v>
      </c>
      <c r="B370">
        <v>897.4</v>
      </c>
      <c r="C370">
        <v>910.2</v>
      </c>
      <c r="D370">
        <v>2898</v>
      </c>
      <c r="E370">
        <v>2889</v>
      </c>
      <c r="F370">
        <v>0.31505711318795399</v>
      </c>
      <c r="G370">
        <v>0.28668646801796499</v>
      </c>
      <c r="H370">
        <v>8.5159212273959693E-3</v>
      </c>
      <c r="I370">
        <v>3.3314828087793802</v>
      </c>
      <c r="J370">
        <v>9</v>
      </c>
      <c r="L370">
        <v>0.29520238924536096</v>
      </c>
      <c r="M370">
        <v>0.27817054679056902</v>
      </c>
      <c r="N370">
        <v>0.30371831047275694</v>
      </c>
      <c r="O370">
        <v>0.26965462556317304</v>
      </c>
    </row>
    <row r="371" spans="1:15">
      <c r="A371" s="19">
        <v>43318</v>
      </c>
      <c r="B371">
        <v>903.6</v>
      </c>
      <c r="C371">
        <v>897.8</v>
      </c>
      <c r="D371">
        <v>2936</v>
      </c>
      <c r="E371">
        <v>2901</v>
      </c>
      <c r="F371">
        <v>0.30947948983109203</v>
      </c>
      <c r="G371">
        <v>0.28606331811087699</v>
      </c>
      <c r="H371">
        <v>8.1177554929845498E-3</v>
      </c>
      <c r="I371">
        <v>2.8845623325871199</v>
      </c>
      <c r="J371">
        <v>7.57</v>
      </c>
      <c r="L371">
        <v>0.29418107360386153</v>
      </c>
      <c r="M371">
        <v>0.27794556261789244</v>
      </c>
      <c r="N371">
        <v>0.30229882909684608</v>
      </c>
      <c r="O371">
        <v>0.26982780712490789</v>
      </c>
    </row>
    <row r="372" spans="1:15">
      <c r="A372" s="19">
        <v>43315</v>
      </c>
      <c r="B372">
        <v>901.1</v>
      </c>
      <c r="C372">
        <v>903.8</v>
      </c>
      <c r="D372">
        <v>3000</v>
      </c>
      <c r="E372">
        <v>2976</v>
      </c>
      <c r="F372">
        <v>0.30369623655913902</v>
      </c>
      <c r="G372">
        <v>0.28552974754943</v>
      </c>
      <c r="H372">
        <v>7.8725607472831197E-3</v>
      </c>
      <c r="I372">
        <v>2.3075705088689098</v>
      </c>
      <c r="J372">
        <v>5.98</v>
      </c>
      <c r="L372">
        <v>0.2934023082967131</v>
      </c>
      <c r="M372">
        <v>0.2776571868021469</v>
      </c>
      <c r="N372">
        <v>0.30127486904399625</v>
      </c>
      <c r="O372">
        <v>0.26978462605486375</v>
      </c>
    </row>
    <row r="373" spans="1:15">
      <c r="A373" s="19">
        <v>43314</v>
      </c>
      <c r="B373">
        <v>873.9</v>
      </c>
      <c r="C373">
        <v>894.6</v>
      </c>
      <c r="D373">
        <v>3025</v>
      </c>
      <c r="E373">
        <v>2990</v>
      </c>
      <c r="F373">
        <v>0.29919732441471503</v>
      </c>
      <c r="G373">
        <v>0.285056056380736</v>
      </c>
      <c r="H373">
        <v>7.8339624599309092E-3</v>
      </c>
      <c r="I373">
        <v>1.8051232829246999</v>
      </c>
      <c r="J373">
        <v>4.7300000000000004</v>
      </c>
      <c r="L373">
        <v>0.2928900188406669</v>
      </c>
      <c r="M373">
        <v>0.2772220939208051</v>
      </c>
      <c r="N373">
        <v>0.3007239813005978</v>
      </c>
      <c r="O373">
        <v>0.2693881314608742</v>
      </c>
    </row>
    <row r="374" spans="1:15">
      <c r="A374" s="19">
        <v>43313</v>
      </c>
      <c r="B374">
        <v>858.5</v>
      </c>
      <c r="C374">
        <v>880.2</v>
      </c>
      <c r="D374">
        <v>3040</v>
      </c>
      <c r="E374">
        <v>3030</v>
      </c>
      <c r="F374">
        <v>0.29049504950494998</v>
      </c>
      <c r="G374">
        <v>0.28469244932960802</v>
      </c>
      <c r="H374">
        <v>7.8019731331334602E-3</v>
      </c>
      <c r="I374">
        <v>0.74373495990388805</v>
      </c>
      <c r="J374">
        <v>2</v>
      </c>
      <c r="L374">
        <v>0.29249442246274149</v>
      </c>
      <c r="M374">
        <v>0.27689047619647456</v>
      </c>
      <c r="N374">
        <v>0.30029639559587495</v>
      </c>
      <c r="O374">
        <v>0.26908850306334109</v>
      </c>
    </row>
    <row r="375" spans="1:15">
      <c r="A375" s="19">
        <v>43312</v>
      </c>
      <c r="B375">
        <v>860</v>
      </c>
      <c r="C375">
        <v>850.8</v>
      </c>
      <c r="D375">
        <v>3060</v>
      </c>
      <c r="E375">
        <v>3025</v>
      </c>
      <c r="F375">
        <v>0.28125619834710702</v>
      </c>
      <c r="G375">
        <v>0.284468966611095</v>
      </c>
      <c r="H375">
        <v>7.8723006759108902E-3</v>
      </c>
      <c r="I375">
        <v>-0.40811046176361698</v>
      </c>
      <c r="J375">
        <v>-1.1399999999999999</v>
      </c>
      <c r="L375">
        <v>0.29234126728700588</v>
      </c>
      <c r="M375">
        <v>0.27659666593518412</v>
      </c>
      <c r="N375">
        <v>0.30021356796291676</v>
      </c>
      <c r="O375">
        <v>0.26872436525927323</v>
      </c>
    </row>
    <row r="376" spans="1:15">
      <c r="A376" s="19">
        <v>43311</v>
      </c>
      <c r="B376">
        <v>863</v>
      </c>
      <c r="C376">
        <v>866.8</v>
      </c>
      <c r="D376">
        <v>3080</v>
      </c>
      <c r="E376">
        <v>3095</v>
      </c>
      <c r="F376">
        <v>0.28006462035541102</v>
      </c>
      <c r="G376">
        <v>0.28436040645781602</v>
      </c>
      <c r="H376">
        <v>7.9713730229761699E-3</v>
      </c>
      <c r="I376">
        <v>-0.53890165345705598</v>
      </c>
      <c r="J376">
        <v>-1.53</v>
      </c>
      <c r="L376">
        <v>0.2923317794807922</v>
      </c>
      <c r="M376">
        <v>0.27638903343483984</v>
      </c>
      <c r="N376">
        <v>0.30030315250376838</v>
      </c>
      <c r="O376">
        <v>0.26841766041186366</v>
      </c>
    </row>
    <row r="377" spans="1:15">
      <c r="A377" s="19">
        <v>43308</v>
      </c>
      <c r="B377">
        <v>864.3</v>
      </c>
      <c r="C377">
        <v>867.9</v>
      </c>
      <c r="D377">
        <v>3030</v>
      </c>
      <c r="E377">
        <v>3090</v>
      </c>
      <c r="F377">
        <v>0.280873786407767</v>
      </c>
      <c r="G377">
        <v>0.284244468781155</v>
      </c>
      <c r="H377">
        <v>8.0952794338478105E-3</v>
      </c>
      <c r="I377">
        <v>-0.41637628459061699</v>
      </c>
      <c r="J377">
        <v>-1.2</v>
      </c>
      <c r="L377">
        <v>0.2923397482150028</v>
      </c>
      <c r="M377">
        <v>0.2761491893473072</v>
      </c>
      <c r="N377">
        <v>0.30043502764885061</v>
      </c>
      <c r="O377">
        <v>0.2680539099134594</v>
      </c>
    </row>
    <row r="378" spans="1:15">
      <c r="A378" s="19">
        <v>43307</v>
      </c>
      <c r="B378">
        <v>860.1</v>
      </c>
      <c r="C378">
        <v>864.8</v>
      </c>
      <c r="D378">
        <v>2975</v>
      </c>
      <c r="E378">
        <v>3010</v>
      </c>
      <c r="F378">
        <v>0.28730897009966699</v>
      </c>
      <c r="G378">
        <v>0.28403143898537297</v>
      </c>
      <c r="H378">
        <v>8.38617350257519E-3</v>
      </c>
      <c r="I378">
        <v>0.39082557894701497</v>
      </c>
      <c r="J378">
        <v>1.1399999999999999</v>
      </c>
      <c r="L378">
        <v>0.29241761248794818</v>
      </c>
      <c r="M378">
        <v>0.27564526548279777</v>
      </c>
      <c r="N378">
        <v>0.30080378599052338</v>
      </c>
      <c r="O378">
        <v>0.26725909198022257</v>
      </c>
    </row>
    <row r="379" spans="1:15">
      <c r="A379" s="19">
        <v>43306</v>
      </c>
      <c r="B379">
        <v>846.3</v>
      </c>
      <c r="C379">
        <v>853.2</v>
      </c>
      <c r="D379">
        <v>2933</v>
      </c>
      <c r="E379">
        <v>2929</v>
      </c>
      <c r="F379">
        <v>0.29129395698190502</v>
      </c>
      <c r="G379">
        <v>0.28372304765117201</v>
      </c>
      <c r="H379">
        <v>8.6801018162021293E-3</v>
      </c>
      <c r="I379">
        <v>0.87221434621899496</v>
      </c>
      <c r="J379">
        <v>2.6</v>
      </c>
      <c r="L379">
        <v>0.29240314946737411</v>
      </c>
      <c r="M379">
        <v>0.27504294583496991</v>
      </c>
      <c r="N379">
        <v>0.30108325128357627</v>
      </c>
      <c r="O379">
        <v>0.26636284401876775</v>
      </c>
    </row>
    <row r="380" spans="1:15">
      <c r="A380" s="19">
        <v>43305</v>
      </c>
      <c r="B380">
        <v>841.3</v>
      </c>
      <c r="C380">
        <v>843.3</v>
      </c>
      <c r="D380">
        <v>2958</v>
      </c>
      <c r="E380">
        <v>2928</v>
      </c>
      <c r="F380">
        <v>0.28801229508196702</v>
      </c>
      <c r="G380">
        <v>0.28332732982841202</v>
      </c>
      <c r="H380">
        <v>8.9966733893579506E-3</v>
      </c>
      <c r="I380">
        <v>0.52074417407403395</v>
      </c>
      <c r="J380">
        <v>1.63</v>
      </c>
      <c r="L380">
        <v>0.29232400321776997</v>
      </c>
      <c r="M380">
        <v>0.27433065643905408</v>
      </c>
      <c r="N380">
        <v>0.30132067660712791</v>
      </c>
      <c r="O380">
        <v>0.26533398304969613</v>
      </c>
    </row>
    <row r="381" spans="1:15">
      <c r="A381" s="19">
        <v>43304</v>
      </c>
      <c r="B381">
        <v>843.4</v>
      </c>
      <c r="C381">
        <v>845.2</v>
      </c>
      <c r="D381">
        <v>2917</v>
      </c>
      <c r="E381">
        <v>2930</v>
      </c>
      <c r="F381">
        <v>0.28846416382252499</v>
      </c>
      <c r="G381">
        <v>0.28304163059711801</v>
      </c>
      <c r="H381">
        <v>9.1816844798765507E-3</v>
      </c>
      <c r="I381">
        <v>0.59058152534994002</v>
      </c>
      <c r="J381">
        <v>1.88</v>
      </c>
      <c r="L381">
        <v>0.29222331507699456</v>
      </c>
      <c r="M381">
        <v>0.27385994611724146</v>
      </c>
      <c r="N381">
        <v>0.30140499955687111</v>
      </c>
      <c r="O381">
        <v>0.26467826163736491</v>
      </c>
    </row>
    <row r="382" spans="1:15">
      <c r="A382" s="19">
        <v>43301</v>
      </c>
      <c r="B382">
        <v>872.8</v>
      </c>
      <c r="C382">
        <v>853.7</v>
      </c>
      <c r="D382">
        <v>2925</v>
      </c>
      <c r="E382">
        <v>2920</v>
      </c>
      <c r="F382">
        <v>0.29236301369862999</v>
      </c>
      <c r="G382">
        <v>0.28282438157423101</v>
      </c>
      <c r="H382">
        <v>9.2433672439416401E-3</v>
      </c>
      <c r="I382">
        <v>1.0319434328058901</v>
      </c>
      <c r="J382">
        <v>3.26</v>
      </c>
      <c r="L382">
        <v>0.29206774881817266</v>
      </c>
      <c r="M382">
        <v>0.27358101433028936</v>
      </c>
      <c r="N382">
        <v>0.3013111160621143</v>
      </c>
      <c r="O382">
        <v>0.26433764708634772</v>
      </c>
    </row>
    <row r="383" spans="1:15">
      <c r="A383" s="19">
        <v>43300</v>
      </c>
      <c r="B383">
        <v>870.8</v>
      </c>
      <c r="C383">
        <v>873.3</v>
      </c>
      <c r="D383">
        <v>2892</v>
      </c>
      <c r="E383">
        <v>2922</v>
      </c>
      <c r="F383">
        <v>0.29887063655030799</v>
      </c>
      <c r="G383">
        <v>0.282560891782485</v>
      </c>
      <c r="H383">
        <v>9.2493654932968902E-3</v>
      </c>
      <c r="I383">
        <v>1.76333660721291</v>
      </c>
      <c r="J383">
        <v>5.46</v>
      </c>
      <c r="L383">
        <v>0.29181025727578191</v>
      </c>
      <c r="M383">
        <v>0.27331152628918809</v>
      </c>
      <c r="N383">
        <v>0.30105962276907877</v>
      </c>
      <c r="O383">
        <v>0.26406216079589123</v>
      </c>
    </row>
    <row r="384" spans="1:15">
      <c r="A384" s="19">
        <v>43299</v>
      </c>
      <c r="B384">
        <v>864.2</v>
      </c>
      <c r="C384">
        <v>865.2</v>
      </c>
      <c r="D384">
        <v>2888</v>
      </c>
      <c r="E384">
        <v>2889</v>
      </c>
      <c r="F384">
        <v>0.29948078920041499</v>
      </c>
      <c r="G384">
        <v>0.28225528090566099</v>
      </c>
      <c r="H384">
        <v>9.0825846444995799E-3</v>
      </c>
      <c r="I384">
        <v>1.8965425557784601</v>
      </c>
      <c r="J384">
        <v>5.75</v>
      </c>
      <c r="L384">
        <v>0.29133786555016056</v>
      </c>
      <c r="M384">
        <v>0.27317269626116142</v>
      </c>
      <c r="N384">
        <v>0.30042045019466013</v>
      </c>
      <c r="O384">
        <v>0.26409011161666185</v>
      </c>
    </row>
    <row r="385" spans="1:15">
      <c r="A385" s="19">
        <v>43298</v>
      </c>
      <c r="B385">
        <v>853.8</v>
      </c>
      <c r="C385">
        <v>857.2</v>
      </c>
      <c r="D385">
        <v>2838</v>
      </c>
      <c r="E385">
        <v>2885</v>
      </c>
      <c r="F385">
        <v>0.29712305025996499</v>
      </c>
      <c r="G385">
        <v>0.28194472052708103</v>
      </c>
      <c r="H385">
        <v>8.8843320782731692E-3</v>
      </c>
      <c r="I385">
        <v>1.7084379106001999</v>
      </c>
      <c r="J385">
        <v>5.1100000000000003</v>
      </c>
      <c r="L385">
        <v>0.29082905260535419</v>
      </c>
      <c r="M385">
        <v>0.27306038844880787</v>
      </c>
      <c r="N385">
        <v>0.29971338468362735</v>
      </c>
      <c r="O385">
        <v>0.26417605637053471</v>
      </c>
    </row>
    <row r="386" spans="1:15">
      <c r="A386" s="19">
        <v>43294</v>
      </c>
      <c r="B386">
        <v>850</v>
      </c>
      <c r="C386">
        <v>849.9</v>
      </c>
      <c r="D386">
        <v>2817</v>
      </c>
      <c r="E386">
        <v>2830</v>
      </c>
      <c r="F386">
        <v>0.30031802120141299</v>
      </c>
      <c r="G386">
        <v>0.281664979820964</v>
      </c>
      <c r="H386">
        <v>8.7309920948011894E-3</v>
      </c>
      <c r="I386">
        <v>2.13641716518736</v>
      </c>
      <c r="J386">
        <v>6.21</v>
      </c>
      <c r="L386">
        <v>0.29039597191576522</v>
      </c>
      <c r="M386">
        <v>0.27293398772616279</v>
      </c>
      <c r="N386">
        <v>0.29912696401056638</v>
      </c>
      <c r="O386">
        <v>0.26420299563136163</v>
      </c>
    </row>
    <row r="387" spans="1:15">
      <c r="A387" s="19">
        <v>43293</v>
      </c>
      <c r="B387">
        <v>839</v>
      </c>
      <c r="C387">
        <v>840.4</v>
      </c>
      <c r="D387">
        <v>2802</v>
      </c>
      <c r="E387">
        <v>2794</v>
      </c>
      <c r="F387">
        <v>0.30078740157480299</v>
      </c>
      <c r="G387">
        <v>0.281349819175856</v>
      </c>
      <c r="H387">
        <v>8.4748424784621204E-3</v>
      </c>
      <c r="I387">
        <v>2.29356267663319</v>
      </c>
      <c r="J387">
        <v>6.46</v>
      </c>
      <c r="L387">
        <v>0.28982466165431814</v>
      </c>
      <c r="M387">
        <v>0.27287497669739386</v>
      </c>
      <c r="N387">
        <v>0.29829950413278022</v>
      </c>
      <c r="O387">
        <v>0.26440013421893177</v>
      </c>
    </row>
    <row r="388" spans="1:15">
      <c r="A388" s="19">
        <v>43292</v>
      </c>
      <c r="B388">
        <v>847</v>
      </c>
      <c r="C388">
        <v>842.3</v>
      </c>
      <c r="D388">
        <v>2786</v>
      </c>
      <c r="E388">
        <v>2788</v>
      </c>
      <c r="F388">
        <v>0.30211621233859398</v>
      </c>
      <c r="G388">
        <v>0.28104576970983802</v>
      </c>
      <c r="H388">
        <v>8.1758174938496801E-3</v>
      </c>
      <c r="I388">
        <v>2.5771664600641802</v>
      </c>
      <c r="J388">
        <v>6.97</v>
      </c>
      <c r="L388">
        <v>0.28922158720368768</v>
      </c>
      <c r="M388">
        <v>0.27286995221598837</v>
      </c>
      <c r="N388">
        <v>0.29739740469753739</v>
      </c>
      <c r="O388">
        <v>0.26469413472213865</v>
      </c>
    </row>
    <row r="389" spans="1:15">
      <c r="A389" s="19">
        <v>43291</v>
      </c>
      <c r="B389">
        <v>848</v>
      </c>
      <c r="C389">
        <v>847.9</v>
      </c>
      <c r="D389">
        <v>2890</v>
      </c>
      <c r="E389">
        <v>2815</v>
      </c>
      <c r="F389">
        <v>0.30120781527530999</v>
      </c>
      <c r="G389">
        <v>0.28076526110418398</v>
      </c>
      <c r="H389">
        <v>7.8003722019355402E-3</v>
      </c>
      <c r="I389">
        <v>2.6207152225446699</v>
      </c>
      <c r="J389">
        <v>6.79</v>
      </c>
      <c r="L389">
        <v>0.28856563330611951</v>
      </c>
      <c r="M389">
        <v>0.27296488890224846</v>
      </c>
      <c r="N389">
        <v>0.29636600550805509</v>
      </c>
      <c r="O389">
        <v>0.26516451670031288</v>
      </c>
    </row>
    <row r="390" spans="1:15">
      <c r="A390" s="19">
        <v>43290</v>
      </c>
      <c r="B390">
        <v>834.6</v>
      </c>
      <c r="C390">
        <v>838.8</v>
      </c>
      <c r="D390">
        <v>2885</v>
      </c>
      <c r="E390">
        <v>2876</v>
      </c>
      <c r="F390">
        <v>0.291655076495132</v>
      </c>
      <c r="G390">
        <v>0.28045527549252802</v>
      </c>
      <c r="H390">
        <v>7.4352371212846099E-3</v>
      </c>
      <c r="I390">
        <v>1.5063138969088801</v>
      </c>
      <c r="J390">
        <v>3.84</v>
      </c>
      <c r="L390">
        <v>0.28789051261381265</v>
      </c>
      <c r="M390">
        <v>0.27302003837124339</v>
      </c>
      <c r="N390">
        <v>0.29532574973509723</v>
      </c>
      <c r="O390">
        <v>0.26558480124995881</v>
      </c>
    </row>
    <row r="391" spans="1:15">
      <c r="A391" s="19">
        <v>43287</v>
      </c>
      <c r="B391">
        <v>828.8</v>
      </c>
      <c r="C391">
        <v>835.8</v>
      </c>
      <c r="D391">
        <v>2829</v>
      </c>
      <c r="E391">
        <v>2857</v>
      </c>
      <c r="F391">
        <v>0.29254462723136099</v>
      </c>
      <c r="G391">
        <v>0.28024991594670101</v>
      </c>
      <c r="H391">
        <v>7.3350901249977698E-3</v>
      </c>
      <c r="I391">
        <v>1.67614999613433</v>
      </c>
      <c r="J391">
        <v>4.2</v>
      </c>
      <c r="L391">
        <v>0.28758500607169879</v>
      </c>
      <c r="M391">
        <v>0.27291482582170323</v>
      </c>
      <c r="N391">
        <v>0.29492009619669657</v>
      </c>
      <c r="O391">
        <v>0.26557973569670545</v>
      </c>
    </row>
    <row r="392" spans="1:15">
      <c r="A392" s="19">
        <v>43286</v>
      </c>
      <c r="B392">
        <v>832.3</v>
      </c>
      <c r="C392">
        <v>820.2</v>
      </c>
      <c r="D392">
        <v>2844</v>
      </c>
      <c r="E392">
        <v>2821</v>
      </c>
      <c r="F392">
        <v>0.290747961715703</v>
      </c>
      <c r="G392">
        <v>0.27999876872599799</v>
      </c>
      <c r="H392">
        <v>7.2315645999607497E-3</v>
      </c>
      <c r="I392">
        <v>1.4864270160516999</v>
      </c>
      <c r="J392">
        <v>3.7</v>
      </c>
      <c r="L392">
        <v>0.28723033332595876</v>
      </c>
      <c r="M392">
        <v>0.27276720412603722</v>
      </c>
      <c r="N392">
        <v>0.29446189792591948</v>
      </c>
      <c r="O392">
        <v>0.26553563952607651</v>
      </c>
    </row>
    <row r="393" spans="1:15">
      <c r="A393" s="19">
        <v>43285</v>
      </c>
      <c r="B393">
        <v>817.3</v>
      </c>
      <c r="C393">
        <v>832.7</v>
      </c>
      <c r="D393">
        <v>2811</v>
      </c>
      <c r="E393">
        <v>2846</v>
      </c>
      <c r="F393">
        <v>0.29258608573436401</v>
      </c>
      <c r="G393">
        <v>0.27980237483806197</v>
      </c>
      <c r="H393">
        <v>7.1363573578363104E-3</v>
      </c>
      <c r="I393">
        <v>1.7913495997036</v>
      </c>
      <c r="J393">
        <v>4.37</v>
      </c>
      <c r="L393">
        <v>0.28693873219589827</v>
      </c>
      <c r="M393">
        <v>0.27266601748022568</v>
      </c>
      <c r="N393">
        <v>0.29407508955373457</v>
      </c>
      <c r="O393">
        <v>0.26552966012238938</v>
      </c>
    </row>
    <row r="394" spans="1:15">
      <c r="A394" s="19">
        <v>43284</v>
      </c>
      <c r="B394">
        <v>824</v>
      </c>
      <c r="C394">
        <v>820</v>
      </c>
      <c r="D394">
        <v>2818</v>
      </c>
      <c r="E394">
        <v>2822</v>
      </c>
      <c r="F394">
        <v>0.29057406094968102</v>
      </c>
      <c r="G394">
        <v>0.27959710026937201</v>
      </c>
      <c r="H394">
        <v>6.9855165056360502E-3</v>
      </c>
      <c r="I394">
        <v>1.571388553939</v>
      </c>
      <c r="J394">
        <v>3.78</v>
      </c>
      <c r="L394">
        <v>0.28658261677500807</v>
      </c>
      <c r="M394">
        <v>0.27261158376373595</v>
      </c>
      <c r="N394">
        <v>0.29356813328064413</v>
      </c>
      <c r="O394">
        <v>0.2656260672580999</v>
      </c>
    </row>
    <row r="395" spans="1:15">
      <c r="A395" s="19">
        <v>43283</v>
      </c>
      <c r="B395">
        <v>842.3</v>
      </c>
      <c r="C395">
        <v>826.9</v>
      </c>
      <c r="D395">
        <v>2906</v>
      </c>
      <c r="E395">
        <v>2840</v>
      </c>
      <c r="F395">
        <v>0.29116197183098502</v>
      </c>
      <c r="G395">
        <v>0.27943306869331502</v>
      </c>
      <c r="H395">
        <v>6.8693067348123303E-3</v>
      </c>
      <c r="I395">
        <v>1.7074362217996299</v>
      </c>
      <c r="J395">
        <v>4.03</v>
      </c>
      <c r="L395">
        <v>0.28630237542812736</v>
      </c>
      <c r="M395">
        <v>0.27256376195850268</v>
      </c>
      <c r="N395">
        <v>0.29317168216293971</v>
      </c>
      <c r="O395">
        <v>0.26569445522369034</v>
      </c>
    </row>
    <row r="396" spans="1:15">
      <c r="A396" s="19">
        <v>43280</v>
      </c>
      <c r="B396">
        <v>830</v>
      </c>
      <c r="C396">
        <v>845.1</v>
      </c>
      <c r="D396">
        <v>2953</v>
      </c>
      <c r="E396">
        <v>2909</v>
      </c>
      <c r="F396">
        <v>0.29051220350635898</v>
      </c>
      <c r="G396">
        <v>0.27926898535414202</v>
      </c>
      <c r="H396">
        <v>6.73280529615807E-3</v>
      </c>
      <c r="I396">
        <v>1.66991583116665</v>
      </c>
      <c r="J396">
        <v>3.87</v>
      </c>
      <c r="L396">
        <v>0.28600179065030007</v>
      </c>
      <c r="M396">
        <v>0.27253618005798397</v>
      </c>
      <c r="N396">
        <v>0.29273459594645818</v>
      </c>
      <c r="O396">
        <v>0.26580337476182586</v>
      </c>
    </row>
    <row r="397" spans="1:15">
      <c r="A397" s="19">
        <v>43279</v>
      </c>
      <c r="B397">
        <v>830.9</v>
      </c>
      <c r="C397">
        <v>833.9</v>
      </c>
      <c r="D397">
        <v>2983</v>
      </c>
      <c r="E397">
        <v>2958</v>
      </c>
      <c r="F397">
        <v>0.28191345503718701</v>
      </c>
      <c r="G397">
        <v>0.27915836728038002</v>
      </c>
      <c r="H397">
        <v>6.6142838914104597E-3</v>
      </c>
      <c r="I397">
        <v>0.41653606074951699</v>
      </c>
      <c r="J397">
        <v>0.98</v>
      </c>
      <c r="L397">
        <v>0.28577265117179046</v>
      </c>
      <c r="M397">
        <v>0.27254408338896957</v>
      </c>
      <c r="N397">
        <v>0.29238693506320096</v>
      </c>
      <c r="O397">
        <v>0.26592979949755907</v>
      </c>
    </row>
    <row r="398" spans="1:15">
      <c r="A398" s="19">
        <v>43278</v>
      </c>
      <c r="B398">
        <v>834.7</v>
      </c>
      <c r="C398">
        <v>834.2</v>
      </c>
      <c r="D398">
        <v>2955</v>
      </c>
      <c r="E398">
        <v>2976</v>
      </c>
      <c r="F398">
        <v>0.28030913978494598</v>
      </c>
      <c r="G398">
        <v>0.27911789946036503</v>
      </c>
      <c r="H398">
        <v>6.6065840110481203E-3</v>
      </c>
      <c r="I398">
        <v>0.180311084001819</v>
      </c>
      <c r="J398">
        <v>0.42</v>
      </c>
      <c r="L398">
        <v>0.28572448347141316</v>
      </c>
      <c r="M398">
        <v>0.27251131544931689</v>
      </c>
      <c r="N398">
        <v>0.29233106748246129</v>
      </c>
      <c r="O398">
        <v>0.26590473143826876</v>
      </c>
    </row>
    <row r="399" spans="1:15">
      <c r="A399" s="19">
        <v>43277</v>
      </c>
      <c r="B399">
        <v>823</v>
      </c>
      <c r="C399">
        <v>828</v>
      </c>
      <c r="D399">
        <v>2928</v>
      </c>
      <c r="E399">
        <v>2958</v>
      </c>
      <c r="F399">
        <v>0.279918864097363</v>
      </c>
      <c r="G399">
        <v>0.27913494628454799</v>
      </c>
      <c r="H399">
        <v>6.61128353617302E-3</v>
      </c>
      <c r="I399">
        <v>0.11857271111211801</v>
      </c>
      <c r="J399">
        <v>0.28000000000000003</v>
      </c>
      <c r="L399">
        <v>0.28574622982072101</v>
      </c>
      <c r="M399">
        <v>0.27252366274837497</v>
      </c>
      <c r="N399">
        <v>0.29235751335689403</v>
      </c>
      <c r="O399">
        <v>0.26591237921220195</v>
      </c>
    </row>
    <row r="400" spans="1:15">
      <c r="A400" s="19">
        <v>43276</v>
      </c>
      <c r="B400">
        <v>839.2</v>
      </c>
      <c r="C400">
        <v>827.9</v>
      </c>
      <c r="D400">
        <v>3015</v>
      </c>
      <c r="E400">
        <v>2956</v>
      </c>
      <c r="F400">
        <v>0.28007442489851098</v>
      </c>
      <c r="G400">
        <v>0.27915123277494502</v>
      </c>
      <c r="H400">
        <v>6.6146982560412902E-3</v>
      </c>
      <c r="I400">
        <v>0.13956677807977899</v>
      </c>
      <c r="J400">
        <v>0.33</v>
      </c>
      <c r="L400">
        <v>0.2857659310309863</v>
      </c>
      <c r="M400">
        <v>0.27253653451890375</v>
      </c>
      <c r="N400">
        <v>0.29238062928702763</v>
      </c>
      <c r="O400">
        <v>0.26592183626286242</v>
      </c>
    </row>
    <row r="401" spans="1:15">
      <c r="A401" s="19">
        <v>43273</v>
      </c>
      <c r="B401">
        <v>828.5</v>
      </c>
      <c r="C401">
        <v>829.9</v>
      </c>
      <c r="D401">
        <v>2995</v>
      </c>
      <c r="E401">
        <v>3060</v>
      </c>
      <c r="F401">
        <v>0.27120915032679699</v>
      </c>
      <c r="G401">
        <v>0.27919663848936299</v>
      </c>
      <c r="H401">
        <v>6.6325435281677399E-3</v>
      </c>
      <c r="I401">
        <v>-1.20428733390807</v>
      </c>
      <c r="J401">
        <v>-2.95</v>
      </c>
      <c r="L401">
        <v>0.28582918201753071</v>
      </c>
      <c r="M401">
        <v>0.27256409496119527</v>
      </c>
      <c r="N401">
        <v>0.29246172554569849</v>
      </c>
      <c r="O401">
        <v>0.26593155143302749</v>
      </c>
    </row>
    <row r="402" spans="1:15">
      <c r="A402" s="19">
        <v>43272</v>
      </c>
      <c r="B402">
        <v>837</v>
      </c>
      <c r="C402">
        <v>839.1</v>
      </c>
      <c r="D402">
        <v>3020</v>
      </c>
      <c r="E402">
        <v>3010</v>
      </c>
      <c r="F402">
        <v>0.278770764119601</v>
      </c>
      <c r="G402">
        <v>0.279380516485006</v>
      </c>
      <c r="H402">
        <v>6.5996370888687303E-3</v>
      </c>
      <c r="I402">
        <v>-9.2391802336154405E-2</v>
      </c>
      <c r="J402">
        <v>-0.22</v>
      </c>
      <c r="L402">
        <v>0.28598015357387474</v>
      </c>
      <c r="M402">
        <v>0.27278087939613727</v>
      </c>
      <c r="N402">
        <v>0.29257979066274348</v>
      </c>
      <c r="O402">
        <v>0.26618124230726853</v>
      </c>
    </row>
    <row r="403" spans="1:15">
      <c r="A403" s="19">
        <v>43271</v>
      </c>
      <c r="B403">
        <v>849.8</v>
      </c>
      <c r="C403">
        <v>842.4</v>
      </c>
      <c r="D403">
        <v>3040</v>
      </c>
      <c r="E403">
        <v>3040</v>
      </c>
      <c r="F403">
        <v>0.27710526315789402</v>
      </c>
      <c r="G403">
        <v>0.27962666233264399</v>
      </c>
      <c r="H403">
        <v>6.9093074380871897E-3</v>
      </c>
      <c r="I403">
        <v>-0.36492791750019199</v>
      </c>
      <c r="J403">
        <v>-0.91</v>
      </c>
      <c r="L403">
        <v>0.2865359697707312</v>
      </c>
      <c r="M403">
        <v>0.27271735489455678</v>
      </c>
      <c r="N403">
        <v>0.29344527720881836</v>
      </c>
      <c r="O403">
        <v>0.26580804745646963</v>
      </c>
    </row>
    <row r="404" spans="1:15">
      <c r="A404" s="19">
        <v>43270</v>
      </c>
      <c r="B404">
        <v>867.2</v>
      </c>
      <c r="C404">
        <v>851</v>
      </c>
      <c r="D404">
        <v>3060</v>
      </c>
      <c r="E404">
        <v>3040</v>
      </c>
      <c r="F404">
        <v>0.27993421052631501</v>
      </c>
      <c r="G404">
        <v>0.27989923604031602</v>
      </c>
      <c r="H404">
        <v>7.2015227947481502E-3</v>
      </c>
      <c r="I404">
        <v>4.8565403451877702E-3</v>
      </c>
      <c r="J404">
        <v>0.01</v>
      </c>
      <c r="L404">
        <v>0.2871007588350642</v>
      </c>
      <c r="M404">
        <v>0.27269771324556785</v>
      </c>
      <c r="N404">
        <v>0.29430228162981231</v>
      </c>
      <c r="O404">
        <v>0.26549619045081974</v>
      </c>
    </row>
    <row r="405" spans="1:15">
      <c r="A405" s="19">
        <v>43269</v>
      </c>
      <c r="B405">
        <v>874</v>
      </c>
      <c r="C405">
        <v>864.3</v>
      </c>
      <c r="D405">
        <v>3085</v>
      </c>
      <c r="E405">
        <v>3090</v>
      </c>
      <c r="F405">
        <v>0.27970873786407702</v>
      </c>
      <c r="G405">
        <v>0.280142528657089</v>
      </c>
      <c r="H405">
        <v>7.5006069512777301E-3</v>
      </c>
      <c r="I405">
        <v>-5.7834092071401402E-2</v>
      </c>
      <c r="J405">
        <v>-0.16</v>
      </c>
      <c r="L405">
        <v>0.28764313560836674</v>
      </c>
      <c r="M405">
        <v>0.27264192170581125</v>
      </c>
      <c r="N405">
        <v>0.29514374255964448</v>
      </c>
      <c r="O405">
        <v>0.26514131475453351</v>
      </c>
    </row>
    <row r="406" spans="1:15">
      <c r="A406" s="19">
        <v>43266</v>
      </c>
      <c r="B406">
        <v>875</v>
      </c>
      <c r="C406">
        <v>876.1</v>
      </c>
      <c r="D406">
        <v>3135</v>
      </c>
      <c r="E406">
        <v>3080</v>
      </c>
      <c r="F406">
        <v>0.28444805194805101</v>
      </c>
      <c r="G406">
        <v>0.28042563011023602</v>
      </c>
      <c r="H406">
        <v>7.8704718445023608E-3</v>
      </c>
      <c r="I406">
        <v>0.51107759703445999</v>
      </c>
      <c r="J406">
        <v>1.41</v>
      </c>
      <c r="L406">
        <v>0.28829610195473837</v>
      </c>
      <c r="M406">
        <v>0.27255515826573368</v>
      </c>
      <c r="N406">
        <v>0.29616657379924072</v>
      </c>
      <c r="O406">
        <v>0.26468468642123133</v>
      </c>
    </row>
    <row r="407" spans="1:15">
      <c r="A407" s="19">
        <v>43265</v>
      </c>
      <c r="B407">
        <v>876</v>
      </c>
      <c r="C407">
        <v>871.6</v>
      </c>
      <c r="D407">
        <v>3150</v>
      </c>
      <c r="E407">
        <v>3105</v>
      </c>
      <c r="F407">
        <v>0.28070853462157802</v>
      </c>
      <c r="G407">
        <v>0.28064461310084998</v>
      </c>
      <c r="H407">
        <v>8.2008885918176296E-3</v>
      </c>
      <c r="I407">
        <v>7.7944627600049499E-3</v>
      </c>
      <c r="J407">
        <v>0.02</v>
      </c>
      <c r="L407">
        <v>0.28884550169266759</v>
      </c>
      <c r="M407">
        <v>0.27244372450903237</v>
      </c>
      <c r="N407">
        <v>0.29704639028448526</v>
      </c>
      <c r="O407">
        <v>0.2642428359172147</v>
      </c>
    </row>
    <row r="408" spans="1:15">
      <c r="A408" s="19">
        <v>43264</v>
      </c>
      <c r="B408">
        <v>882.2</v>
      </c>
      <c r="C408">
        <v>879.1</v>
      </c>
      <c r="D408">
        <v>3105</v>
      </c>
      <c r="E408">
        <v>3155</v>
      </c>
      <c r="F408">
        <v>0.27863708399366</v>
      </c>
      <c r="G408">
        <v>0.280888616780198</v>
      </c>
      <c r="H408">
        <v>8.4670871459741302E-3</v>
      </c>
      <c r="I408">
        <v>-0.26591586312041698</v>
      </c>
      <c r="J408">
        <v>-0.81</v>
      </c>
      <c r="L408">
        <v>0.2893557039261721</v>
      </c>
      <c r="M408">
        <v>0.27242152963422389</v>
      </c>
      <c r="N408">
        <v>0.29782279107214626</v>
      </c>
      <c r="O408">
        <v>0.26395444248824973</v>
      </c>
    </row>
    <row r="409" spans="1:15">
      <c r="A409" s="19">
        <v>43263</v>
      </c>
      <c r="B409">
        <v>884</v>
      </c>
      <c r="C409">
        <v>878.3</v>
      </c>
      <c r="D409">
        <v>3080</v>
      </c>
      <c r="E409">
        <v>3105</v>
      </c>
      <c r="F409">
        <v>0.282866344605475</v>
      </c>
      <c r="G409">
        <v>0.281117673851076</v>
      </c>
      <c r="H409">
        <v>8.6338099477926596E-3</v>
      </c>
      <c r="I409">
        <v>0.20253755468009499</v>
      </c>
      <c r="J409">
        <v>0.62</v>
      </c>
      <c r="L409">
        <v>0.28975148379886867</v>
      </c>
      <c r="M409">
        <v>0.27248386390328333</v>
      </c>
      <c r="N409">
        <v>0.29838529374666134</v>
      </c>
      <c r="O409">
        <v>0.26385005395549066</v>
      </c>
    </row>
    <row r="410" spans="1:15">
      <c r="A410" s="19">
        <v>43262</v>
      </c>
      <c r="B410">
        <v>879.1</v>
      </c>
      <c r="C410">
        <v>880.4</v>
      </c>
      <c r="D410">
        <v>3040</v>
      </c>
      <c r="E410">
        <v>3070</v>
      </c>
      <c r="F410">
        <v>0.28677524429967399</v>
      </c>
      <c r="G410">
        <v>0.28127505042221201</v>
      </c>
      <c r="H410">
        <v>8.7707388702375193E-3</v>
      </c>
      <c r="I410">
        <v>0.62710724362414605</v>
      </c>
      <c r="J410">
        <v>1.92</v>
      </c>
      <c r="L410">
        <v>0.29004578929244951</v>
      </c>
      <c r="M410">
        <v>0.27250431155197452</v>
      </c>
      <c r="N410">
        <v>0.29881652816268706</v>
      </c>
      <c r="O410">
        <v>0.26373357268173697</v>
      </c>
    </row>
    <row r="411" spans="1:15">
      <c r="A411" s="19">
        <v>43259</v>
      </c>
      <c r="B411">
        <v>882.6</v>
      </c>
      <c r="C411">
        <v>883.1</v>
      </c>
      <c r="D411">
        <v>3030</v>
      </c>
      <c r="E411">
        <v>3035</v>
      </c>
      <c r="F411">
        <v>0.29097199341021401</v>
      </c>
      <c r="G411">
        <v>0.28147022269482003</v>
      </c>
      <c r="H411">
        <v>9.0494008084078502E-3</v>
      </c>
      <c r="I411">
        <v>1.0499889347995</v>
      </c>
      <c r="J411">
        <v>3.27</v>
      </c>
      <c r="L411">
        <v>0.29051962350322785</v>
      </c>
      <c r="M411">
        <v>0.2724208218864122</v>
      </c>
      <c r="N411">
        <v>0.29956902431163573</v>
      </c>
      <c r="O411">
        <v>0.26337142107800432</v>
      </c>
    </row>
    <row r="412" spans="1:15">
      <c r="A412" s="19">
        <v>43258</v>
      </c>
      <c r="B412">
        <v>890</v>
      </c>
      <c r="C412">
        <v>891.8</v>
      </c>
      <c r="D412">
        <v>3045</v>
      </c>
      <c r="E412">
        <v>3030</v>
      </c>
      <c r="F412">
        <v>0.29432343234323399</v>
      </c>
      <c r="G412">
        <v>0.28158518805308702</v>
      </c>
      <c r="H412">
        <v>9.2224977325370792E-3</v>
      </c>
      <c r="I412">
        <v>1.38121414171851</v>
      </c>
      <c r="J412">
        <v>4.33</v>
      </c>
      <c r="L412">
        <v>0.2908076857856241</v>
      </c>
      <c r="M412">
        <v>0.27236269032054994</v>
      </c>
      <c r="N412">
        <v>0.30003018351816119</v>
      </c>
      <c r="O412">
        <v>0.26314019258801286</v>
      </c>
    </row>
    <row r="413" spans="1:15">
      <c r="A413" s="19">
        <v>43257</v>
      </c>
      <c r="B413">
        <v>880.5</v>
      </c>
      <c r="C413">
        <v>883.6</v>
      </c>
      <c r="D413">
        <v>3045</v>
      </c>
      <c r="E413">
        <v>3040</v>
      </c>
      <c r="F413">
        <v>0.290657894736842</v>
      </c>
      <c r="G413">
        <v>0.28158418389251999</v>
      </c>
      <c r="H413">
        <v>9.2211147134439696E-3</v>
      </c>
      <c r="I413">
        <v>0.98401452821016</v>
      </c>
      <c r="J413">
        <v>3.12</v>
      </c>
      <c r="L413">
        <v>0.29080529860596394</v>
      </c>
      <c r="M413">
        <v>0.27236306917907604</v>
      </c>
      <c r="N413">
        <v>0.30002641331940794</v>
      </c>
      <c r="O413">
        <v>0.26314195446563204</v>
      </c>
    </row>
    <row r="414" spans="1:15">
      <c r="A414" s="19">
        <v>43256</v>
      </c>
      <c r="B414">
        <v>883</v>
      </c>
      <c r="C414">
        <v>879.1</v>
      </c>
      <c r="D414">
        <v>3020</v>
      </c>
      <c r="E414">
        <v>3045</v>
      </c>
      <c r="F414">
        <v>0.28870279146141198</v>
      </c>
      <c r="G414">
        <v>0.281581331200218</v>
      </c>
      <c r="H414">
        <v>9.2183398586447793E-3</v>
      </c>
      <c r="I414">
        <v>0.77253175413310504</v>
      </c>
      <c r="J414">
        <v>2.4700000000000002</v>
      </c>
      <c r="L414">
        <v>0.29079967105886279</v>
      </c>
      <c r="M414">
        <v>0.27236299134157321</v>
      </c>
      <c r="N414">
        <v>0.30001801091750757</v>
      </c>
      <c r="O414">
        <v>0.26314465148292843</v>
      </c>
    </row>
    <row r="415" spans="1:15">
      <c r="A415" s="19">
        <v>43255</v>
      </c>
      <c r="B415">
        <v>869.3</v>
      </c>
      <c r="C415">
        <v>879.6</v>
      </c>
      <c r="D415">
        <v>3050</v>
      </c>
      <c r="E415">
        <v>3040</v>
      </c>
      <c r="F415">
        <v>0.28934210526315701</v>
      </c>
      <c r="G415">
        <v>0.281604258284402</v>
      </c>
      <c r="H415">
        <v>9.2381403201798901E-3</v>
      </c>
      <c r="I415">
        <v>0.83759790505155796</v>
      </c>
      <c r="J415">
        <v>2.67</v>
      </c>
      <c r="L415">
        <v>0.29084239860458189</v>
      </c>
      <c r="M415">
        <v>0.27236611796422211</v>
      </c>
      <c r="N415">
        <v>0.30008053892476177</v>
      </c>
      <c r="O415">
        <v>0.26312797764404222</v>
      </c>
    </row>
    <row r="416" spans="1:15">
      <c r="A416" s="19">
        <v>43252</v>
      </c>
      <c r="B416">
        <v>840.1</v>
      </c>
      <c r="C416">
        <v>855.8</v>
      </c>
      <c r="D416">
        <v>2971</v>
      </c>
      <c r="E416">
        <v>3005</v>
      </c>
      <c r="F416">
        <v>0.28479201331114801</v>
      </c>
      <c r="G416">
        <v>0.28163699243147799</v>
      </c>
      <c r="H416">
        <v>9.2697957378738201E-3</v>
      </c>
      <c r="I416">
        <v>0.34035495159610701</v>
      </c>
      <c r="J416">
        <v>1.1100000000000001</v>
      </c>
      <c r="L416">
        <v>0.29090678816935184</v>
      </c>
      <c r="M416">
        <v>0.27236719669360415</v>
      </c>
      <c r="N416">
        <v>0.30017658390722562</v>
      </c>
      <c r="O416">
        <v>0.26309740095573037</v>
      </c>
    </row>
    <row r="417" spans="1:15">
      <c r="A417" s="19">
        <v>43251</v>
      </c>
      <c r="B417">
        <v>848.2</v>
      </c>
      <c r="C417">
        <v>848.4</v>
      </c>
      <c r="D417">
        <v>3025</v>
      </c>
      <c r="E417">
        <v>3005</v>
      </c>
      <c r="F417">
        <v>0.282329450915141</v>
      </c>
      <c r="G417">
        <v>0.28167273475460303</v>
      </c>
      <c r="H417">
        <v>9.2870439099001501E-3</v>
      </c>
      <c r="I417">
        <v>7.0713153389764805E-2</v>
      </c>
      <c r="J417">
        <v>0.23</v>
      </c>
      <c r="L417">
        <v>0.29095977866450318</v>
      </c>
      <c r="M417">
        <v>0.27238569084470288</v>
      </c>
      <c r="N417">
        <v>0.30024682257440333</v>
      </c>
      <c r="O417">
        <v>0.26309864693480273</v>
      </c>
    </row>
    <row r="418" spans="1:15">
      <c r="A418" s="19">
        <v>43250</v>
      </c>
      <c r="B418">
        <v>835</v>
      </c>
      <c r="C418">
        <v>836.3</v>
      </c>
      <c r="D418">
        <v>3020</v>
      </c>
      <c r="E418">
        <v>3010</v>
      </c>
      <c r="F418">
        <v>0.27784053156146099</v>
      </c>
      <c r="G418">
        <v>0.28171779800350799</v>
      </c>
      <c r="H418">
        <v>9.2983140216793495E-3</v>
      </c>
      <c r="I418">
        <v>-0.41698596466054799</v>
      </c>
      <c r="J418">
        <v>-1.4</v>
      </c>
      <c r="L418">
        <v>0.29101611202518735</v>
      </c>
      <c r="M418">
        <v>0.27241948398182864</v>
      </c>
      <c r="N418">
        <v>0.3003144260468667</v>
      </c>
      <c r="O418">
        <v>0.26312116996014928</v>
      </c>
    </row>
    <row r="419" spans="1:15">
      <c r="A419" s="19">
        <v>43249</v>
      </c>
      <c r="B419">
        <v>846.1</v>
      </c>
      <c r="C419">
        <v>848.6</v>
      </c>
      <c r="D419">
        <v>3065</v>
      </c>
      <c r="E419">
        <v>3050</v>
      </c>
      <c r="F419">
        <v>0.27822950819672099</v>
      </c>
      <c r="G419">
        <v>0.281745260433722</v>
      </c>
      <c r="H419">
        <v>9.2898597956593693E-3</v>
      </c>
      <c r="I419">
        <v>-0.378450516405407</v>
      </c>
      <c r="J419">
        <v>-1.26</v>
      </c>
      <c r="L419">
        <v>0.29103512022938138</v>
      </c>
      <c r="M419">
        <v>0.27245540063806262</v>
      </c>
      <c r="N419">
        <v>0.30032498002504071</v>
      </c>
      <c r="O419">
        <v>0.26316554084240329</v>
      </c>
    </row>
    <row r="420" spans="1:15">
      <c r="A420" s="19">
        <v>43248</v>
      </c>
      <c r="B420">
        <v>851</v>
      </c>
      <c r="C420">
        <v>846.1</v>
      </c>
      <c r="D420">
        <v>3050</v>
      </c>
      <c r="E420">
        <v>3065</v>
      </c>
      <c r="F420">
        <v>0.27605220228384902</v>
      </c>
      <c r="G420">
        <v>0.28188780638503802</v>
      </c>
      <c r="H420">
        <v>9.3168027937749406E-3</v>
      </c>
      <c r="I420">
        <v>-0.626352648044463</v>
      </c>
      <c r="J420">
        <v>-2.11</v>
      </c>
      <c r="L420">
        <v>0.29120460917881297</v>
      </c>
      <c r="M420">
        <v>0.27257100359126307</v>
      </c>
      <c r="N420">
        <v>0.30052141197258792</v>
      </c>
      <c r="O420">
        <v>0.26325420079748812</v>
      </c>
    </row>
    <row r="421" spans="1:15">
      <c r="A421" s="19">
        <v>43245</v>
      </c>
      <c r="B421">
        <v>853.5</v>
      </c>
      <c r="C421">
        <v>853.6</v>
      </c>
      <c r="D421">
        <v>3055</v>
      </c>
      <c r="E421">
        <v>3055</v>
      </c>
      <c r="F421">
        <v>0.27941080196399298</v>
      </c>
      <c r="G421">
        <v>0.28188476110554</v>
      </c>
      <c r="H421">
        <v>9.3187468387637903E-3</v>
      </c>
      <c r="I421">
        <v>-0.265481956356583</v>
      </c>
      <c r="J421">
        <v>-0.89</v>
      </c>
      <c r="L421">
        <v>0.29120350794430377</v>
      </c>
      <c r="M421">
        <v>0.27256601426677624</v>
      </c>
      <c r="N421">
        <v>0.3005222547830676</v>
      </c>
      <c r="O421">
        <v>0.26324726742801241</v>
      </c>
    </row>
    <row r="422" spans="1:15">
      <c r="A422" s="19">
        <v>43244</v>
      </c>
      <c r="B422">
        <v>870.1</v>
      </c>
      <c r="C422">
        <v>857.2</v>
      </c>
      <c r="D422">
        <v>3065</v>
      </c>
      <c r="E422">
        <v>3065</v>
      </c>
      <c r="F422">
        <v>0.27967373572593801</v>
      </c>
      <c r="G422">
        <v>0.28169568099905701</v>
      </c>
      <c r="H422">
        <v>9.5089531902408202E-3</v>
      </c>
      <c r="I422">
        <v>-0.212635947687173</v>
      </c>
      <c r="J422">
        <v>-0.72</v>
      </c>
      <c r="L422">
        <v>0.29120463418929782</v>
      </c>
      <c r="M422">
        <v>0.2721867278088162</v>
      </c>
      <c r="N422">
        <v>0.30071358737953863</v>
      </c>
      <c r="O422">
        <v>0.26267777461857539</v>
      </c>
    </row>
    <row r="423" spans="1:15">
      <c r="A423" s="19">
        <v>43243</v>
      </c>
      <c r="B423">
        <v>888</v>
      </c>
      <c r="C423">
        <v>872.7</v>
      </c>
      <c r="D423">
        <v>3045</v>
      </c>
      <c r="E423">
        <v>3060</v>
      </c>
      <c r="F423">
        <v>0.28519607843137201</v>
      </c>
      <c r="G423">
        <v>0.28161172517844901</v>
      </c>
      <c r="H423">
        <v>9.5541244407682299E-3</v>
      </c>
      <c r="I423">
        <v>0.37516292310660698</v>
      </c>
      <c r="J423">
        <v>1.26</v>
      </c>
      <c r="L423">
        <v>0.29116584961921727</v>
      </c>
      <c r="M423">
        <v>0.27205760073768076</v>
      </c>
      <c r="N423">
        <v>0.30071997405998546</v>
      </c>
      <c r="O423">
        <v>0.26250347629691256</v>
      </c>
    </row>
    <row r="424" spans="1:15">
      <c r="A424" s="19">
        <v>43242</v>
      </c>
      <c r="B424">
        <v>884.5</v>
      </c>
      <c r="C424">
        <v>893.1</v>
      </c>
      <c r="D424">
        <v>3055</v>
      </c>
      <c r="E424">
        <v>3050</v>
      </c>
      <c r="F424">
        <v>0.29281967213114701</v>
      </c>
      <c r="G424">
        <v>0.28148105066248602</v>
      </c>
      <c r="H424">
        <v>9.5712140260262191E-3</v>
      </c>
      <c r="I424">
        <v>1.18465864809096</v>
      </c>
      <c r="J424">
        <v>3.87</v>
      </c>
      <c r="L424">
        <v>0.29105226468851225</v>
      </c>
      <c r="M424">
        <v>0.27190983663645979</v>
      </c>
      <c r="N424">
        <v>0.30062347871453848</v>
      </c>
      <c r="O424">
        <v>0.26233862261043356</v>
      </c>
    </row>
    <row r="425" spans="1:15">
      <c r="A425" s="19">
        <v>43241</v>
      </c>
      <c r="B425">
        <v>883</v>
      </c>
      <c r="C425">
        <v>877.2</v>
      </c>
      <c r="D425">
        <v>3060</v>
      </c>
      <c r="E425">
        <v>3060</v>
      </c>
      <c r="F425">
        <v>0.28666666666666601</v>
      </c>
      <c r="G425">
        <v>0.281280788367404</v>
      </c>
      <c r="H425">
        <v>9.4886516555710895E-3</v>
      </c>
      <c r="I425">
        <v>0.56761260659205004</v>
      </c>
      <c r="J425">
        <v>1.88</v>
      </c>
      <c r="L425">
        <v>0.29076944002297511</v>
      </c>
      <c r="M425">
        <v>0.27179213671183289</v>
      </c>
      <c r="N425">
        <v>0.30025809167854617</v>
      </c>
      <c r="O425">
        <v>0.26230348505626183</v>
      </c>
    </row>
    <row r="426" spans="1:15">
      <c r="A426" s="19">
        <v>43238</v>
      </c>
      <c r="B426">
        <v>877.5</v>
      </c>
      <c r="C426">
        <v>881.3</v>
      </c>
      <c r="D426">
        <v>3060</v>
      </c>
      <c r="E426">
        <v>3075</v>
      </c>
      <c r="F426">
        <v>0.28660162601625999</v>
      </c>
      <c r="G426">
        <v>0.28120118637735397</v>
      </c>
      <c r="H426">
        <v>9.4681548500153302E-3</v>
      </c>
      <c r="I426">
        <v>0.57037931090630101</v>
      </c>
      <c r="J426">
        <v>1.88</v>
      </c>
      <c r="L426">
        <v>0.29066934122736932</v>
      </c>
      <c r="M426">
        <v>0.27173303152733863</v>
      </c>
      <c r="N426">
        <v>0.30013749607738466</v>
      </c>
      <c r="O426">
        <v>0.26226487667732329</v>
      </c>
    </row>
    <row r="427" spans="1:15">
      <c r="A427" s="19">
        <v>43237</v>
      </c>
      <c r="B427">
        <v>868.6</v>
      </c>
      <c r="C427">
        <v>879.4</v>
      </c>
      <c r="D427">
        <v>3075</v>
      </c>
      <c r="E427">
        <v>3060</v>
      </c>
      <c r="F427">
        <v>0.287385620915032</v>
      </c>
      <c r="G427">
        <v>0.28109682915629802</v>
      </c>
      <c r="H427">
        <v>9.4511744406119494E-3</v>
      </c>
      <c r="I427">
        <v>0.66539791411646398</v>
      </c>
      <c r="J427">
        <v>2.19</v>
      </c>
      <c r="L427">
        <v>0.29054800359690997</v>
      </c>
      <c r="M427">
        <v>0.27164565471568608</v>
      </c>
      <c r="N427">
        <v>0.29999917803752191</v>
      </c>
      <c r="O427">
        <v>0.26219448027507414</v>
      </c>
    </row>
    <row r="428" spans="1:15">
      <c r="A428" s="19">
        <v>43236</v>
      </c>
      <c r="B428">
        <v>864.1</v>
      </c>
      <c r="C428">
        <v>862.6</v>
      </c>
      <c r="D428">
        <v>3095</v>
      </c>
      <c r="E428">
        <v>3060</v>
      </c>
      <c r="F428">
        <v>0.28189542483660102</v>
      </c>
      <c r="G428">
        <v>0.28096551348826898</v>
      </c>
      <c r="H428">
        <v>9.4312833734686904E-3</v>
      </c>
      <c r="I428">
        <v>9.8598601219878707E-2</v>
      </c>
      <c r="J428">
        <v>0.33</v>
      </c>
      <c r="L428">
        <v>0.29039679686173769</v>
      </c>
      <c r="M428">
        <v>0.27153423011480027</v>
      </c>
      <c r="N428">
        <v>0.29982808023520635</v>
      </c>
      <c r="O428">
        <v>0.26210294674133161</v>
      </c>
    </row>
    <row r="429" spans="1:15">
      <c r="A429" s="19">
        <v>43235</v>
      </c>
      <c r="B429">
        <v>864.6</v>
      </c>
      <c r="C429">
        <v>866.5</v>
      </c>
      <c r="D429">
        <v>3125</v>
      </c>
      <c r="E429">
        <v>3100</v>
      </c>
      <c r="F429">
        <v>0.27951612903225798</v>
      </c>
      <c r="G429">
        <v>0.28087530609217898</v>
      </c>
      <c r="H429">
        <v>9.4542848490459606E-3</v>
      </c>
      <c r="I429">
        <v>-0.143763074798647</v>
      </c>
      <c r="J429">
        <v>-0.49</v>
      </c>
      <c r="L429">
        <v>0.29032959094122496</v>
      </c>
      <c r="M429">
        <v>0.271421021243133</v>
      </c>
      <c r="N429">
        <v>0.29978387579027088</v>
      </c>
      <c r="O429">
        <v>0.26196673639408707</v>
      </c>
    </row>
    <row r="430" spans="1:15">
      <c r="A430" s="19">
        <v>43234</v>
      </c>
      <c r="B430">
        <v>874.6</v>
      </c>
      <c r="C430">
        <v>868.3</v>
      </c>
      <c r="D430">
        <v>3085</v>
      </c>
      <c r="E430">
        <v>3140</v>
      </c>
      <c r="F430">
        <v>0.27652866242038199</v>
      </c>
      <c r="G430">
        <v>0.28082573164645003</v>
      </c>
      <c r="H430">
        <v>9.4710151095441803E-3</v>
      </c>
      <c r="I430">
        <v>-0.45370735621972602</v>
      </c>
      <c r="J430">
        <v>-1.55</v>
      </c>
      <c r="L430">
        <v>0.29029674675599421</v>
      </c>
      <c r="M430">
        <v>0.27135471653690585</v>
      </c>
      <c r="N430">
        <v>0.29976776186553838</v>
      </c>
      <c r="O430">
        <v>0.26188370142736167</v>
      </c>
    </row>
    <row r="431" spans="1:15">
      <c r="A431" s="19">
        <v>43231</v>
      </c>
      <c r="B431">
        <v>869</v>
      </c>
      <c r="C431">
        <v>879.3</v>
      </c>
      <c r="D431">
        <v>3030</v>
      </c>
      <c r="E431">
        <v>3085</v>
      </c>
      <c r="F431">
        <v>0.28502431118314397</v>
      </c>
      <c r="G431">
        <v>0.28086110507277101</v>
      </c>
      <c r="H431">
        <v>9.4598476599426704E-3</v>
      </c>
      <c r="I431">
        <v>0.440092299583421</v>
      </c>
      <c r="J431">
        <v>1.46</v>
      </c>
      <c r="L431">
        <v>0.29032095273271369</v>
      </c>
      <c r="M431">
        <v>0.27140125741282833</v>
      </c>
      <c r="N431">
        <v>0.29978080039265637</v>
      </c>
      <c r="O431">
        <v>0.26194140975288566</v>
      </c>
    </row>
    <row r="432" spans="1:15">
      <c r="A432" s="19">
        <v>43230</v>
      </c>
      <c r="B432">
        <v>865.4</v>
      </c>
      <c r="C432">
        <v>866.9</v>
      </c>
      <c r="D432">
        <v>3010</v>
      </c>
      <c r="E432">
        <v>3055</v>
      </c>
      <c r="F432">
        <v>0.28376432078559699</v>
      </c>
      <c r="G432">
        <v>0.28079454786133201</v>
      </c>
      <c r="H432">
        <v>9.4478751467096701E-3</v>
      </c>
      <c r="I432">
        <v>0.31433236343090498</v>
      </c>
      <c r="J432">
        <v>1.05</v>
      </c>
      <c r="L432">
        <v>0.29024242300804171</v>
      </c>
      <c r="M432">
        <v>0.27134667271462232</v>
      </c>
      <c r="N432">
        <v>0.29969029815475134</v>
      </c>
      <c r="O432">
        <v>0.26189879756791268</v>
      </c>
    </row>
    <row r="433" spans="1:15">
      <c r="A433" s="19">
        <v>43229</v>
      </c>
      <c r="B433">
        <v>859</v>
      </c>
      <c r="C433">
        <v>864.7</v>
      </c>
      <c r="D433">
        <v>3040</v>
      </c>
      <c r="E433">
        <v>3005</v>
      </c>
      <c r="F433">
        <v>0.28775374376039897</v>
      </c>
      <c r="G433">
        <v>0.28068456422794402</v>
      </c>
      <c r="H433">
        <v>9.4606672875699304E-3</v>
      </c>
      <c r="I433">
        <v>0.74721785658218798</v>
      </c>
      <c r="J433">
        <v>2.46</v>
      </c>
      <c r="L433">
        <v>0.29014523151551397</v>
      </c>
      <c r="M433">
        <v>0.27122389694037408</v>
      </c>
      <c r="N433">
        <v>0.29960589880308386</v>
      </c>
      <c r="O433">
        <v>0.26176322965280419</v>
      </c>
    </row>
    <row r="434" spans="1:15">
      <c r="A434" s="19">
        <v>43228</v>
      </c>
      <c r="B434">
        <v>813.3</v>
      </c>
      <c r="C434">
        <v>859.8</v>
      </c>
      <c r="D434">
        <v>2957</v>
      </c>
      <c r="E434">
        <v>3030</v>
      </c>
      <c r="F434">
        <v>0.28376237623762302</v>
      </c>
      <c r="G434">
        <v>0.280480373223362</v>
      </c>
      <c r="H434">
        <v>9.4711484676116495E-3</v>
      </c>
      <c r="I434">
        <v>0.34652640336959301</v>
      </c>
      <c r="J434">
        <v>1.1599999999999999</v>
      </c>
      <c r="L434">
        <v>0.28995152169097366</v>
      </c>
      <c r="M434">
        <v>0.27100922475575034</v>
      </c>
      <c r="N434">
        <v>0.29942267015858531</v>
      </c>
      <c r="O434">
        <v>0.26153807628813869</v>
      </c>
    </row>
    <row r="435" spans="1:15">
      <c r="A435" s="19">
        <v>43227</v>
      </c>
      <c r="B435">
        <v>827</v>
      </c>
      <c r="C435">
        <v>820.7</v>
      </c>
      <c r="D435">
        <v>2911</v>
      </c>
      <c r="E435">
        <v>2952</v>
      </c>
      <c r="F435">
        <v>0.27801490514905097</v>
      </c>
      <c r="G435">
        <v>0.28034373323348499</v>
      </c>
      <c r="H435">
        <v>9.4967027753818899E-3</v>
      </c>
      <c r="I435">
        <v>-0.24522491010992301</v>
      </c>
      <c r="J435">
        <v>-0.84</v>
      </c>
      <c r="L435">
        <v>0.28984043600886689</v>
      </c>
      <c r="M435">
        <v>0.2708470304581031</v>
      </c>
      <c r="N435">
        <v>0.29933713878424878</v>
      </c>
      <c r="O435">
        <v>0.26135032768272121</v>
      </c>
    </row>
    <row r="436" spans="1:15">
      <c r="A436" s="19">
        <v>43222</v>
      </c>
      <c r="B436">
        <v>830</v>
      </c>
      <c r="C436">
        <v>827.6</v>
      </c>
      <c r="D436">
        <v>2911</v>
      </c>
      <c r="E436">
        <v>2907</v>
      </c>
      <c r="F436">
        <v>0.28469212246302</v>
      </c>
      <c r="G436">
        <v>0.28028103053619902</v>
      </c>
      <c r="H436">
        <v>9.5273475689215698E-3</v>
      </c>
      <c r="I436">
        <v>0.46299265298244702</v>
      </c>
      <c r="J436">
        <v>1.55</v>
      </c>
      <c r="L436">
        <v>0.28980837810512061</v>
      </c>
      <c r="M436">
        <v>0.27075368296727742</v>
      </c>
      <c r="N436">
        <v>0.29933572567404215</v>
      </c>
      <c r="O436">
        <v>0.26122633539835588</v>
      </c>
    </row>
    <row r="437" spans="1:15">
      <c r="A437" s="19">
        <v>43221</v>
      </c>
      <c r="B437">
        <v>822.8</v>
      </c>
      <c r="C437">
        <v>825.6</v>
      </c>
      <c r="D437">
        <v>2900</v>
      </c>
      <c r="E437">
        <v>2905</v>
      </c>
      <c r="F437">
        <v>0.28419965576591999</v>
      </c>
      <c r="G437">
        <v>0.28013114195980199</v>
      </c>
      <c r="H437">
        <v>9.5451838345441894E-3</v>
      </c>
      <c r="I437">
        <v>0.42623734405142599</v>
      </c>
      <c r="J437">
        <v>1.43</v>
      </c>
      <c r="L437">
        <v>0.28967632579434616</v>
      </c>
      <c r="M437">
        <v>0.27058595812525782</v>
      </c>
      <c r="N437">
        <v>0.29922150962889038</v>
      </c>
      <c r="O437">
        <v>0.2610407742907136</v>
      </c>
    </row>
    <row r="438" spans="1:15">
      <c r="A438" s="19">
        <v>43217</v>
      </c>
      <c r="B438">
        <v>826</v>
      </c>
      <c r="C438">
        <v>824.2</v>
      </c>
      <c r="D438">
        <v>2930</v>
      </c>
      <c r="E438">
        <v>2919</v>
      </c>
      <c r="F438">
        <v>0.28235697156560402</v>
      </c>
      <c r="G438">
        <v>0.27990431321625597</v>
      </c>
      <c r="H438">
        <v>9.6473943282241407E-3</v>
      </c>
      <c r="I438">
        <v>0.25423013364062302</v>
      </c>
      <c r="J438">
        <v>0.87</v>
      </c>
      <c r="L438">
        <v>0.28955170754448012</v>
      </c>
      <c r="M438">
        <v>0.27025691888803183</v>
      </c>
      <c r="N438">
        <v>0.29919910187270427</v>
      </c>
      <c r="O438">
        <v>0.26060952455980768</v>
      </c>
    </row>
    <row r="439" spans="1:15">
      <c r="A439" s="19">
        <v>43216</v>
      </c>
      <c r="B439">
        <v>830</v>
      </c>
      <c r="C439">
        <v>822</v>
      </c>
      <c r="D439">
        <v>2945</v>
      </c>
      <c r="E439">
        <v>2904</v>
      </c>
      <c r="F439">
        <v>0.28305785123966898</v>
      </c>
      <c r="G439">
        <v>0.27967350998167401</v>
      </c>
      <c r="H439">
        <v>9.7919377148989201E-3</v>
      </c>
      <c r="I439">
        <v>0.345625284446546</v>
      </c>
      <c r="J439">
        <v>1.2</v>
      </c>
      <c r="L439">
        <v>0.28946544769657295</v>
      </c>
      <c r="M439">
        <v>0.26988157226677506</v>
      </c>
      <c r="N439">
        <v>0.29925738541147184</v>
      </c>
      <c r="O439">
        <v>0.26008963455187617</v>
      </c>
    </row>
    <row r="440" spans="1:15">
      <c r="A440" s="19">
        <v>43215</v>
      </c>
      <c r="B440">
        <v>817.4</v>
      </c>
      <c r="C440">
        <v>827.6</v>
      </c>
      <c r="D440">
        <v>2899</v>
      </c>
      <c r="E440">
        <v>2929</v>
      </c>
      <c r="F440">
        <v>0.28255377261864101</v>
      </c>
      <c r="G440">
        <v>0.279379757812735</v>
      </c>
      <c r="H440">
        <v>1.0013950966652301E-2</v>
      </c>
      <c r="I440">
        <v>0.31695929173968501</v>
      </c>
      <c r="J440">
        <v>1.1200000000000001</v>
      </c>
      <c r="L440">
        <v>0.2893937087793873</v>
      </c>
      <c r="M440">
        <v>0.26936580684608269</v>
      </c>
      <c r="N440">
        <v>0.29940765974603961</v>
      </c>
      <c r="O440">
        <v>0.25935185587943038</v>
      </c>
    </row>
    <row r="441" spans="1:15">
      <c r="A441" s="19">
        <v>43214</v>
      </c>
      <c r="B441">
        <v>811.8</v>
      </c>
      <c r="C441">
        <v>823</v>
      </c>
      <c r="D441">
        <v>2909</v>
      </c>
      <c r="E441">
        <v>2916</v>
      </c>
      <c r="F441">
        <v>0.28223593964334698</v>
      </c>
      <c r="G441">
        <v>0.27908232795285798</v>
      </c>
      <c r="H441">
        <v>1.0243900380177799E-2</v>
      </c>
      <c r="I441">
        <v>0.30785263165882198</v>
      </c>
      <c r="J441">
        <v>1.1200000000000001</v>
      </c>
      <c r="L441">
        <v>0.28932622833303578</v>
      </c>
      <c r="M441">
        <v>0.26883842757268017</v>
      </c>
      <c r="N441">
        <v>0.29957012871321359</v>
      </c>
      <c r="O441">
        <v>0.25859452719250237</v>
      </c>
    </row>
    <row r="442" spans="1:15">
      <c r="A442" s="19">
        <v>43213</v>
      </c>
      <c r="B442">
        <v>802.4</v>
      </c>
      <c r="C442">
        <v>809.5</v>
      </c>
      <c r="D442">
        <v>2912</v>
      </c>
      <c r="E442">
        <v>2900</v>
      </c>
      <c r="F442">
        <v>0.27913793103448198</v>
      </c>
      <c r="G442">
        <v>0.278738185686221</v>
      </c>
      <c r="H442">
        <v>1.0560824845874299E-2</v>
      </c>
      <c r="I442">
        <v>3.7851716517860602E-2</v>
      </c>
      <c r="J442">
        <v>0.14000000000000001</v>
      </c>
      <c r="L442">
        <v>0.28929901053209528</v>
      </c>
      <c r="M442">
        <v>0.26817736084034671</v>
      </c>
      <c r="N442">
        <v>0.29985983537796962</v>
      </c>
      <c r="O442">
        <v>0.25761653599447237</v>
      </c>
    </row>
    <row r="443" spans="1:15">
      <c r="A443" s="19">
        <v>43210</v>
      </c>
      <c r="B443">
        <v>796.5</v>
      </c>
      <c r="C443">
        <v>801.3</v>
      </c>
      <c r="D443">
        <v>2900</v>
      </c>
      <c r="E443">
        <v>2914</v>
      </c>
      <c r="F443">
        <v>0.27498284145504398</v>
      </c>
      <c r="G443">
        <v>0.278443538206812</v>
      </c>
      <c r="H443">
        <v>1.08498811815507E-2</v>
      </c>
      <c r="I443">
        <v>-0.318961718922049</v>
      </c>
      <c r="J443">
        <v>-1.26</v>
      </c>
      <c r="L443">
        <v>0.28929341938836273</v>
      </c>
      <c r="M443">
        <v>0.26759365702526128</v>
      </c>
      <c r="N443">
        <v>0.3001433005699134</v>
      </c>
      <c r="O443">
        <v>0.25674377584371061</v>
      </c>
    </row>
    <row r="444" spans="1:15">
      <c r="A444" s="19">
        <v>43209</v>
      </c>
      <c r="B444">
        <v>795.6</v>
      </c>
      <c r="C444">
        <v>793.8</v>
      </c>
      <c r="D444">
        <v>2957</v>
      </c>
      <c r="E444">
        <v>2925</v>
      </c>
      <c r="F444">
        <v>0.271384615384615</v>
      </c>
      <c r="G444">
        <v>0.27820044416932499</v>
      </c>
      <c r="H444">
        <v>1.1125442901931499E-2</v>
      </c>
      <c r="I444">
        <v>-0.61263437732680504</v>
      </c>
      <c r="J444">
        <v>-2.5099999999999998</v>
      </c>
      <c r="L444">
        <v>0.2893258870712565</v>
      </c>
      <c r="M444">
        <v>0.26707500126739347</v>
      </c>
      <c r="N444">
        <v>0.30045132997318796</v>
      </c>
      <c r="O444">
        <v>0.25594955836546202</v>
      </c>
    </row>
    <row r="445" spans="1:15">
      <c r="A445" s="19">
        <v>43208</v>
      </c>
      <c r="B445">
        <v>781.4</v>
      </c>
      <c r="C445">
        <v>789.4</v>
      </c>
      <c r="D445">
        <v>2916</v>
      </c>
      <c r="E445">
        <v>2942</v>
      </c>
      <c r="F445">
        <v>0.26832087015635597</v>
      </c>
      <c r="G445">
        <v>0.27797762126014702</v>
      </c>
      <c r="H445">
        <v>1.14230919183868E-2</v>
      </c>
      <c r="I445">
        <v>-0.84537104076412495</v>
      </c>
      <c r="J445">
        <v>-3.6</v>
      </c>
      <c r="L445">
        <v>0.28940071317853383</v>
      </c>
      <c r="M445">
        <v>0.26655452934176022</v>
      </c>
      <c r="N445">
        <v>0.30082380509692064</v>
      </c>
      <c r="O445">
        <v>0.25513143742337341</v>
      </c>
    </row>
    <row r="446" spans="1:15">
      <c r="A446" s="19">
        <v>43207</v>
      </c>
      <c r="B446">
        <v>785</v>
      </c>
      <c r="C446">
        <v>780.9</v>
      </c>
      <c r="D446">
        <v>2928</v>
      </c>
      <c r="E446">
        <v>2898</v>
      </c>
      <c r="F446">
        <v>0.26946169772256701</v>
      </c>
      <c r="G446">
        <v>0.27774375965806197</v>
      </c>
      <c r="H446">
        <v>1.17919832074524E-2</v>
      </c>
      <c r="I446">
        <v>-0.70234682239547996</v>
      </c>
      <c r="J446">
        <v>-3.07</v>
      </c>
      <c r="L446">
        <v>0.28953574286551437</v>
      </c>
      <c r="M446">
        <v>0.26595177645060958</v>
      </c>
      <c r="N446">
        <v>0.30132772607296676</v>
      </c>
      <c r="O446">
        <v>0.25415979324315718</v>
      </c>
    </row>
    <row r="447" spans="1:15">
      <c r="A447" s="19">
        <v>43206</v>
      </c>
      <c r="B447">
        <v>784</v>
      </c>
      <c r="C447">
        <v>785.2</v>
      </c>
      <c r="D447">
        <v>2909</v>
      </c>
      <c r="E447">
        <v>2928</v>
      </c>
      <c r="F447">
        <v>0.26816939890710301</v>
      </c>
      <c r="G447">
        <v>0.27755932276599599</v>
      </c>
      <c r="H447">
        <v>1.20259369306874E-2</v>
      </c>
      <c r="I447">
        <v>-0.78080601228927904</v>
      </c>
      <c r="J447">
        <v>-3.5</v>
      </c>
      <c r="L447">
        <v>0.28958525969668336</v>
      </c>
      <c r="M447">
        <v>0.26553338583530861</v>
      </c>
      <c r="N447">
        <v>0.30161119662737079</v>
      </c>
      <c r="O447">
        <v>0.25350744890462118</v>
      </c>
    </row>
    <row r="448" spans="1:15">
      <c r="A448" s="19">
        <v>43203</v>
      </c>
      <c r="B448">
        <v>787.8</v>
      </c>
      <c r="C448">
        <v>787.5</v>
      </c>
      <c r="D448">
        <v>2883</v>
      </c>
      <c r="E448">
        <v>2896</v>
      </c>
      <c r="F448">
        <v>0.27192679558011001</v>
      </c>
      <c r="G448">
        <v>0.27743850785063101</v>
      </c>
      <c r="H448">
        <v>1.21643810698598E-2</v>
      </c>
      <c r="I448">
        <v>-0.45310256550396499</v>
      </c>
      <c r="J448">
        <v>-2.0299999999999998</v>
      </c>
      <c r="L448">
        <v>0.2896028889204908</v>
      </c>
      <c r="M448">
        <v>0.26527412678077122</v>
      </c>
      <c r="N448">
        <v>0.30176726999035064</v>
      </c>
      <c r="O448">
        <v>0.25310974571091138</v>
      </c>
    </row>
    <row r="449" spans="1:15">
      <c r="A449" s="19">
        <v>43202</v>
      </c>
      <c r="B449">
        <v>788.8</v>
      </c>
      <c r="C449">
        <v>783.7</v>
      </c>
      <c r="D449">
        <v>2880</v>
      </c>
      <c r="E449">
        <v>2863</v>
      </c>
      <c r="F449">
        <v>0.273733845616486</v>
      </c>
      <c r="G449">
        <v>0.27721249724289698</v>
      </c>
      <c r="H449">
        <v>1.24194829404627E-2</v>
      </c>
      <c r="I449">
        <v>-0.28009633276095403</v>
      </c>
      <c r="J449">
        <v>-1.27</v>
      </c>
      <c r="L449">
        <v>0.28963198018335967</v>
      </c>
      <c r="M449">
        <v>0.26479301430243429</v>
      </c>
      <c r="N449">
        <v>0.30205146312382236</v>
      </c>
      <c r="O449">
        <v>0.2523735313619716</v>
      </c>
    </row>
    <row r="450" spans="1:15">
      <c r="A450" s="19">
        <v>43201</v>
      </c>
      <c r="B450">
        <v>789</v>
      </c>
      <c r="C450">
        <v>789.3</v>
      </c>
      <c r="D450">
        <v>2892</v>
      </c>
      <c r="E450">
        <v>2890</v>
      </c>
      <c r="F450">
        <v>0.27311418685121103</v>
      </c>
      <c r="G450">
        <v>0.27697168699365099</v>
      </c>
      <c r="H450">
        <v>1.26574158134003E-2</v>
      </c>
      <c r="I450">
        <v>-0.30476206196502198</v>
      </c>
      <c r="J450">
        <v>-1.41</v>
      </c>
      <c r="L450">
        <v>0.28962910280705129</v>
      </c>
      <c r="M450">
        <v>0.26431427118025069</v>
      </c>
      <c r="N450">
        <v>0.30228651862045158</v>
      </c>
      <c r="O450">
        <v>0.2516568553668504</v>
      </c>
    </row>
    <row r="451" spans="1:15">
      <c r="A451" s="19">
        <v>43200</v>
      </c>
      <c r="B451">
        <v>774</v>
      </c>
      <c r="C451">
        <v>784.8</v>
      </c>
      <c r="D451">
        <v>2899</v>
      </c>
      <c r="E451">
        <v>2892</v>
      </c>
      <c r="F451">
        <v>0.271369294605809</v>
      </c>
      <c r="G451">
        <v>0.27667936064378101</v>
      </c>
      <c r="H451">
        <v>1.2991886712989601E-2</v>
      </c>
      <c r="I451">
        <v>-0.40872170111081901</v>
      </c>
      <c r="J451">
        <v>-1.96</v>
      </c>
      <c r="L451">
        <v>0.28967124735677063</v>
      </c>
      <c r="M451">
        <v>0.26368747393079139</v>
      </c>
      <c r="N451">
        <v>0.3026631340697602</v>
      </c>
      <c r="O451">
        <v>0.25069558721780183</v>
      </c>
    </row>
    <row r="452" spans="1:15">
      <c r="A452" s="19">
        <v>43199</v>
      </c>
      <c r="B452">
        <v>764.5</v>
      </c>
      <c r="C452">
        <v>768.2</v>
      </c>
      <c r="D452">
        <v>2886</v>
      </c>
      <c r="E452">
        <v>2900</v>
      </c>
      <c r="F452">
        <v>0.26489655172413701</v>
      </c>
      <c r="G452">
        <v>0.27641496615924699</v>
      </c>
      <c r="H452">
        <v>1.32954862086528E-2</v>
      </c>
      <c r="I452">
        <v>-0.86634021910485703</v>
      </c>
      <c r="J452">
        <v>-4.3499999999999996</v>
      </c>
      <c r="L452">
        <v>0.28971045236789977</v>
      </c>
      <c r="M452">
        <v>0.2631194799505942</v>
      </c>
      <c r="N452">
        <v>0.30300593857655261</v>
      </c>
      <c r="O452">
        <v>0.24982399374194139</v>
      </c>
    </row>
    <row r="453" spans="1:15">
      <c r="A453" s="19">
        <v>43196</v>
      </c>
      <c r="B453">
        <v>763.1</v>
      </c>
      <c r="C453">
        <v>764.8</v>
      </c>
      <c r="D453">
        <v>2906</v>
      </c>
      <c r="E453">
        <v>2895</v>
      </c>
      <c r="F453">
        <v>0.26417962003454198</v>
      </c>
      <c r="G453">
        <v>0.27620497934937399</v>
      </c>
      <c r="H453">
        <v>1.35967045195625E-2</v>
      </c>
      <c r="I453">
        <v>-0.88443190756481105</v>
      </c>
      <c r="J453">
        <v>-4.55</v>
      </c>
      <c r="L453">
        <v>0.28980168386893651</v>
      </c>
      <c r="M453">
        <v>0.26260827482981147</v>
      </c>
      <c r="N453">
        <v>0.30339838838849897</v>
      </c>
      <c r="O453">
        <v>0.24901157031024898</v>
      </c>
    </row>
    <row r="454" spans="1:15">
      <c r="A454" s="19">
        <v>43195</v>
      </c>
      <c r="B454">
        <v>757.2</v>
      </c>
      <c r="C454">
        <v>761.3</v>
      </c>
      <c r="D454">
        <v>2890</v>
      </c>
      <c r="E454">
        <v>2910</v>
      </c>
      <c r="F454">
        <v>0.26161512027491401</v>
      </c>
      <c r="G454">
        <v>0.27602839722346201</v>
      </c>
      <c r="H454">
        <v>1.38356320097715E-2</v>
      </c>
      <c r="I454">
        <v>-1.04175052779434</v>
      </c>
      <c r="J454">
        <v>-5.51</v>
      </c>
      <c r="L454">
        <v>0.28986402923323351</v>
      </c>
      <c r="M454">
        <v>0.2621927652136905</v>
      </c>
      <c r="N454">
        <v>0.30369966124300501</v>
      </c>
      <c r="O454">
        <v>0.248357133203919</v>
      </c>
    </row>
    <row r="455" spans="1:15">
      <c r="A455" s="19">
        <v>43194</v>
      </c>
      <c r="B455">
        <v>760.7</v>
      </c>
      <c r="C455">
        <v>760.3</v>
      </c>
      <c r="D455">
        <v>2796</v>
      </c>
      <c r="E455">
        <v>2852</v>
      </c>
      <c r="F455">
        <v>0.266584852734922</v>
      </c>
      <c r="G455">
        <v>0.275880523488648</v>
      </c>
      <c r="H455">
        <v>1.4046548855981901E-2</v>
      </c>
      <c r="I455">
        <v>-0.66177613085134201</v>
      </c>
      <c r="J455">
        <v>-3.49</v>
      </c>
      <c r="L455">
        <v>0.28992707234462989</v>
      </c>
      <c r="M455">
        <v>0.26183397463266611</v>
      </c>
      <c r="N455">
        <v>0.30397362120061178</v>
      </c>
      <c r="O455">
        <v>0.24778742577668419</v>
      </c>
    </row>
    <row r="456" spans="1:15">
      <c r="A456" s="19">
        <v>43193</v>
      </c>
      <c r="B456">
        <v>755</v>
      </c>
      <c r="C456">
        <v>759.9</v>
      </c>
      <c r="D456">
        <v>2789</v>
      </c>
      <c r="E456">
        <v>2792</v>
      </c>
      <c r="F456">
        <v>0.27217048710601699</v>
      </c>
      <c r="G456">
        <v>0.275673623098598</v>
      </c>
      <c r="H456">
        <v>1.4294050008894599E-2</v>
      </c>
      <c r="I456">
        <v>-0.24507651718030099</v>
      </c>
      <c r="J456">
        <v>-1.29</v>
      </c>
      <c r="L456">
        <v>0.28996767310749261</v>
      </c>
      <c r="M456">
        <v>0.26137957308970339</v>
      </c>
      <c r="N456">
        <v>0.30426172311638722</v>
      </c>
      <c r="O456">
        <v>0.24708552308080881</v>
      </c>
    </row>
    <row r="457" spans="1:15">
      <c r="A457" s="19">
        <v>43192</v>
      </c>
      <c r="B457">
        <v>770</v>
      </c>
      <c r="C457">
        <v>767.1</v>
      </c>
      <c r="D457">
        <v>2798</v>
      </c>
      <c r="E457">
        <v>2814</v>
      </c>
      <c r="F457">
        <v>0.27260127931769701</v>
      </c>
      <c r="G457">
        <v>0.27532118600275801</v>
      </c>
      <c r="H457">
        <v>1.46962858195759E-2</v>
      </c>
      <c r="I457">
        <v>-0.185074427542645</v>
      </c>
      <c r="J457">
        <v>-1</v>
      </c>
      <c r="L457">
        <v>0.29001747182233389</v>
      </c>
      <c r="M457">
        <v>0.26062490018318213</v>
      </c>
      <c r="N457">
        <v>0.30471375764190983</v>
      </c>
      <c r="O457">
        <v>0.24592861436360622</v>
      </c>
    </row>
    <row r="458" spans="1:15">
      <c r="A458" s="19">
        <v>43189</v>
      </c>
      <c r="B458">
        <v>773.8</v>
      </c>
      <c r="C458">
        <v>769.9</v>
      </c>
      <c r="D458">
        <v>2804</v>
      </c>
      <c r="E458">
        <v>2790</v>
      </c>
      <c r="F458">
        <v>0.27594982078852998</v>
      </c>
      <c r="G458">
        <v>0.27490601447364399</v>
      </c>
      <c r="H458">
        <v>1.51985019005514E-2</v>
      </c>
      <c r="I458">
        <v>6.8678236954934704E-2</v>
      </c>
      <c r="J458">
        <v>0.38</v>
      </c>
      <c r="L458">
        <v>0.29010451637419538</v>
      </c>
      <c r="M458">
        <v>0.2597075125730926</v>
      </c>
      <c r="N458">
        <v>0.30530301827474682</v>
      </c>
      <c r="O458">
        <v>0.24450901067254119</v>
      </c>
    </row>
    <row r="459" spans="1:15">
      <c r="A459" s="19">
        <v>43188</v>
      </c>
      <c r="B459">
        <v>775.5</v>
      </c>
      <c r="C459">
        <v>766.7</v>
      </c>
      <c r="D459">
        <v>2800</v>
      </c>
      <c r="E459">
        <v>2776</v>
      </c>
      <c r="F459">
        <v>0.27618876080691601</v>
      </c>
      <c r="G459">
        <v>0.27448116857963101</v>
      </c>
      <c r="H459">
        <v>1.56033363373942E-2</v>
      </c>
      <c r="I459">
        <v>0.109437635026359</v>
      </c>
      <c r="J459">
        <v>0.62</v>
      </c>
      <c r="L459">
        <v>0.2900845049170252</v>
      </c>
      <c r="M459">
        <v>0.25887783224223682</v>
      </c>
      <c r="N459">
        <v>0.30568784125441939</v>
      </c>
      <c r="O459">
        <v>0.2432744959048426</v>
      </c>
    </row>
    <row r="460" spans="1:15">
      <c r="A460" s="19">
        <v>43187</v>
      </c>
      <c r="B460">
        <v>746</v>
      </c>
      <c r="C460">
        <v>767.4</v>
      </c>
      <c r="D460">
        <v>2751</v>
      </c>
      <c r="E460">
        <v>2779</v>
      </c>
      <c r="F460">
        <v>0.27614249730118701</v>
      </c>
      <c r="G460">
        <v>0.27407848019194397</v>
      </c>
      <c r="H460">
        <v>1.5940154864897301E-2</v>
      </c>
      <c r="I460">
        <v>0.12948538622970401</v>
      </c>
      <c r="J460">
        <v>0.75</v>
      </c>
      <c r="L460">
        <v>0.29001863505684128</v>
      </c>
      <c r="M460">
        <v>0.25813832532704667</v>
      </c>
      <c r="N460">
        <v>0.30595878992173858</v>
      </c>
      <c r="O460">
        <v>0.24219817046214936</v>
      </c>
    </row>
    <row r="461" spans="1:15">
      <c r="A461" s="19">
        <v>43186</v>
      </c>
      <c r="B461">
        <v>760.7</v>
      </c>
      <c r="C461">
        <v>773.6</v>
      </c>
      <c r="D461">
        <v>2698</v>
      </c>
      <c r="E461">
        <v>2796</v>
      </c>
      <c r="F461">
        <v>0.276680972818311</v>
      </c>
      <c r="G461">
        <v>0.27369724247958399</v>
      </c>
      <c r="H461">
        <v>1.6225600053650001E-2</v>
      </c>
      <c r="I461">
        <v>0.183890292430573</v>
      </c>
      <c r="J461">
        <v>1.08</v>
      </c>
      <c r="L461">
        <v>0.28992284253323397</v>
      </c>
      <c r="M461">
        <v>0.25747164242593401</v>
      </c>
      <c r="N461">
        <v>0.30614844258688401</v>
      </c>
      <c r="O461">
        <v>0.24124604237228398</v>
      </c>
    </row>
    <row r="462" spans="1:15">
      <c r="A462" s="19">
        <v>43185</v>
      </c>
      <c r="B462">
        <v>754.4</v>
      </c>
      <c r="C462">
        <v>750</v>
      </c>
      <c r="D462">
        <v>2651</v>
      </c>
      <c r="E462">
        <v>2698</v>
      </c>
      <c r="F462">
        <v>0.27798369162342401</v>
      </c>
      <c r="G462">
        <v>0.273329415638427</v>
      </c>
      <c r="H462">
        <v>1.64647214427052E-2</v>
      </c>
      <c r="I462">
        <v>0.28268173264838697</v>
      </c>
      <c r="J462">
        <v>1.67</v>
      </c>
      <c r="L462">
        <v>0.28979413708113222</v>
      </c>
      <c r="M462">
        <v>0.25686469419572178</v>
      </c>
      <c r="N462">
        <v>0.30625885852383739</v>
      </c>
      <c r="O462">
        <v>0.24039997275301661</v>
      </c>
    </row>
    <row r="463" spans="1:15">
      <c r="A463" s="19">
        <v>43182</v>
      </c>
      <c r="B463">
        <v>761</v>
      </c>
      <c r="C463">
        <v>756.1</v>
      </c>
      <c r="D463">
        <v>2740</v>
      </c>
      <c r="E463">
        <v>2690</v>
      </c>
      <c r="F463">
        <v>0.28107806691449799</v>
      </c>
      <c r="G463">
        <v>0.272943855305671</v>
      </c>
      <c r="H463">
        <v>1.6688278664539001E-2</v>
      </c>
      <c r="I463">
        <v>0.487420648488543</v>
      </c>
      <c r="J463">
        <v>2.89</v>
      </c>
      <c r="L463">
        <v>0.28963213397020998</v>
      </c>
      <c r="M463">
        <v>0.25625557664113202</v>
      </c>
      <c r="N463">
        <v>0.30632041263474902</v>
      </c>
      <c r="O463">
        <v>0.23956729797659299</v>
      </c>
    </row>
    <row r="464" spans="1:15">
      <c r="A464" s="19">
        <v>43181</v>
      </c>
      <c r="B464">
        <v>777</v>
      </c>
      <c r="C464">
        <v>784.4</v>
      </c>
      <c r="D464">
        <v>2807</v>
      </c>
      <c r="E464">
        <v>2822</v>
      </c>
      <c r="F464">
        <v>0.27795889440113303</v>
      </c>
      <c r="G464">
        <v>0.27248342047408303</v>
      </c>
      <c r="H464">
        <v>1.6932103041476201E-2</v>
      </c>
      <c r="I464">
        <v>0.32337825452855501</v>
      </c>
      <c r="J464">
        <v>1.97</v>
      </c>
      <c r="L464">
        <v>0.28941552351555921</v>
      </c>
      <c r="M464">
        <v>0.25555131743260684</v>
      </c>
      <c r="N464">
        <v>0.3063476265570354</v>
      </c>
      <c r="O464">
        <v>0.23861921439113062</v>
      </c>
    </row>
    <row r="465" spans="1:15">
      <c r="A465" s="19">
        <v>43179</v>
      </c>
      <c r="B465">
        <v>765</v>
      </c>
      <c r="C465">
        <v>777.1</v>
      </c>
      <c r="D465">
        <v>2761</v>
      </c>
      <c r="E465">
        <v>2813</v>
      </c>
      <c r="F465">
        <v>0.27625311055812302</v>
      </c>
      <c r="G465">
        <v>0.272083644662095</v>
      </c>
      <c r="H465">
        <v>1.7150653664677301E-2</v>
      </c>
      <c r="I465">
        <v>0.24310827899315701</v>
      </c>
      <c r="J465">
        <v>1.51</v>
      </c>
      <c r="L465">
        <v>0.28923429832677228</v>
      </c>
      <c r="M465">
        <v>0.25493299099741773</v>
      </c>
      <c r="N465">
        <v>0.30638495199144961</v>
      </c>
      <c r="O465">
        <v>0.2377823373327404</v>
      </c>
    </row>
    <row r="466" spans="1:15">
      <c r="A466" s="19">
        <v>43178</v>
      </c>
      <c r="B466">
        <v>778.8</v>
      </c>
      <c r="C466">
        <v>768.3</v>
      </c>
      <c r="D466">
        <v>2799</v>
      </c>
      <c r="E466">
        <v>2807</v>
      </c>
      <c r="F466">
        <v>0.27370858567866002</v>
      </c>
      <c r="G466">
        <v>0.27169109835789201</v>
      </c>
      <c r="H466">
        <v>1.7386039133153199E-2</v>
      </c>
      <c r="I466">
        <v>0.116040652233457</v>
      </c>
      <c r="J466">
        <v>0.74</v>
      </c>
      <c r="L466">
        <v>0.28907713749104519</v>
      </c>
      <c r="M466">
        <v>0.25430505922473884</v>
      </c>
      <c r="N466">
        <v>0.30646317662419842</v>
      </c>
      <c r="O466">
        <v>0.23691902009158561</v>
      </c>
    </row>
    <row r="467" spans="1:15">
      <c r="A467" s="19">
        <v>43175</v>
      </c>
      <c r="B467">
        <v>783</v>
      </c>
      <c r="C467">
        <v>779.2</v>
      </c>
      <c r="D467">
        <v>2827</v>
      </c>
      <c r="E467">
        <v>2823</v>
      </c>
      <c r="F467">
        <v>0.27601842012043898</v>
      </c>
      <c r="G467">
        <v>0.27131655996913401</v>
      </c>
      <c r="H467">
        <v>1.7639267280219299E-2</v>
      </c>
      <c r="I467">
        <v>0.26655643211313501</v>
      </c>
      <c r="J467">
        <v>1.7</v>
      </c>
      <c r="L467">
        <v>0.28895582724935331</v>
      </c>
      <c r="M467">
        <v>0.2536772926889147</v>
      </c>
      <c r="N467">
        <v>0.30659509452957262</v>
      </c>
      <c r="O467">
        <v>0.2360380254086954</v>
      </c>
    </row>
    <row r="468" spans="1:15">
      <c r="A468" s="19">
        <v>43174</v>
      </c>
      <c r="B468">
        <v>781</v>
      </c>
      <c r="C468">
        <v>781.4</v>
      </c>
      <c r="D468">
        <v>2811</v>
      </c>
      <c r="E468">
        <v>2819</v>
      </c>
      <c r="F468">
        <v>0.27719049308265298</v>
      </c>
      <c r="G468">
        <v>0.27092872000645402</v>
      </c>
      <c r="H468">
        <v>1.7850145085236E-2</v>
      </c>
      <c r="I468">
        <v>0.35079676082731998</v>
      </c>
      <c r="J468">
        <v>2.2599999999999998</v>
      </c>
      <c r="L468">
        <v>0.28877886509169004</v>
      </c>
      <c r="M468">
        <v>0.25307857492121799</v>
      </c>
      <c r="N468">
        <v>0.30662901017692601</v>
      </c>
      <c r="O468">
        <v>0.23522842983598202</v>
      </c>
    </row>
    <row r="469" spans="1:15">
      <c r="A469" s="19">
        <v>43173</v>
      </c>
      <c r="B469">
        <v>780.8</v>
      </c>
      <c r="C469">
        <v>782.5</v>
      </c>
      <c r="D469">
        <v>2789</v>
      </c>
      <c r="E469">
        <v>2812</v>
      </c>
      <c r="F469">
        <v>0.278271692745376</v>
      </c>
      <c r="G469">
        <v>0.27055274199368601</v>
      </c>
      <c r="H469">
        <v>1.8010544191086601E-2</v>
      </c>
      <c r="I469">
        <v>0.428579540395578</v>
      </c>
      <c r="J469">
        <v>2.77</v>
      </c>
      <c r="L469">
        <v>0.28856328618477262</v>
      </c>
      <c r="M469">
        <v>0.2525421978025994</v>
      </c>
      <c r="N469">
        <v>0.30657383037585922</v>
      </c>
      <c r="O469">
        <v>0.23453165361151279</v>
      </c>
    </row>
    <row r="470" spans="1:15">
      <c r="A470" s="19">
        <v>43172</v>
      </c>
      <c r="B470">
        <v>783</v>
      </c>
      <c r="C470">
        <v>784.7</v>
      </c>
      <c r="D470">
        <v>2765</v>
      </c>
      <c r="E470">
        <v>2814</v>
      </c>
      <c r="F470">
        <v>0.278855721393034</v>
      </c>
      <c r="G470">
        <v>0.27019682898554698</v>
      </c>
      <c r="H470">
        <v>1.8117920223593501E-2</v>
      </c>
      <c r="I470">
        <v>0.47791867392216297</v>
      </c>
      <c r="J470">
        <v>3.11</v>
      </c>
      <c r="L470">
        <v>0.28831474920914046</v>
      </c>
      <c r="M470">
        <v>0.25207890876195349</v>
      </c>
      <c r="N470">
        <v>0.30643266943273395</v>
      </c>
      <c r="O470">
        <v>0.23396098853835998</v>
      </c>
    </row>
    <row r="471" spans="1:15">
      <c r="A471" s="19">
        <v>43171</v>
      </c>
      <c r="B471">
        <v>779.5</v>
      </c>
      <c r="C471">
        <v>787.1</v>
      </c>
      <c r="D471">
        <v>2783</v>
      </c>
      <c r="E471">
        <v>2789</v>
      </c>
      <c r="F471">
        <v>0.28221584797418398</v>
      </c>
      <c r="G471">
        <v>0.26983372652229598</v>
      </c>
      <c r="H471">
        <v>1.82133828383618E-2</v>
      </c>
      <c r="I471">
        <v>0.67983644563864598</v>
      </c>
      <c r="J471">
        <v>4.3899999999999997</v>
      </c>
      <c r="L471">
        <v>0.2880471093606578</v>
      </c>
      <c r="M471">
        <v>0.25162034368393416</v>
      </c>
      <c r="N471">
        <v>0.30626049219901957</v>
      </c>
      <c r="O471">
        <v>0.23340696084557239</v>
      </c>
    </row>
    <row r="472" spans="1:15">
      <c r="A472" s="19">
        <v>43168</v>
      </c>
      <c r="B472">
        <v>770</v>
      </c>
      <c r="C472">
        <v>765.8</v>
      </c>
      <c r="D472">
        <v>2771</v>
      </c>
      <c r="E472">
        <v>2746</v>
      </c>
      <c r="F472">
        <v>0.27887836853605202</v>
      </c>
      <c r="G472">
        <v>0.26948416306353901</v>
      </c>
      <c r="H472">
        <v>1.8223968867386101E-2</v>
      </c>
      <c r="I472">
        <v>0.51548625553927097</v>
      </c>
      <c r="J472">
        <v>3.37</v>
      </c>
      <c r="L472">
        <v>0.28770813193092509</v>
      </c>
      <c r="M472">
        <v>0.25126019419615292</v>
      </c>
      <c r="N472">
        <v>0.30593210079831124</v>
      </c>
      <c r="O472">
        <v>0.23303622532876681</v>
      </c>
    </row>
    <row r="473" spans="1:15">
      <c r="A473" s="19">
        <v>43167</v>
      </c>
      <c r="B473">
        <v>774.3</v>
      </c>
      <c r="C473">
        <v>766.2</v>
      </c>
      <c r="D473">
        <v>2751</v>
      </c>
      <c r="E473">
        <v>2721</v>
      </c>
      <c r="F473">
        <v>0.28158765159867699</v>
      </c>
      <c r="G473">
        <v>0.26913339586920698</v>
      </c>
      <c r="H473">
        <v>1.8292825569281201E-2</v>
      </c>
      <c r="I473">
        <v>0.68082733759750802</v>
      </c>
      <c r="J473">
        <v>4.42</v>
      </c>
      <c r="L473">
        <v>0.28742622143848817</v>
      </c>
      <c r="M473">
        <v>0.25084057029992579</v>
      </c>
      <c r="N473">
        <v>0.30571904700776936</v>
      </c>
      <c r="O473">
        <v>0.23254774473064457</v>
      </c>
    </row>
    <row r="474" spans="1:15">
      <c r="A474" s="19">
        <v>43166</v>
      </c>
      <c r="B474">
        <v>773.3</v>
      </c>
      <c r="C474">
        <v>769.2</v>
      </c>
      <c r="D474">
        <v>2710</v>
      </c>
      <c r="E474">
        <v>2736</v>
      </c>
      <c r="F474">
        <v>0.28114035087719302</v>
      </c>
      <c r="G474">
        <v>0.26879368785538199</v>
      </c>
      <c r="H474">
        <v>1.8294959959445401E-2</v>
      </c>
      <c r="I474">
        <v>0.67486690592269205</v>
      </c>
      <c r="J474">
        <v>4.3899999999999997</v>
      </c>
      <c r="L474">
        <v>0.2870886478148274</v>
      </c>
      <c r="M474">
        <v>0.25049872789593658</v>
      </c>
      <c r="N474">
        <v>0.30538360777427281</v>
      </c>
      <c r="O474">
        <v>0.2322037679364912</v>
      </c>
    </row>
    <row r="475" spans="1:15">
      <c r="A475" s="19">
        <v>43165</v>
      </c>
      <c r="B475">
        <v>784.5</v>
      </c>
      <c r="C475">
        <v>773.9</v>
      </c>
      <c r="D475">
        <v>2720</v>
      </c>
      <c r="E475">
        <v>2730</v>
      </c>
      <c r="F475">
        <v>0.28347985347985299</v>
      </c>
      <c r="G475">
        <v>0.26846936120913401</v>
      </c>
      <c r="H475">
        <v>1.8288814929726501E-2</v>
      </c>
      <c r="I475">
        <v>0.82074712486267798</v>
      </c>
      <c r="J475">
        <v>5.3</v>
      </c>
      <c r="L475">
        <v>0.28675817613886051</v>
      </c>
      <c r="M475">
        <v>0.2501805462794075</v>
      </c>
      <c r="N475">
        <v>0.30504699106858701</v>
      </c>
      <c r="O475">
        <v>0.231891731349681</v>
      </c>
    </row>
    <row r="476" spans="1:15">
      <c r="A476" s="19">
        <v>43164</v>
      </c>
      <c r="B476">
        <v>779.9</v>
      </c>
      <c r="C476">
        <v>769.5</v>
      </c>
      <c r="D476">
        <v>2660</v>
      </c>
      <c r="E476">
        <v>2700</v>
      </c>
      <c r="F476">
        <v>0.28499999999999998</v>
      </c>
      <c r="G476">
        <v>0.26809678715553398</v>
      </c>
      <c r="H476">
        <v>1.8263837414708599E-2</v>
      </c>
      <c r="I476">
        <v>0.92550171470825005</v>
      </c>
      <c r="J476">
        <v>5.93</v>
      </c>
      <c r="L476">
        <v>0.28636062457024258</v>
      </c>
      <c r="M476">
        <v>0.24983294974082537</v>
      </c>
      <c r="N476">
        <v>0.30462446198495119</v>
      </c>
      <c r="O476">
        <v>0.23156911232611677</v>
      </c>
    </row>
    <row r="477" spans="1:15">
      <c r="A477" s="19">
        <v>43161</v>
      </c>
      <c r="B477">
        <v>790</v>
      </c>
      <c r="C477">
        <v>783.8</v>
      </c>
      <c r="D477">
        <v>2607</v>
      </c>
      <c r="E477">
        <v>2637</v>
      </c>
      <c r="F477">
        <v>0.29723170269245303</v>
      </c>
      <c r="G477">
        <v>0.26782291637222899</v>
      </c>
      <c r="H477">
        <v>1.8162035955996199E-2</v>
      </c>
      <c r="I477">
        <v>1.6192450225006001</v>
      </c>
      <c r="J477">
        <v>9.89</v>
      </c>
      <c r="L477">
        <v>0.28598495232822518</v>
      </c>
      <c r="M477">
        <v>0.2496608804162328</v>
      </c>
      <c r="N477">
        <v>0.30414698828422138</v>
      </c>
      <c r="O477">
        <v>0.23149884446023661</v>
      </c>
    </row>
    <row r="478" spans="1:15">
      <c r="A478" s="19">
        <v>43160</v>
      </c>
      <c r="B478">
        <v>809.7</v>
      </c>
      <c r="C478">
        <v>801</v>
      </c>
      <c r="D478">
        <v>2748</v>
      </c>
      <c r="E478">
        <v>2692</v>
      </c>
      <c r="F478">
        <v>0.29754829123328302</v>
      </c>
      <c r="G478">
        <v>0.26738644619594298</v>
      </c>
      <c r="H478">
        <v>1.7840540733454601E-2</v>
      </c>
      <c r="I478">
        <v>1.69063513757632</v>
      </c>
      <c r="J478">
        <v>10.14</v>
      </c>
      <c r="L478">
        <v>0.28522698692939757</v>
      </c>
      <c r="M478">
        <v>0.24954590546248839</v>
      </c>
      <c r="N478">
        <v>0.30306752766285217</v>
      </c>
      <c r="O478">
        <v>0.23170536472903377</v>
      </c>
    </row>
    <row r="479" spans="1:15">
      <c r="A479" s="19">
        <v>43159</v>
      </c>
      <c r="B479">
        <v>827</v>
      </c>
      <c r="C479">
        <v>819.7</v>
      </c>
      <c r="D479">
        <v>2766</v>
      </c>
      <c r="E479">
        <v>2749</v>
      </c>
      <c r="F479">
        <v>0.29818115678428497</v>
      </c>
      <c r="G479">
        <v>0.26697559823119998</v>
      </c>
      <c r="H479">
        <v>1.7492625191175799E-2</v>
      </c>
      <c r="I479">
        <v>1.78392655259235</v>
      </c>
      <c r="J479">
        <v>10.47</v>
      </c>
      <c r="L479">
        <v>0.28446822342237577</v>
      </c>
      <c r="M479">
        <v>0.24948297304002418</v>
      </c>
      <c r="N479">
        <v>0.3019608486135516</v>
      </c>
      <c r="O479">
        <v>0.23199034784884839</v>
      </c>
    </row>
    <row r="480" spans="1:15">
      <c r="A480" s="19">
        <v>43158</v>
      </c>
      <c r="B480">
        <v>830</v>
      </c>
      <c r="C480">
        <v>831.2</v>
      </c>
      <c r="D480">
        <v>2784</v>
      </c>
      <c r="E480">
        <v>2762</v>
      </c>
      <c r="F480">
        <v>0.30094134685010798</v>
      </c>
      <c r="G480">
        <v>0.26660675154241098</v>
      </c>
      <c r="H480">
        <v>1.71183920184751E-2</v>
      </c>
      <c r="I480">
        <v>2.0057138118253599</v>
      </c>
      <c r="J480">
        <v>11.41</v>
      </c>
      <c r="L480">
        <v>0.28372514356088607</v>
      </c>
      <c r="M480">
        <v>0.24948835952393589</v>
      </c>
      <c r="N480">
        <v>0.30084353557936117</v>
      </c>
      <c r="O480">
        <v>0.23236996750546079</v>
      </c>
    </row>
    <row r="481" spans="1:15">
      <c r="A481" s="19">
        <v>43157</v>
      </c>
      <c r="B481">
        <v>821.9</v>
      </c>
      <c r="C481">
        <v>828.3</v>
      </c>
      <c r="D481">
        <v>2755</v>
      </c>
      <c r="E481">
        <v>2753</v>
      </c>
      <c r="F481">
        <v>0.300871776244097</v>
      </c>
      <c r="G481">
        <v>0.266204852225365</v>
      </c>
      <c r="H481">
        <v>1.66551478830082E-2</v>
      </c>
      <c r="I481">
        <v>2.08145399021641</v>
      </c>
      <c r="J481">
        <v>11.52</v>
      </c>
      <c r="L481">
        <v>0.2828600001083732</v>
      </c>
      <c r="M481">
        <v>0.24954970434235679</v>
      </c>
      <c r="N481">
        <v>0.2995151479913814</v>
      </c>
      <c r="O481">
        <v>0.23289455645934859</v>
      </c>
    </row>
    <row r="482" spans="1:15">
      <c r="A482" s="19">
        <v>43154</v>
      </c>
      <c r="B482">
        <v>801.1</v>
      </c>
      <c r="C482">
        <v>814.5</v>
      </c>
      <c r="D482">
        <v>2706</v>
      </c>
      <c r="E482">
        <v>2724</v>
      </c>
      <c r="F482">
        <v>0.29900881057268702</v>
      </c>
      <c r="G482">
        <v>0.26571542386091601</v>
      </c>
      <c r="H482">
        <v>1.6161248971832399E-2</v>
      </c>
      <c r="I482">
        <v>2.0600751074250598</v>
      </c>
      <c r="J482">
        <v>11.13</v>
      </c>
      <c r="L482">
        <v>0.28187667283274842</v>
      </c>
      <c r="M482">
        <v>0.2495541748890836</v>
      </c>
      <c r="N482">
        <v>0.29803792180458083</v>
      </c>
      <c r="O482">
        <v>0.23339292591725122</v>
      </c>
    </row>
    <row r="483" spans="1:15">
      <c r="A483" s="19">
        <v>43153</v>
      </c>
      <c r="B483">
        <v>796.6</v>
      </c>
      <c r="C483">
        <v>799</v>
      </c>
      <c r="D483">
        <v>2700</v>
      </c>
      <c r="E483">
        <v>2701</v>
      </c>
      <c r="F483">
        <v>0.29581636430951402</v>
      </c>
      <c r="G483">
        <v>0.26531272484601698</v>
      </c>
      <c r="H483">
        <v>1.5696237161021601E-2</v>
      </c>
      <c r="I483">
        <v>1.9433727428155401</v>
      </c>
      <c r="J483">
        <v>10.31</v>
      </c>
      <c r="L483">
        <v>0.28100896200703857</v>
      </c>
      <c r="M483">
        <v>0.24961648768499539</v>
      </c>
      <c r="N483">
        <v>0.29670519916806015</v>
      </c>
      <c r="O483">
        <v>0.23392025052397378</v>
      </c>
    </row>
    <row r="484" spans="1:15">
      <c r="A484" s="19">
        <v>43152</v>
      </c>
      <c r="B484">
        <v>810</v>
      </c>
      <c r="C484">
        <v>807.1</v>
      </c>
      <c r="D484">
        <v>2703</v>
      </c>
      <c r="E484">
        <v>2739</v>
      </c>
      <c r="F484">
        <v>0.29466958744067101</v>
      </c>
      <c r="G484">
        <v>0.26485239247474401</v>
      </c>
      <c r="H484">
        <v>1.52960541203524E-2</v>
      </c>
      <c r="I484">
        <v>1.94933900804217</v>
      </c>
      <c r="J484">
        <v>10.119999999999999</v>
      </c>
      <c r="L484">
        <v>0.28014844659509641</v>
      </c>
      <c r="M484">
        <v>0.24955633835439162</v>
      </c>
      <c r="N484">
        <v>0.29544450071544881</v>
      </c>
      <c r="O484">
        <v>0.23426028423403922</v>
      </c>
    </row>
    <row r="485" spans="1:15">
      <c r="A485" s="19">
        <v>43151</v>
      </c>
      <c r="B485">
        <v>809.6</v>
      </c>
      <c r="C485">
        <v>810.5</v>
      </c>
      <c r="D485">
        <v>2700</v>
      </c>
      <c r="E485">
        <v>2689</v>
      </c>
      <c r="F485">
        <v>0.30141316474525798</v>
      </c>
      <c r="G485">
        <v>0.26446811264312398</v>
      </c>
      <c r="H485">
        <v>1.48990144478158E-2</v>
      </c>
      <c r="I485">
        <v>2.4796977163513199</v>
      </c>
      <c r="J485">
        <v>12.26</v>
      </c>
      <c r="L485">
        <v>0.2793671270909398</v>
      </c>
      <c r="M485">
        <v>0.24956909819530818</v>
      </c>
      <c r="N485">
        <v>0.29426614153875558</v>
      </c>
      <c r="O485">
        <v>0.23467008374749238</v>
      </c>
    </row>
    <row r="486" spans="1:15">
      <c r="A486" s="19">
        <v>43150</v>
      </c>
      <c r="B486">
        <v>793.2</v>
      </c>
      <c r="C486">
        <v>812.5</v>
      </c>
      <c r="D486">
        <v>2710</v>
      </c>
      <c r="E486">
        <v>2712</v>
      </c>
      <c r="F486">
        <v>0.29959439528023601</v>
      </c>
      <c r="G486">
        <v>0.26397559224622302</v>
      </c>
      <c r="H486">
        <v>1.42667059031643E-2</v>
      </c>
      <c r="I486">
        <v>2.49663820616867</v>
      </c>
      <c r="J486">
        <v>11.89</v>
      </c>
      <c r="L486">
        <v>0.27824229814938733</v>
      </c>
      <c r="M486">
        <v>0.24970888634305871</v>
      </c>
      <c r="N486">
        <v>0.29250900405255165</v>
      </c>
      <c r="O486">
        <v>0.23544218043989443</v>
      </c>
    </row>
    <row r="487" spans="1:15">
      <c r="A487" s="19">
        <v>43147</v>
      </c>
      <c r="B487">
        <v>776</v>
      </c>
      <c r="C487">
        <v>782.7</v>
      </c>
      <c r="D487">
        <v>2676</v>
      </c>
      <c r="E487">
        <v>2660</v>
      </c>
      <c r="F487">
        <v>0.29424812030075098</v>
      </c>
      <c r="G487">
        <v>0.26350375892984301</v>
      </c>
      <c r="H487">
        <v>1.36528749943134E-2</v>
      </c>
      <c r="I487">
        <v>2.2518598744743099</v>
      </c>
      <c r="J487">
        <v>10.45</v>
      </c>
      <c r="L487">
        <v>0.2771566339241564</v>
      </c>
      <c r="M487">
        <v>0.24985088393552962</v>
      </c>
      <c r="N487">
        <v>0.29080950891846979</v>
      </c>
      <c r="O487">
        <v>0.2361980089412162</v>
      </c>
    </row>
    <row r="488" spans="1:15">
      <c r="A488" s="19">
        <v>43146</v>
      </c>
      <c r="B488">
        <v>775.7</v>
      </c>
      <c r="C488">
        <v>772</v>
      </c>
      <c r="D488">
        <v>2685</v>
      </c>
      <c r="E488">
        <v>2658</v>
      </c>
      <c r="F488">
        <v>0.29044394281414598</v>
      </c>
      <c r="G488">
        <v>0.26313338093482103</v>
      </c>
      <c r="H488">
        <v>1.31824973106506E-2</v>
      </c>
      <c r="I488">
        <v>2.0717289930534899</v>
      </c>
      <c r="J488">
        <v>9.4</v>
      </c>
      <c r="L488">
        <v>0.2763158782454716</v>
      </c>
      <c r="M488">
        <v>0.24995088362417042</v>
      </c>
      <c r="N488">
        <v>0.28949837555612223</v>
      </c>
      <c r="O488">
        <v>0.23676838631351982</v>
      </c>
    </row>
    <row r="489" spans="1:15">
      <c r="A489" s="19">
        <v>43145</v>
      </c>
      <c r="B489">
        <v>781.8</v>
      </c>
      <c r="C489">
        <v>770.2</v>
      </c>
      <c r="D489">
        <v>2705</v>
      </c>
      <c r="E489">
        <v>2652</v>
      </c>
      <c r="F489">
        <v>0.29042232277526397</v>
      </c>
      <c r="G489">
        <v>0.26278723181224101</v>
      </c>
      <c r="H489">
        <v>1.279600731465E-2</v>
      </c>
      <c r="I489">
        <v>2.1596651426873401</v>
      </c>
      <c r="J489">
        <v>9.52</v>
      </c>
      <c r="L489">
        <v>0.27558323912689103</v>
      </c>
      <c r="M489">
        <v>0.24999122449759101</v>
      </c>
      <c r="N489">
        <v>0.288379246441541</v>
      </c>
      <c r="O489">
        <v>0.23719521718294101</v>
      </c>
    </row>
    <row r="490" spans="1:15">
      <c r="A490" s="19">
        <v>43144</v>
      </c>
      <c r="B490">
        <v>797.6</v>
      </c>
      <c r="C490">
        <v>782.6</v>
      </c>
      <c r="D490">
        <v>2771</v>
      </c>
      <c r="E490">
        <v>2682</v>
      </c>
      <c r="F490">
        <v>0.29179716629380997</v>
      </c>
      <c r="G490">
        <v>0.26242902688429898</v>
      </c>
      <c r="H490">
        <v>1.2386878084172799E-2</v>
      </c>
      <c r="I490">
        <v>2.3709072786496299</v>
      </c>
      <c r="J490">
        <v>10.06</v>
      </c>
      <c r="L490">
        <v>0.2748159049684718</v>
      </c>
      <c r="M490">
        <v>0.25004214880012615</v>
      </c>
      <c r="N490">
        <v>0.28720278305264457</v>
      </c>
      <c r="O490">
        <v>0.23765527071595338</v>
      </c>
    </row>
    <row r="491" spans="1:15">
      <c r="A491" s="19">
        <v>43140</v>
      </c>
      <c r="B491">
        <v>777</v>
      </c>
      <c r="C491">
        <v>789.4</v>
      </c>
      <c r="D491">
        <v>2724</v>
      </c>
      <c r="E491">
        <v>2746</v>
      </c>
      <c r="F491">
        <v>0.28747268754552002</v>
      </c>
      <c r="G491">
        <v>0.262018735079033</v>
      </c>
      <c r="H491">
        <v>1.19076802042026E-2</v>
      </c>
      <c r="I491">
        <v>2.1376080000454798</v>
      </c>
      <c r="J491">
        <v>8.85</v>
      </c>
      <c r="L491">
        <v>0.27392641528323558</v>
      </c>
      <c r="M491">
        <v>0.25011105487483043</v>
      </c>
      <c r="N491">
        <v>0.28583409548743821</v>
      </c>
      <c r="O491">
        <v>0.2382033746706278</v>
      </c>
    </row>
    <row r="492" spans="1:15">
      <c r="A492" s="19">
        <v>43139</v>
      </c>
      <c r="B492">
        <v>780</v>
      </c>
      <c r="C492">
        <v>801.7</v>
      </c>
      <c r="D492">
        <v>2807</v>
      </c>
      <c r="E492">
        <v>2806</v>
      </c>
      <c r="F492">
        <v>0.28570919458303601</v>
      </c>
      <c r="G492">
        <v>0.26167402882255802</v>
      </c>
      <c r="H492">
        <v>1.15341853787708E-2</v>
      </c>
      <c r="I492">
        <v>2.0838199639755701</v>
      </c>
      <c r="J492">
        <v>8.41</v>
      </c>
      <c r="L492">
        <v>0.27320821420132885</v>
      </c>
      <c r="M492">
        <v>0.2501398434437872</v>
      </c>
      <c r="N492">
        <v>0.28474239958009961</v>
      </c>
      <c r="O492">
        <v>0.23860565806501643</v>
      </c>
    </row>
    <row r="493" spans="1:15">
      <c r="A493" s="19">
        <v>43138</v>
      </c>
      <c r="B493">
        <v>835.9</v>
      </c>
      <c r="C493">
        <v>785.4</v>
      </c>
      <c r="D493">
        <v>2833</v>
      </c>
      <c r="E493">
        <v>2806</v>
      </c>
      <c r="F493">
        <v>0.27990021382751201</v>
      </c>
      <c r="G493">
        <v>0.26136952338983399</v>
      </c>
      <c r="H493">
        <v>1.11920194149313E-2</v>
      </c>
      <c r="I493">
        <v>1.6557057087442499</v>
      </c>
      <c r="J493">
        <v>6.62</v>
      </c>
      <c r="L493">
        <v>0.2725615428047653</v>
      </c>
      <c r="M493">
        <v>0.25017750397490268</v>
      </c>
      <c r="N493">
        <v>0.28375356221969661</v>
      </c>
      <c r="O493">
        <v>0.2389854845599714</v>
      </c>
    </row>
    <row r="494" spans="1:15">
      <c r="A494" s="19">
        <v>43137</v>
      </c>
      <c r="B494">
        <v>780</v>
      </c>
      <c r="C494">
        <v>813.6</v>
      </c>
      <c r="D494">
        <v>2874</v>
      </c>
      <c r="E494">
        <v>2816</v>
      </c>
      <c r="F494">
        <v>0.28892045454545401</v>
      </c>
      <c r="G494">
        <v>0.261143085858074</v>
      </c>
      <c r="H494">
        <v>1.0984693154731001E-2</v>
      </c>
      <c r="I494">
        <v>2.52873414815569</v>
      </c>
      <c r="J494">
        <v>9.61</v>
      </c>
      <c r="L494">
        <v>0.27212777901280499</v>
      </c>
      <c r="M494">
        <v>0.250158392703343</v>
      </c>
      <c r="N494">
        <v>0.28311247216753599</v>
      </c>
      <c r="O494">
        <v>0.23917369954861201</v>
      </c>
    </row>
    <row r="495" spans="1:15">
      <c r="A495" s="19">
        <v>43136</v>
      </c>
      <c r="B495">
        <v>812</v>
      </c>
      <c r="C495">
        <v>820.3</v>
      </c>
      <c r="D495">
        <v>2994</v>
      </c>
      <c r="E495">
        <v>2974</v>
      </c>
      <c r="F495">
        <v>0.27582380632145198</v>
      </c>
      <c r="G495">
        <v>0.26078599073607001</v>
      </c>
      <c r="H495">
        <v>1.05005433439715E-2</v>
      </c>
      <c r="I495">
        <v>1.4320988060122699</v>
      </c>
      <c r="J495">
        <v>5.45</v>
      </c>
      <c r="L495">
        <v>0.2712865340800415</v>
      </c>
      <c r="M495">
        <v>0.25028544739209851</v>
      </c>
      <c r="N495">
        <v>0.28178707742401299</v>
      </c>
      <c r="O495">
        <v>0.239784904048127</v>
      </c>
    </row>
    <row r="496" spans="1:15">
      <c r="A496" s="19">
        <v>43133</v>
      </c>
      <c r="B496">
        <v>832.2</v>
      </c>
      <c r="C496">
        <v>836.8</v>
      </c>
      <c r="D496">
        <v>3030</v>
      </c>
      <c r="E496">
        <v>3155</v>
      </c>
      <c r="F496">
        <v>0.26522979397781299</v>
      </c>
      <c r="G496">
        <v>0.260589451888183</v>
      </c>
      <c r="H496">
        <v>1.0354169063945901E-2</v>
      </c>
      <c r="I496">
        <v>0.448161707711344</v>
      </c>
      <c r="J496">
        <v>1.75</v>
      </c>
      <c r="L496">
        <v>0.27094362095212887</v>
      </c>
      <c r="M496">
        <v>0.25023528282423713</v>
      </c>
      <c r="N496">
        <v>0.2812977900160748</v>
      </c>
      <c r="O496">
        <v>0.2398811137602912</v>
      </c>
    </row>
    <row r="497" spans="1:15">
      <c r="A497" s="19">
        <v>43132</v>
      </c>
      <c r="B497">
        <v>823.3</v>
      </c>
      <c r="C497">
        <v>833.8</v>
      </c>
      <c r="D497">
        <v>2987</v>
      </c>
      <c r="E497">
        <v>3050</v>
      </c>
      <c r="F497">
        <v>0.27337704918032701</v>
      </c>
      <c r="G497">
        <v>0.26056529636451298</v>
      </c>
      <c r="H497">
        <v>1.0345424854899501E-2</v>
      </c>
      <c r="I497">
        <v>1.23839793875131</v>
      </c>
      <c r="J497">
        <v>4.6900000000000004</v>
      </c>
      <c r="L497">
        <v>0.27091072121941245</v>
      </c>
      <c r="M497">
        <v>0.2502198715096135</v>
      </c>
      <c r="N497">
        <v>0.28125614607431199</v>
      </c>
      <c r="O497">
        <v>0.23987444665471397</v>
      </c>
    </row>
    <row r="498" spans="1:15">
      <c r="A498" s="19">
        <v>43131</v>
      </c>
      <c r="B498">
        <v>822</v>
      </c>
      <c r="C498">
        <v>818.2</v>
      </c>
      <c r="D498">
        <v>2995</v>
      </c>
      <c r="E498">
        <v>2971</v>
      </c>
      <c r="F498">
        <v>0.275395489734096</v>
      </c>
      <c r="G498">
        <v>0.26044009600678097</v>
      </c>
      <c r="H498">
        <v>1.02459603232484E-2</v>
      </c>
      <c r="I498">
        <v>1.45963806763731</v>
      </c>
      <c r="J498">
        <v>5.43</v>
      </c>
      <c r="L498">
        <v>0.2706860563300294</v>
      </c>
      <c r="M498">
        <v>0.25019413568353255</v>
      </c>
      <c r="N498">
        <v>0.28093201665327777</v>
      </c>
      <c r="O498">
        <v>0.23994817536028418</v>
      </c>
    </row>
    <row r="499" spans="1:15">
      <c r="A499" s="19">
        <v>43130</v>
      </c>
      <c r="B499">
        <v>839.9</v>
      </c>
      <c r="C499">
        <v>833.4</v>
      </c>
      <c r="D499">
        <v>3020</v>
      </c>
      <c r="E499">
        <v>3000</v>
      </c>
      <c r="F499">
        <v>0.27779999999999999</v>
      </c>
      <c r="G499">
        <v>0.26031370968267897</v>
      </c>
      <c r="H499">
        <v>1.01183708018773E-2</v>
      </c>
      <c r="I499">
        <v>1.7281725150926099</v>
      </c>
      <c r="J499">
        <v>6.29</v>
      </c>
      <c r="L499">
        <v>0.27043208048455625</v>
      </c>
      <c r="M499">
        <v>0.2501953388808017</v>
      </c>
      <c r="N499">
        <v>0.28055045128643358</v>
      </c>
      <c r="O499">
        <v>0.24007696807892437</v>
      </c>
    </row>
    <row r="500" spans="1:15">
      <c r="A500" s="19">
        <v>43129</v>
      </c>
      <c r="B500">
        <v>844.4</v>
      </c>
      <c r="C500">
        <v>846.3</v>
      </c>
      <c r="D500">
        <v>3020</v>
      </c>
      <c r="E500">
        <v>3015</v>
      </c>
      <c r="F500">
        <v>0.280696517412935</v>
      </c>
      <c r="G500">
        <v>0.26026904902201897</v>
      </c>
      <c r="H500">
        <v>1.0048240027453499E-2</v>
      </c>
      <c r="I500">
        <v>2.0329399312819501</v>
      </c>
      <c r="J500">
        <v>7.28</v>
      </c>
      <c r="L500">
        <v>0.2703172890494725</v>
      </c>
      <c r="M500">
        <v>0.25022080899456545</v>
      </c>
      <c r="N500">
        <v>0.28036552907692597</v>
      </c>
      <c r="O500">
        <v>0.24017256896711198</v>
      </c>
    </row>
    <row r="501" spans="1:15">
      <c r="A501" s="19">
        <v>43126</v>
      </c>
      <c r="B501">
        <v>845</v>
      </c>
      <c r="C501">
        <v>841.9</v>
      </c>
      <c r="D501">
        <v>3050</v>
      </c>
      <c r="E501">
        <v>3020</v>
      </c>
      <c r="F501">
        <v>0.27877483443708601</v>
      </c>
      <c r="G501">
        <v>0.26016218723016998</v>
      </c>
      <c r="H501">
        <v>9.8714910043095402E-3</v>
      </c>
      <c r="I501">
        <v>1.8854950279334901</v>
      </c>
      <c r="J501">
        <v>6.68</v>
      </c>
      <c r="L501">
        <v>0.27003367823447955</v>
      </c>
      <c r="M501">
        <v>0.25029069622586042</v>
      </c>
      <c r="N501">
        <v>0.27990516923878905</v>
      </c>
      <c r="O501">
        <v>0.24041920522155091</v>
      </c>
    </row>
    <row r="502" spans="1:15">
      <c r="A502" s="19">
        <v>43125</v>
      </c>
      <c r="B502">
        <v>843.2</v>
      </c>
      <c r="C502">
        <v>845.1</v>
      </c>
      <c r="D502">
        <v>3055</v>
      </c>
      <c r="E502">
        <v>3045</v>
      </c>
      <c r="F502">
        <v>0.27753694581280702</v>
      </c>
      <c r="G502">
        <v>0.26004894530622003</v>
      </c>
      <c r="H502">
        <v>9.7046291508893507E-3</v>
      </c>
      <c r="I502">
        <v>1.80202666528323</v>
      </c>
      <c r="J502">
        <v>6.3</v>
      </c>
      <c r="L502">
        <v>0.2697535744571094</v>
      </c>
      <c r="M502">
        <v>0.25034431615533065</v>
      </c>
      <c r="N502">
        <v>0.27945820360799872</v>
      </c>
      <c r="O502">
        <v>0.24063968700444133</v>
      </c>
    </row>
    <row r="503" spans="1:15">
      <c r="A503" s="19">
        <v>43124</v>
      </c>
      <c r="B503">
        <v>846.3</v>
      </c>
      <c r="C503">
        <v>847.4</v>
      </c>
      <c r="D503">
        <v>3085</v>
      </c>
      <c r="E503">
        <v>3080</v>
      </c>
      <c r="F503">
        <v>0.27512987012987</v>
      </c>
      <c r="G503">
        <v>0.25999399841809601</v>
      </c>
      <c r="H503">
        <v>9.6167261799263402E-3</v>
      </c>
      <c r="I503">
        <v>1.5739110616841201</v>
      </c>
      <c r="J503">
        <v>5.5</v>
      </c>
      <c r="L503">
        <v>0.26961072459802232</v>
      </c>
      <c r="M503">
        <v>0.25037727223816969</v>
      </c>
      <c r="N503">
        <v>0.27922745077794869</v>
      </c>
      <c r="O503">
        <v>0.24076054605824332</v>
      </c>
    </row>
    <row r="504" spans="1:15">
      <c r="A504" s="19">
        <v>43123</v>
      </c>
      <c r="B504">
        <v>853.2</v>
      </c>
      <c r="C504">
        <v>846.7</v>
      </c>
      <c r="D504">
        <v>3085</v>
      </c>
      <c r="E504">
        <v>3070</v>
      </c>
      <c r="F504">
        <v>0.27579804560260501</v>
      </c>
      <c r="G504">
        <v>0.259986665576941</v>
      </c>
      <c r="H504">
        <v>9.6053851330945E-3</v>
      </c>
      <c r="I504">
        <v>1.64609537322842</v>
      </c>
      <c r="J504">
        <v>5.73</v>
      </c>
      <c r="L504">
        <v>0.2695920507100355</v>
      </c>
      <c r="M504">
        <v>0.2503812804438465</v>
      </c>
      <c r="N504">
        <v>0.27919743584313</v>
      </c>
      <c r="O504">
        <v>0.240775895310752</v>
      </c>
    </row>
    <row r="505" spans="1:15">
      <c r="A505" s="19">
        <v>43122</v>
      </c>
      <c r="B505">
        <v>859.9</v>
      </c>
      <c r="C505">
        <v>852.9</v>
      </c>
      <c r="D505">
        <v>3065</v>
      </c>
      <c r="E505">
        <v>3055</v>
      </c>
      <c r="F505">
        <v>0.27918166939443501</v>
      </c>
      <c r="G505">
        <v>0.25999255983590902</v>
      </c>
      <c r="H505">
        <v>9.6152164417369693E-3</v>
      </c>
      <c r="I505">
        <v>1.9957022990383699</v>
      </c>
      <c r="J505">
        <v>6.87</v>
      </c>
      <c r="L505">
        <v>0.26960777627764598</v>
      </c>
      <c r="M505">
        <v>0.25037734339417206</v>
      </c>
      <c r="N505">
        <v>0.27922299271938295</v>
      </c>
      <c r="O505">
        <v>0.2407621269524351</v>
      </c>
    </row>
    <row r="506" spans="1:15">
      <c r="A506" s="19">
        <v>43119</v>
      </c>
      <c r="B506">
        <v>844</v>
      </c>
      <c r="C506">
        <v>861.1</v>
      </c>
      <c r="D506">
        <v>3075</v>
      </c>
      <c r="E506">
        <v>3075</v>
      </c>
      <c r="F506">
        <v>0.28003252032520298</v>
      </c>
      <c r="G506">
        <v>0.25996774200731498</v>
      </c>
      <c r="H506">
        <v>9.5679413448904096E-3</v>
      </c>
      <c r="I506">
        <v>2.0970841683308201</v>
      </c>
      <c r="J506">
        <v>7.17</v>
      </c>
      <c r="L506">
        <v>0.2695356833522054</v>
      </c>
      <c r="M506">
        <v>0.25039980066242457</v>
      </c>
      <c r="N506">
        <v>0.27910362469709582</v>
      </c>
      <c r="O506">
        <v>0.24083185931753417</v>
      </c>
    </row>
    <row r="507" spans="1:15">
      <c r="A507" s="19">
        <v>43118</v>
      </c>
      <c r="B507">
        <v>850</v>
      </c>
      <c r="C507">
        <v>841.7</v>
      </c>
      <c r="D507">
        <v>3115</v>
      </c>
      <c r="E507">
        <v>3055</v>
      </c>
      <c r="F507">
        <v>0.27551554828150498</v>
      </c>
      <c r="G507">
        <v>0.259888188586754</v>
      </c>
      <c r="H507">
        <v>9.4245098196552406E-3</v>
      </c>
      <c r="I507">
        <v>1.6581615377130701</v>
      </c>
      <c r="J507">
        <v>5.67</v>
      </c>
      <c r="L507">
        <v>0.26931269840640926</v>
      </c>
      <c r="M507">
        <v>0.25046367876709874</v>
      </c>
      <c r="N507">
        <v>0.27873720822606446</v>
      </c>
      <c r="O507">
        <v>0.24103916894744351</v>
      </c>
    </row>
    <row r="508" spans="1:15">
      <c r="A508" s="19">
        <v>43117</v>
      </c>
      <c r="B508">
        <v>841.1</v>
      </c>
      <c r="C508">
        <v>843.2</v>
      </c>
      <c r="D508">
        <v>3100</v>
      </c>
      <c r="E508">
        <v>3095</v>
      </c>
      <c r="F508">
        <v>0.27243941841680103</v>
      </c>
      <c r="G508">
        <v>0.25989906041302402</v>
      </c>
      <c r="H508">
        <v>9.4429829910359399E-3</v>
      </c>
      <c r="I508">
        <v>1.32800811096247</v>
      </c>
      <c r="J508">
        <v>4.5999999999999996</v>
      </c>
      <c r="L508">
        <v>0.26934204340405998</v>
      </c>
      <c r="M508">
        <v>0.25045607742198805</v>
      </c>
      <c r="N508">
        <v>0.27878502639509589</v>
      </c>
      <c r="O508">
        <v>0.24101309443095215</v>
      </c>
    </row>
    <row r="509" spans="1:15">
      <c r="A509" s="19">
        <v>43116</v>
      </c>
      <c r="B509">
        <v>860</v>
      </c>
      <c r="C509">
        <v>856.1</v>
      </c>
      <c r="D509">
        <v>3155</v>
      </c>
      <c r="E509">
        <v>3130</v>
      </c>
      <c r="F509">
        <v>0.27351437699680498</v>
      </c>
      <c r="G509">
        <v>0.260001714620334</v>
      </c>
      <c r="H509">
        <v>9.6189590067793599E-3</v>
      </c>
      <c r="I509">
        <v>1.40479467340979</v>
      </c>
      <c r="J509">
        <v>4.9400000000000004</v>
      </c>
      <c r="L509">
        <v>0.26962067362711334</v>
      </c>
      <c r="M509">
        <v>0.25038275561355466</v>
      </c>
      <c r="N509">
        <v>0.27923963263389273</v>
      </c>
      <c r="O509">
        <v>0.24076379660677527</v>
      </c>
    </row>
    <row r="510" spans="1:15">
      <c r="A510" s="19">
        <v>43115</v>
      </c>
      <c r="B510">
        <v>860</v>
      </c>
      <c r="C510">
        <v>862.3</v>
      </c>
      <c r="D510">
        <v>3155</v>
      </c>
      <c r="E510">
        <v>3155</v>
      </c>
      <c r="F510">
        <v>0.27331220285261398</v>
      </c>
      <c r="G510">
        <v>0.26009523029777998</v>
      </c>
      <c r="H510">
        <v>9.7825767254476892E-3</v>
      </c>
      <c r="I510">
        <v>1.3510727209992099</v>
      </c>
      <c r="J510">
        <v>4.84</v>
      </c>
      <c r="L510">
        <v>0.26987780702322767</v>
      </c>
      <c r="M510">
        <v>0.25031265357233229</v>
      </c>
      <c r="N510">
        <v>0.27966038374867536</v>
      </c>
      <c r="O510">
        <v>0.2405300768468846</v>
      </c>
    </row>
    <row r="511" spans="1:15">
      <c r="A511" s="19">
        <v>43112</v>
      </c>
      <c r="B511">
        <v>855.4</v>
      </c>
      <c r="C511">
        <v>855.9</v>
      </c>
      <c r="D511">
        <v>3160</v>
      </c>
      <c r="E511">
        <v>3130</v>
      </c>
      <c r="F511">
        <v>0.27345047923322602</v>
      </c>
      <c r="G511">
        <v>0.26019663334231402</v>
      </c>
      <c r="H511">
        <v>9.9569172253790601E-3</v>
      </c>
      <c r="I511">
        <v>1.3311194208916</v>
      </c>
      <c r="J511">
        <v>4.8499999999999996</v>
      </c>
      <c r="L511">
        <v>0.27015355056769308</v>
      </c>
      <c r="M511">
        <v>0.25023971611693496</v>
      </c>
      <c r="N511">
        <v>0.28011046779307214</v>
      </c>
      <c r="O511">
        <v>0.2402827988915559</v>
      </c>
    </row>
    <row r="512" spans="1:15">
      <c r="A512" s="19">
        <v>43111</v>
      </c>
      <c r="B512">
        <v>845.5</v>
      </c>
      <c r="C512">
        <v>855</v>
      </c>
      <c r="D512">
        <v>3200</v>
      </c>
      <c r="E512">
        <v>3200</v>
      </c>
      <c r="F512">
        <v>0.26718750000000002</v>
      </c>
      <c r="G512">
        <v>0.26028625055223897</v>
      </c>
      <c r="H512">
        <v>1.01049521568079E-2</v>
      </c>
      <c r="I512">
        <v>0.68295716205949397</v>
      </c>
      <c r="J512">
        <v>2.58</v>
      </c>
      <c r="L512">
        <v>0.27039120270904687</v>
      </c>
      <c r="M512">
        <v>0.25018129839543107</v>
      </c>
      <c r="N512">
        <v>0.28049615486585477</v>
      </c>
      <c r="O512">
        <v>0.24007634623862317</v>
      </c>
    </row>
    <row r="513" spans="1:15">
      <c r="A513" s="19">
        <v>43110</v>
      </c>
      <c r="B513">
        <v>839</v>
      </c>
      <c r="C513">
        <v>850.8</v>
      </c>
      <c r="D513">
        <v>3215</v>
      </c>
      <c r="E513">
        <v>3210</v>
      </c>
      <c r="F513">
        <v>0.26504672897196202</v>
      </c>
      <c r="G513">
        <v>0.26043361322389902</v>
      </c>
      <c r="H513">
        <v>1.02835303870863E-2</v>
      </c>
      <c r="I513">
        <v>0.448592611138248</v>
      </c>
      <c r="J513">
        <v>1.74</v>
      </c>
      <c r="L513">
        <v>0.27071714361098531</v>
      </c>
      <c r="M513">
        <v>0.25015008283681273</v>
      </c>
      <c r="N513">
        <v>0.2810006739980716</v>
      </c>
      <c r="O513">
        <v>0.23986655244972643</v>
      </c>
    </row>
    <row r="514" spans="1:15">
      <c r="A514" s="19">
        <v>43109</v>
      </c>
      <c r="B514">
        <v>848.3</v>
      </c>
      <c r="C514">
        <v>839.2</v>
      </c>
      <c r="D514">
        <v>3220</v>
      </c>
      <c r="E514">
        <v>3215</v>
      </c>
      <c r="F514">
        <v>0.26102643856920599</v>
      </c>
      <c r="G514">
        <v>0.26066205326845399</v>
      </c>
      <c r="H514">
        <v>1.0569783212012299E-2</v>
      </c>
      <c r="I514">
        <v>3.4474245445066498E-2</v>
      </c>
      <c r="J514">
        <v>0.14000000000000001</v>
      </c>
      <c r="L514">
        <v>0.27123183648046628</v>
      </c>
      <c r="M514">
        <v>0.25009227005644169</v>
      </c>
      <c r="N514">
        <v>0.28180161969247858</v>
      </c>
      <c r="O514">
        <v>0.23952248684442939</v>
      </c>
    </row>
    <row r="515" spans="1:15">
      <c r="A515" s="19">
        <v>43105</v>
      </c>
      <c r="B515">
        <v>836.7</v>
      </c>
      <c r="C515">
        <v>844.5</v>
      </c>
      <c r="D515">
        <v>3250</v>
      </c>
      <c r="E515">
        <v>3245</v>
      </c>
      <c r="F515">
        <v>0.26024653312788898</v>
      </c>
      <c r="G515">
        <v>0.26091065248009299</v>
      </c>
      <c r="H515">
        <v>1.0792349372586199E-2</v>
      </c>
      <c r="I515">
        <v>-6.1536124274427097E-2</v>
      </c>
      <c r="J515">
        <v>-0.26</v>
      </c>
      <c r="L515">
        <v>0.2717030018526792</v>
      </c>
      <c r="M515">
        <v>0.25011830310750677</v>
      </c>
      <c r="N515">
        <v>0.28249535122526537</v>
      </c>
      <c r="O515">
        <v>0.23932595373492058</v>
      </c>
    </row>
    <row r="516" spans="1:15">
      <c r="A516" s="19">
        <v>43104</v>
      </c>
      <c r="B516">
        <v>829</v>
      </c>
      <c r="C516">
        <v>832.1</v>
      </c>
      <c r="D516">
        <v>3200</v>
      </c>
      <c r="E516">
        <v>3245</v>
      </c>
      <c r="F516">
        <v>0.25642526964560802</v>
      </c>
      <c r="G516">
        <v>0.26117413397518702</v>
      </c>
      <c r="H516">
        <v>1.1011907352102999E-2</v>
      </c>
      <c r="I516">
        <v>-0.43124811876227398</v>
      </c>
      <c r="J516">
        <v>-1.85</v>
      </c>
      <c r="L516">
        <v>0.27218604132729002</v>
      </c>
      <c r="M516">
        <v>0.25016222662308402</v>
      </c>
      <c r="N516">
        <v>0.28319794867939302</v>
      </c>
      <c r="O516">
        <v>0.23915031927098102</v>
      </c>
    </row>
    <row r="517" spans="1:15">
      <c r="A517" s="19">
        <v>43098</v>
      </c>
      <c r="B517">
        <v>816.2</v>
      </c>
      <c r="C517">
        <v>816.1</v>
      </c>
      <c r="D517">
        <v>3175</v>
      </c>
      <c r="E517">
        <v>3175</v>
      </c>
      <c r="F517">
        <v>0.25703937007874</v>
      </c>
      <c r="G517">
        <v>0.26150732923268499</v>
      </c>
      <c r="H517">
        <v>1.1238901960461701E-2</v>
      </c>
      <c r="I517">
        <v>-0.39754409902882198</v>
      </c>
      <c r="J517">
        <v>-1.74</v>
      </c>
      <c r="L517">
        <v>0.27274623119314667</v>
      </c>
      <c r="M517">
        <v>0.25026842727222331</v>
      </c>
      <c r="N517">
        <v>0.2839851331536084</v>
      </c>
      <c r="O517">
        <v>0.23902952531176158</v>
      </c>
    </row>
    <row r="518" spans="1:15">
      <c r="A518" s="19">
        <v>43097</v>
      </c>
      <c r="B518">
        <v>816.8</v>
      </c>
      <c r="C518">
        <v>813.9</v>
      </c>
      <c r="D518">
        <v>3205</v>
      </c>
      <c r="E518">
        <v>3170</v>
      </c>
      <c r="F518">
        <v>0.25675078864353301</v>
      </c>
      <c r="G518">
        <v>0.261804293341869</v>
      </c>
      <c r="H518">
        <v>1.1409871109502799E-2</v>
      </c>
      <c r="I518">
        <v>-0.44290637903244301</v>
      </c>
      <c r="J518">
        <v>-1.97</v>
      </c>
      <c r="L518">
        <v>0.27321416445137181</v>
      </c>
      <c r="M518">
        <v>0.25039442223236619</v>
      </c>
      <c r="N518">
        <v>0.28462403556087462</v>
      </c>
      <c r="O518">
        <v>0.2389845511228634</v>
      </c>
    </row>
    <row r="519" spans="1:15">
      <c r="A519" s="19">
        <v>43096</v>
      </c>
      <c r="B519">
        <v>804.7</v>
      </c>
      <c r="C519">
        <v>817.5</v>
      </c>
      <c r="D519">
        <v>3205</v>
      </c>
      <c r="E519">
        <v>3210</v>
      </c>
      <c r="F519">
        <v>0.25467289719626102</v>
      </c>
      <c r="G519">
        <v>0.26207989088239297</v>
      </c>
      <c r="H519">
        <v>1.15334421629041E-2</v>
      </c>
      <c r="I519">
        <v>-0.64221882604618497</v>
      </c>
      <c r="J519">
        <v>-2.91</v>
      </c>
      <c r="L519">
        <v>0.27361333304529706</v>
      </c>
      <c r="M519">
        <v>0.25054644871948889</v>
      </c>
      <c r="N519">
        <v>0.2851467752082012</v>
      </c>
      <c r="O519">
        <v>0.23901300655658478</v>
      </c>
    </row>
    <row r="520" spans="1:15">
      <c r="A520" s="19">
        <v>43095</v>
      </c>
      <c r="B520">
        <v>811</v>
      </c>
      <c r="C520">
        <v>802.5</v>
      </c>
      <c r="D520">
        <v>3185</v>
      </c>
      <c r="E520">
        <v>3200</v>
      </c>
      <c r="F520">
        <v>0.25078125000000001</v>
      </c>
      <c r="G520">
        <v>0.26244073771784698</v>
      </c>
      <c r="H520">
        <v>1.17179469243524E-2</v>
      </c>
      <c r="I520">
        <v>-0.99501113916264405</v>
      </c>
      <c r="J520">
        <v>-4.6500000000000004</v>
      </c>
      <c r="L520">
        <v>0.27415868464219939</v>
      </c>
      <c r="M520">
        <v>0.25072279079349458</v>
      </c>
      <c r="N520">
        <v>0.2858766315665518</v>
      </c>
      <c r="O520">
        <v>0.23900484386914217</v>
      </c>
    </row>
    <row r="521" spans="1:15">
      <c r="A521" s="19">
        <v>43094</v>
      </c>
      <c r="B521">
        <v>813.3</v>
      </c>
      <c r="C521">
        <v>812.9</v>
      </c>
      <c r="D521">
        <v>3145</v>
      </c>
      <c r="E521">
        <v>3180</v>
      </c>
      <c r="F521">
        <v>0.25562893081761001</v>
      </c>
      <c r="G521">
        <v>0.26289780880114699</v>
      </c>
      <c r="H521">
        <v>1.19210521734493E-2</v>
      </c>
      <c r="I521">
        <v>-0.60975137746035701</v>
      </c>
      <c r="J521">
        <v>-2.84</v>
      </c>
      <c r="L521">
        <v>0.27481886097459629</v>
      </c>
      <c r="M521">
        <v>0.25097675662769769</v>
      </c>
      <c r="N521">
        <v>0.28673991314804559</v>
      </c>
      <c r="O521">
        <v>0.2390557044542484</v>
      </c>
    </row>
    <row r="522" spans="1:15">
      <c r="A522" s="19">
        <v>43091</v>
      </c>
      <c r="B522">
        <v>805</v>
      </c>
      <c r="C522">
        <v>813.6</v>
      </c>
      <c r="D522">
        <v>3145</v>
      </c>
      <c r="E522">
        <v>3140</v>
      </c>
      <c r="F522">
        <v>0.259108280254777</v>
      </c>
      <c r="G522">
        <v>0.26327349432403102</v>
      </c>
      <c r="H522">
        <v>1.2128239433891E-2</v>
      </c>
      <c r="I522">
        <v>-0.34343105542715502</v>
      </c>
      <c r="J522">
        <v>-1.61</v>
      </c>
      <c r="L522">
        <v>0.27540173375792204</v>
      </c>
      <c r="M522">
        <v>0.25114525489014</v>
      </c>
      <c r="N522">
        <v>0.287529973191813</v>
      </c>
      <c r="O522">
        <v>0.23901701545624901</v>
      </c>
    </row>
    <row r="523" spans="1:15">
      <c r="A523" s="19">
        <v>43090</v>
      </c>
      <c r="B523">
        <v>801.8</v>
      </c>
      <c r="C523">
        <v>796.8</v>
      </c>
      <c r="D523">
        <v>3110</v>
      </c>
      <c r="E523">
        <v>3125</v>
      </c>
      <c r="F523">
        <v>0.25497599999999998</v>
      </c>
      <c r="G523">
        <v>0.26360019873544899</v>
      </c>
      <c r="H523">
        <v>1.2339815691674199E-2</v>
      </c>
      <c r="I523">
        <v>-0.69889202164244202</v>
      </c>
      <c r="J523">
        <v>-3.38</v>
      </c>
      <c r="L523">
        <v>0.27594001442712318</v>
      </c>
      <c r="M523">
        <v>0.25126038304377479</v>
      </c>
      <c r="N523">
        <v>0.28827983011879738</v>
      </c>
      <c r="O523">
        <v>0.2389205673521006</v>
      </c>
    </row>
    <row r="524" spans="1:15">
      <c r="A524" s="19">
        <v>43089</v>
      </c>
      <c r="B524">
        <v>781.2</v>
      </c>
      <c r="C524">
        <v>797.7</v>
      </c>
      <c r="D524">
        <v>3135</v>
      </c>
      <c r="E524">
        <v>3120</v>
      </c>
      <c r="F524">
        <v>0.255673076923076</v>
      </c>
      <c r="G524">
        <v>0.263918916246145</v>
      </c>
      <c r="H524">
        <v>1.2421379473282E-2</v>
      </c>
      <c r="I524">
        <v>-0.66384247746437397</v>
      </c>
      <c r="J524">
        <v>-3.23</v>
      </c>
      <c r="L524">
        <v>0.27634029571942698</v>
      </c>
      <c r="M524">
        <v>0.25149753677286302</v>
      </c>
      <c r="N524">
        <v>0.28876167519270901</v>
      </c>
      <c r="O524">
        <v>0.23907615729958098</v>
      </c>
    </row>
    <row r="525" spans="1:15">
      <c r="A525" s="19">
        <v>43088</v>
      </c>
      <c r="B525">
        <v>779</v>
      </c>
      <c r="C525">
        <v>781.2</v>
      </c>
      <c r="D525">
        <v>3100</v>
      </c>
      <c r="E525">
        <v>3110</v>
      </c>
      <c r="F525">
        <v>0.25118971061093198</v>
      </c>
      <c r="G525">
        <v>0.26419852141797801</v>
      </c>
      <c r="H525">
        <v>1.24685508072975E-2</v>
      </c>
      <c r="I525">
        <v>-1.04332981499597</v>
      </c>
      <c r="J525">
        <v>-5.18</v>
      </c>
      <c r="L525">
        <v>0.27666707222527548</v>
      </c>
      <c r="M525">
        <v>0.25172997061068053</v>
      </c>
      <c r="N525">
        <v>0.28913562303257301</v>
      </c>
      <c r="O525">
        <v>0.239261419803383</v>
      </c>
    </row>
    <row r="526" spans="1:15">
      <c r="A526" s="19">
        <v>43087</v>
      </c>
      <c r="B526">
        <v>766.7</v>
      </c>
      <c r="C526">
        <v>776</v>
      </c>
      <c r="D526">
        <v>3070</v>
      </c>
      <c r="E526">
        <v>3085</v>
      </c>
      <c r="F526">
        <v>0.25153970826580202</v>
      </c>
      <c r="G526">
        <v>0.26448035576665702</v>
      </c>
      <c r="H526">
        <v>1.2410075108533E-2</v>
      </c>
      <c r="I526">
        <v>-1.04275335867686</v>
      </c>
      <c r="J526">
        <v>-5.14</v>
      </c>
      <c r="L526">
        <v>0.27689043087519</v>
      </c>
      <c r="M526">
        <v>0.25207028065812404</v>
      </c>
      <c r="N526">
        <v>0.28930050598372303</v>
      </c>
      <c r="O526">
        <v>0.23966020554959103</v>
      </c>
    </row>
    <row r="527" spans="1:15">
      <c r="A527" s="19">
        <v>43084</v>
      </c>
      <c r="B527">
        <v>768.6</v>
      </c>
      <c r="C527">
        <v>759.9</v>
      </c>
      <c r="D527">
        <v>3075</v>
      </c>
      <c r="E527">
        <v>3050</v>
      </c>
      <c r="F527">
        <v>0.249147540983606</v>
      </c>
      <c r="G527">
        <v>0.26475744537073198</v>
      </c>
      <c r="H527">
        <v>1.2349904712881599E-2</v>
      </c>
      <c r="I527">
        <v>-1.26396962163146</v>
      </c>
      <c r="J527">
        <v>-6.27</v>
      </c>
      <c r="L527">
        <v>0.27710735008361359</v>
      </c>
      <c r="M527">
        <v>0.25240754065785037</v>
      </c>
      <c r="N527">
        <v>0.2894572547964952</v>
      </c>
      <c r="O527">
        <v>0.24005763594496879</v>
      </c>
    </row>
    <row r="528" spans="1:15">
      <c r="A528" s="19">
        <v>43083</v>
      </c>
      <c r="B528">
        <v>764.1</v>
      </c>
      <c r="C528">
        <v>764.1</v>
      </c>
      <c r="D528">
        <v>3100</v>
      </c>
      <c r="E528">
        <v>3045</v>
      </c>
      <c r="F528">
        <v>0.25093596059113299</v>
      </c>
      <c r="G528">
        <v>0.265059673781813</v>
      </c>
      <c r="H528">
        <v>1.2241076020494899E-2</v>
      </c>
      <c r="I528">
        <v>-1.15379670602756</v>
      </c>
      <c r="J528">
        <v>-5.63</v>
      </c>
      <c r="L528">
        <v>0.2773007498023079</v>
      </c>
      <c r="M528">
        <v>0.2528185977613181</v>
      </c>
      <c r="N528">
        <v>0.2895418258228028</v>
      </c>
      <c r="O528">
        <v>0.2405775217408232</v>
      </c>
    </row>
    <row r="529" spans="1:15">
      <c r="A529" s="19">
        <v>43082</v>
      </c>
      <c r="B529">
        <v>767.3</v>
      </c>
      <c r="C529">
        <v>764.1</v>
      </c>
      <c r="D529">
        <v>3055</v>
      </c>
      <c r="E529">
        <v>3050</v>
      </c>
      <c r="F529">
        <v>0.25052459016393402</v>
      </c>
      <c r="G529">
        <v>0.26531920260494302</v>
      </c>
      <c r="H529">
        <v>1.21448427884821E-2</v>
      </c>
      <c r="I529">
        <v>-1.21818064660666</v>
      </c>
      <c r="J529">
        <v>-5.91</v>
      </c>
      <c r="L529">
        <v>0.27746404539342512</v>
      </c>
      <c r="M529">
        <v>0.25317435981646091</v>
      </c>
      <c r="N529">
        <v>0.28960888818190722</v>
      </c>
      <c r="O529">
        <v>0.24102951702797881</v>
      </c>
    </row>
    <row r="530" spans="1:15">
      <c r="A530" s="19">
        <v>43081</v>
      </c>
      <c r="B530">
        <v>750.9</v>
      </c>
      <c r="C530">
        <v>764.5</v>
      </c>
      <c r="D530">
        <v>3045</v>
      </c>
      <c r="E530">
        <v>3045</v>
      </c>
      <c r="F530">
        <v>0.25106732348111599</v>
      </c>
      <c r="G530">
        <v>0.26555921794982001</v>
      </c>
      <c r="H530">
        <v>1.202739720013E-2</v>
      </c>
      <c r="I530">
        <v>-1.2049069493228901</v>
      </c>
      <c r="J530">
        <v>-5.77</v>
      </c>
      <c r="L530">
        <v>0.27758661514995003</v>
      </c>
      <c r="M530">
        <v>0.25353182074969</v>
      </c>
      <c r="N530">
        <v>0.28961401235008</v>
      </c>
      <c r="O530">
        <v>0.24150442354956</v>
      </c>
    </row>
    <row r="531" spans="1:15">
      <c r="A531" s="19">
        <v>43080</v>
      </c>
      <c r="B531">
        <v>749.5</v>
      </c>
      <c r="C531">
        <v>749.5</v>
      </c>
      <c r="D531">
        <v>3065</v>
      </c>
      <c r="E531">
        <v>3050</v>
      </c>
      <c r="F531">
        <v>0.24573770491803201</v>
      </c>
      <c r="G531">
        <v>0.26579289962260799</v>
      </c>
      <c r="H531">
        <v>1.1913279578589999E-2</v>
      </c>
      <c r="I531">
        <v>-1.6834318855924499</v>
      </c>
      <c r="J531">
        <v>-8.16</v>
      </c>
      <c r="L531">
        <v>0.277706179201198</v>
      </c>
      <c r="M531">
        <v>0.25387962004401798</v>
      </c>
      <c r="N531">
        <v>0.28961945877978801</v>
      </c>
      <c r="O531">
        <v>0.241966340465428</v>
      </c>
    </row>
    <row r="532" spans="1:15">
      <c r="A532" s="19">
        <v>43077</v>
      </c>
      <c r="B532">
        <v>726.1</v>
      </c>
      <c r="C532">
        <v>742.5</v>
      </c>
      <c r="D532">
        <v>3000</v>
      </c>
      <c r="E532">
        <v>3075</v>
      </c>
      <c r="F532">
        <v>0.241463414634146</v>
      </c>
      <c r="G532">
        <v>0.26610887499443803</v>
      </c>
      <c r="H532">
        <v>1.16893339136358E-2</v>
      </c>
      <c r="I532">
        <v>-2.10837166106981</v>
      </c>
      <c r="J532">
        <v>-10.210000000000001</v>
      </c>
      <c r="L532">
        <v>0.27779820890807383</v>
      </c>
      <c r="M532">
        <v>0.25441954108080223</v>
      </c>
      <c r="N532">
        <v>0.28948754282170963</v>
      </c>
      <c r="O532">
        <v>0.24273020716716642</v>
      </c>
    </row>
    <row r="533" spans="1:15">
      <c r="A533" s="19">
        <v>43076</v>
      </c>
      <c r="B533">
        <v>730</v>
      </c>
      <c r="C533">
        <v>734.7</v>
      </c>
      <c r="D533">
        <v>2960</v>
      </c>
      <c r="E533">
        <v>3010</v>
      </c>
      <c r="F533">
        <v>0.24408637873754099</v>
      </c>
      <c r="G533">
        <v>0.26650885719598</v>
      </c>
      <c r="H533">
        <v>1.13474218531503E-2</v>
      </c>
      <c r="I533">
        <v>-1.9759976097313801</v>
      </c>
      <c r="J533">
        <v>-9.19</v>
      </c>
      <c r="L533">
        <v>0.27785627904913029</v>
      </c>
      <c r="M533">
        <v>0.2551614353428297</v>
      </c>
      <c r="N533">
        <v>0.28920370090228059</v>
      </c>
      <c r="O533">
        <v>0.2438140134896794</v>
      </c>
    </row>
    <row r="534" spans="1:15">
      <c r="A534" s="19">
        <v>43075</v>
      </c>
      <c r="B534">
        <v>740.7</v>
      </c>
      <c r="C534">
        <v>726.4</v>
      </c>
      <c r="D534">
        <v>2980</v>
      </c>
      <c r="E534">
        <v>2953</v>
      </c>
      <c r="F534">
        <v>0.24598713173044301</v>
      </c>
      <c r="G534">
        <v>0.266878866205423</v>
      </c>
      <c r="H534">
        <v>1.1059025182588601E-2</v>
      </c>
      <c r="I534">
        <v>-1.8891117553354999</v>
      </c>
      <c r="J534">
        <v>-8.49</v>
      </c>
      <c r="L534">
        <v>0.27793789138801162</v>
      </c>
      <c r="M534">
        <v>0.25581984102283439</v>
      </c>
      <c r="N534">
        <v>0.28899691657060023</v>
      </c>
      <c r="O534">
        <v>0.24476081584024581</v>
      </c>
    </row>
    <row r="535" spans="1:15">
      <c r="A535" s="19">
        <v>43074</v>
      </c>
      <c r="B535">
        <v>746.8</v>
      </c>
      <c r="C535">
        <v>747.6</v>
      </c>
      <c r="D535">
        <v>2951</v>
      </c>
      <c r="E535">
        <v>3020</v>
      </c>
      <c r="F535">
        <v>0.24754966887417201</v>
      </c>
      <c r="G535">
        <v>0.26723753543493201</v>
      </c>
      <c r="H535">
        <v>1.0809034229439201E-2</v>
      </c>
      <c r="I535">
        <v>-1.8214269788450801</v>
      </c>
      <c r="J535">
        <v>-7.95</v>
      </c>
      <c r="L535">
        <v>0.27804656966437119</v>
      </c>
      <c r="M535">
        <v>0.25642850120549282</v>
      </c>
      <c r="N535">
        <v>0.28885560389381043</v>
      </c>
      <c r="O535">
        <v>0.24561946697605361</v>
      </c>
    </row>
    <row r="536" spans="1:15">
      <c r="A536" s="19">
        <v>43073</v>
      </c>
      <c r="B536">
        <v>754.6</v>
      </c>
      <c r="C536">
        <v>742.3</v>
      </c>
      <c r="D536">
        <v>3070</v>
      </c>
      <c r="E536">
        <v>2980</v>
      </c>
      <c r="F536">
        <v>0.249093959731543</v>
      </c>
      <c r="G536">
        <v>0.267526098772502</v>
      </c>
      <c r="H536">
        <v>1.05657332537218E-2</v>
      </c>
      <c r="I536">
        <v>-1.7445205740421501</v>
      </c>
      <c r="J536">
        <v>-7.4</v>
      </c>
      <c r="L536">
        <v>0.27809183202622378</v>
      </c>
      <c r="M536">
        <v>0.25696036551878021</v>
      </c>
      <c r="N536">
        <v>0.28865756527994557</v>
      </c>
      <c r="O536">
        <v>0.24639463226505839</v>
      </c>
    </row>
    <row r="537" spans="1:15">
      <c r="A537" s="19">
        <v>43070</v>
      </c>
      <c r="B537">
        <v>750</v>
      </c>
      <c r="C537">
        <v>747.2</v>
      </c>
      <c r="D537">
        <v>3025</v>
      </c>
      <c r="E537">
        <v>3000</v>
      </c>
      <c r="F537">
        <v>0.24906666666666599</v>
      </c>
      <c r="G537">
        <v>0.26780947596697802</v>
      </c>
      <c r="H537">
        <v>1.03503921873229E-2</v>
      </c>
      <c r="I537">
        <v>-1.81083083240725</v>
      </c>
      <c r="J537">
        <v>-7.53</v>
      </c>
      <c r="L537">
        <v>0.27815986815430094</v>
      </c>
      <c r="M537">
        <v>0.2574590837796551</v>
      </c>
      <c r="N537">
        <v>0.2885102603416238</v>
      </c>
      <c r="O537">
        <v>0.24710869159233223</v>
      </c>
    </row>
    <row r="538" spans="1:15">
      <c r="A538" s="19">
        <v>43069</v>
      </c>
      <c r="B538">
        <v>741</v>
      </c>
      <c r="C538">
        <v>745.8</v>
      </c>
      <c r="D538">
        <v>2972</v>
      </c>
      <c r="E538">
        <v>3025</v>
      </c>
      <c r="F538">
        <v>0.24654545454545401</v>
      </c>
      <c r="G538">
        <v>0.26808705693694701</v>
      </c>
      <c r="H538">
        <v>1.01206280675721E-2</v>
      </c>
      <c r="I538">
        <v>-2.1284847390563399</v>
      </c>
      <c r="J538">
        <v>-8.74</v>
      </c>
      <c r="L538">
        <v>0.27820768500451909</v>
      </c>
      <c r="M538">
        <v>0.25796642886937493</v>
      </c>
      <c r="N538">
        <v>0.28832831307209122</v>
      </c>
      <c r="O538">
        <v>0.2478458008018028</v>
      </c>
    </row>
    <row r="539" spans="1:15">
      <c r="A539" s="19">
        <v>43068</v>
      </c>
      <c r="B539">
        <v>732.8</v>
      </c>
      <c r="C539">
        <v>735</v>
      </c>
      <c r="D539">
        <v>2965</v>
      </c>
      <c r="E539">
        <v>2964</v>
      </c>
      <c r="F539">
        <v>0.24797570850202399</v>
      </c>
      <c r="G539">
        <v>0.26838677734349897</v>
      </c>
      <c r="H539">
        <v>9.8062117387237701E-3</v>
      </c>
      <c r="I539">
        <v>-2.08144280230808</v>
      </c>
      <c r="J539">
        <v>-8.23</v>
      </c>
      <c r="L539">
        <v>0.27819298908222273</v>
      </c>
      <c r="M539">
        <v>0.25858056560477521</v>
      </c>
      <c r="N539">
        <v>0.28799920082094649</v>
      </c>
      <c r="O539">
        <v>0.24877435386605143</v>
      </c>
    </row>
    <row r="540" spans="1:15">
      <c r="A540" s="19">
        <v>43067</v>
      </c>
      <c r="B540">
        <v>722.4</v>
      </c>
      <c r="C540">
        <v>723.9</v>
      </c>
      <c r="D540">
        <v>2944</v>
      </c>
      <c r="E540">
        <v>2933</v>
      </c>
      <c r="F540">
        <v>0.24681213774292499</v>
      </c>
      <c r="G540">
        <v>0.26870980244725701</v>
      </c>
      <c r="H540">
        <v>9.5234846306751896E-3</v>
      </c>
      <c r="I540">
        <v>-2.2993332329009002</v>
      </c>
      <c r="J540">
        <v>-8.8699999999999992</v>
      </c>
      <c r="L540">
        <v>0.27823328707793221</v>
      </c>
      <c r="M540">
        <v>0.2591863178165818</v>
      </c>
      <c r="N540">
        <v>0.28775677170860736</v>
      </c>
      <c r="O540">
        <v>0.24966283318590662</v>
      </c>
    </row>
    <row r="541" spans="1:15">
      <c r="A541" s="19">
        <v>43066</v>
      </c>
      <c r="B541">
        <v>726.6</v>
      </c>
      <c r="C541">
        <v>723.1</v>
      </c>
      <c r="D541">
        <v>2936</v>
      </c>
      <c r="E541">
        <v>2944</v>
      </c>
      <c r="F541">
        <v>0.24561820652173899</v>
      </c>
      <c r="G541">
        <v>0.26903351281350502</v>
      </c>
      <c r="H541">
        <v>9.1800925419022201E-3</v>
      </c>
      <c r="I541">
        <v>-2.5506612471375099</v>
      </c>
      <c r="J541">
        <v>-9.5299999999999994</v>
      </c>
      <c r="L541">
        <v>0.27821360535540723</v>
      </c>
      <c r="M541">
        <v>0.2598534202716028</v>
      </c>
      <c r="N541">
        <v>0.28739369789730945</v>
      </c>
      <c r="O541">
        <v>0.25067332772970058</v>
      </c>
    </row>
    <row r="542" spans="1:15">
      <c r="A542" s="19">
        <v>43063</v>
      </c>
      <c r="B542">
        <v>724.5</v>
      </c>
      <c r="C542">
        <v>724</v>
      </c>
      <c r="D542">
        <v>2899</v>
      </c>
      <c r="E542">
        <v>2932</v>
      </c>
      <c r="F542">
        <v>0.24693042291950801</v>
      </c>
      <c r="G542">
        <v>0.26933828006757998</v>
      </c>
      <c r="H542">
        <v>8.7678395133425294E-3</v>
      </c>
      <c r="I542">
        <v>-2.5556874203698698</v>
      </c>
      <c r="J542">
        <v>-9.07</v>
      </c>
      <c r="L542">
        <v>0.27810611958092252</v>
      </c>
      <c r="M542">
        <v>0.26057044055423745</v>
      </c>
      <c r="N542">
        <v>0.28687395909426505</v>
      </c>
      <c r="O542">
        <v>0.25180260104089491</v>
      </c>
    </row>
    <row r="543" spans="1:15">
      <c r="A543" s="19">
        <v>43061</v>
      </c>
      <c r="B543">
        <v>731.5</v>
      </c>
      <c r="C543">
        <v>728.8</v>
      </c>
      <c r="D543">
        <v>2892</v>
      </c>
      <c r="E543">
        <v>2927</v>
      </c>
      <c r="F543">
        <v>0.248992142125042</v>
      </c>
      <c r="G543">
        <v>0.26952326388123998</v>
      </c>
      <c r="H543">
        <v>8.4330916529308797E-3</v>
      </c>
      <c r="I543">
        <v>-2.4345901362357401</v>
      </c>
      <c r="J543">
        <v>-8.25</v>
      </c>
      <c r="L543">
        <v>0.27795635553417086</v>
      </c>
      <c r="M543">
        <v>0.2610901722283091</v>
      </c>
      <c r="N543">
        <v>0.28638944718710174</v>
      </c>
      <c r="O543">
        <v>0.25265708057537822</v>
      </c>
    </row>
    <row r="544" spans="1:15">
      <c r="A544" s="19">
        <v>43060</v>
      </c>
      <c r="B544">
        <v>728.7</v>
      </c>
      <c r="C544">
        <v>725.3</v>
      </c>
      <c r="D544">
        <v>2881</v>
      </c>
      <c r="E544">
        <v>2883</v>
      </c>
      <c r="F544">
        <v>0.25157821713492801</v>
      </c>
      <c r="G544">
        <v>0.26971607418354898</v>
      </c>
      <c r="H544">
        <v>8.1210111057481108E-3</v>
      </c>
      <c r="I544">
        <v>-2.23344812763303</v>
      </c>
      <c r="J544">
        <v>-7.21</v>
      </c>
      <c r="L544">
        <v>0.27783708528929707</v>
      </c>
      <c r="M544">
        <v>0.26159506307780089</v>
      </c>
      <c r="N544">
        <v>0.28595809639504521</v>
      </c>
      <c r="O544">
        <v>0.25347405197205275</v>
      </c>
    </row>
    <row r="545" spans="1:15">
      <c r="A545" s="19">
        <v>43059</v>
      </c>
      <c r="B545">
        <v>726</v>
      </c>
      <c r="C545">
        <v>720.9</v>
      </c>
      <c r="D545">
        <v>2824</v>
      </c>
      <c r="E545">
        <v>2865</v>
      </c>
      <c r="F545">
        <v>0.25162303664921398</v>
      </c>
      <c r="G545">
        <v>0.26996844518569701</v>
      </c>
      <c r="H545">
        <v>7.8427690352957501E-3</v>
      </c>
      <c r="I545">
        <v>-2.3391494067874499</v>
      </c>
      <c r="J545">
        <v>-7.29</v>
      </c>
      <c r="L545">
        <v>0.27781121422099275</v>
      </c>
      <c r="M545">
        <v>0.26212567615040128</v>
      </c>
      <c r="N545">
        <v>0.28565398325628849</v>
      </c>
      <c r="O545">
        <v>0.25428290711510554</v>
      </c>
    </row>
    <row r="546" spans="1:15">
      <c r="A546" s="19">
        <v>43056</v>
      </c>
      <c r="B546">
        <v>733.6</v>
      </c>
      <c r="C546">
        <v>725.5</v>
      </c>
      <c r="D546">
        <v>2861</v>
      </c>
      <c r="E546">
        <v>2834</v>
      </c>
      <c r="F546">
        <v>0.25599858856739499</v>
      </c>
      <c r="G546">
        <v>0.27034690547809398</v>
      </c>
      <c r="H546">
        <v>7.6303467194777297E-3</v>
      </c>
      <c r="I546">
        <v>-1.8804279069091701</v>
      </c>
      <c r="J546">
        <v>-5.6</v>
      </c>
      <c r="L546">
        <v>0.27797725219757169</v>
      </c>
      <c r="M546">
        <v>0.26271655875861627</v>
      </c>
      <c r="N546">
        <v>0.28560759891704945</v>
      </c>
      <c r="O546">
        <v>0.2550862120391385</v>
      </c>
    </row>
    <row r="547" spans="1:15">
      <c r="A547" s="19">
        <v>43055</v>
      </c>
      <c r="B547">
        <v>725</v>
      </c>
      <c r="C547">
        <v>722.1</v>
      </c>
      <c r="D547">
        <v>2805</v>
      </c>
      <c r="E547">
        <v>2859</v>
      </c>
      <c r="F547">
        <v>0.252570828961175</v>
      </c>
      <c r="G547">
        <v>0.27066947857561202</v>
      </c>
      <c r="H547">
        <v>7.5276411205148696E-3</v>
      </c>
      <c r="I547">
        <v>-2.4042923041473601</v>
      </c>
      <c r="J547">
        <v>-7.17</v>
      </c>
      <c r="L547">
        <v>0.27819711969612687</v>
      </c>
      <c r="M547">
        <v>0.26314183745509717</v>
      </c>
      <c r="N547">
        <v>0.28572476081664178</v>
      </c>
      <c r="O547">
        <v>0.25561419633458227</v>
      </c>
    </row>
    <row r="548" spans="1:15">
      <c r="A548" s="19">
        <v>43054</v>
      </c>
      <c r="B548">
        <v>748</v>
      </c>
      <c r="C548">
        <v>729.4</v>
      </c>
      <c r="D548">
        <v>2922</v>
      </c>
      <c r="E548">
        <v>2848</v>
      </c>
      <c r="F548">
        <v>0.25610955056179702</v>
      </c>
      <c r="G548">
        <v>0.27105186752279598</v>
      </c>
      <c r="H548">
        <v>7.3242276322454903E-3</v>
      </c>
      <c r="I548">
        <v>-2.0401218683065299</v>
      </c>
      <c r="J548">
        <v>-5.83</v>
      </c>
      <c r="L548">
        <v>0.27837609515504147</v>
      </c>
      <c r="M548">
        <v>0.26372763989055048</v>
      </c>
      <c r="N548">
        <v>0.28570032278728696</v>
      </c>
      <c r="O548">
        <v>0.25640341225830499</v>
      </c>
    </row>
    <row r="549" spans="1:15">
      <c r="A549" s="19">
        <v>43053</v>
      </c>
      <c r="B549">
        <v>756.4</v>
      </c>
      <c r="C549">
        <v>751.7</v>
      </c>
      <c r="D549">
        <v>2936</v>
      </c>
      <c r="E549">
        <v>2927</v>
      </c>
      <c r="F549">
        <v>0.25681585240860899</v>
      </c>
      <c r="G549">
        <v>0.27141933366529303</v>
      </c>
      <c r="H549">
        <v>7.2563792856302402E-3</v>
      </c>
      <c r="I549">
        <v>-2.0125024729072201</v>
      </c>
      <c r="J549">
        <v>-5.69</v>
      </c>
      <c r="L549">
        <v>0.27867571295092325</v>
      </c>
      <c r="M549">
        <v>0.26416295437966281</v>
      </c>
      <c r="N549">
        <v>0.28593209223655353</v>
      </c>
      <c r="O549">
        <v>0.25690657509403253</v>
      </c>
    </row>
    <row r="550" spans="1:15">
      <c r="A550" s="19">
        <v>43052</v>
      </c>
      <c r="B550">
        <v>768</v>
      </c>
      <c r="C550">
        <v>756.9</v>
      </c>
      <c r="D550">
        <v>3085</v>
      </c>
      <c r="E550">
        <v>2962</v>
      </c>
      <c r="F550">
        <v>0.25553679945982399</v>
      </c>
      <c r="G550">
        <v>0.27181116064678101</v>
      </c>
      <c r="H550">
        <v>7.2506596079326604E-3</v>
      </c>
      <c r="I550">
        <v>-2.2445352653366202</v>
      </c>
      <c r="J550">
        <v>-6.37</v>
      </c>
      <c r="L550">
        <v>0.27906182025471366</v>
      </c>
      <c r="M550">
        <v>0.26456050103884837</v>
      </c>
      <c r="N550">
        <v>0.28631247986264635</v>
      </c>
      <c r="O550">
        <v>0.25730984143091568</v>
      </c>
    </row>
    <row r="551" spans="1:15">
      <c r="A551" s="19">
        <v>43049</v>
      </c>
      <c r="B551">
        <v>770</v>
      </c>
      <c r="C551">
        <v>770.9</v>
      </c>
      <c r="D551">
        <v>2913</v>
      </c>
      <c r="E551">
        <v>2915</v>
      </c>
      <c r="F551">
        <v>0.26445969125214402</v>
      </c>
      <c r="G551">
        <v>0.272213377912633</v>
      </c>
      <c r="H551">
        <v>7.1730072195811496E-3</v>
      </c>
      <c r="I551">
        <v>-1.0809534164866099</v>
      </c>
      <c r="J551">
        <v>-2.93</v>
      </c>
      <c r="L551">
        <v>0.27938638513221414</v>
      </c>
      <c r="M551">
        <v>0.26504037069305186</v>
      </c>
      <c r="N551">
        <v>0.28655939235179528</v>
      </c>
      <c r="O551">
        <v>0.25786736347347072</v>
      </c>
    </row>
    <row r="552" spans="1:15">
      <c r="A552" s="19">
        <v>43048</v>
      </c>
      <c r="B552">
        <v>785.9</v>
      </c>
      <c r="C552">
        <v>780</v>
      </c>
      <c r="D552">
        <v>2955</v>
      </c>
      <c r="E552">
        <v>2949</v>
      </c>
      <c r="F552">
        <v>0.26449643947100698</v>
      </c>
      <c r="G552">
        <v>0.27247541068970699</v>
      </c>
      <c r="H552">
        <v>7.2435847147025003E-3</v>
      </c>
      <c r="I552">
        <v>-1.10152245510504</v>
      </c>
      <c r="J552">
        <v>-3.02</v>
      </c>
      <c r="L552">
        <v>0.27971899540440948</v>
      </c>
      <c r="M552">
        <v>0.2652318259750045</v>
      </c>
      <c r="N552">
        <v>0.28696258011911197</v>
      </c>
      <c r="O552">
        <v>0.25798824126030201</v>
      </c>
    </row>
    <row r="553" spans="1:15">
      <c r="A553" s="19">
        <v>43047</v>
      </c>
      <c r="B553">
        <v>786</v>
      </c>
      <c r="C553">
        <v>784.2</v>
      </c>
      <c r="D553">
        <v>2922</v>
      </c>
      <c r="E553">
        <v>2940</v>
      </c>
      <c r="F553">
        <v>0.266734693877551</v>
      </c>
      <c r="G553">
        <v>0.27273992501104199</v>
      </c>
      <c r="H553">
        <v>7.3093114821782797E-3</v>
      </c>
      <c r="I553">
        <v>-0.82158643097012696</v>
      </c>
      <c r="J553">
        <v>-2.25</v>
      </c>
      <c r="L553">
        <v>0.28004923649322028</v>
      </c>
      <c r="M553">
        <v>0.26543061352886371</v>
      </c>
      <c r="N553">
        <v>0.28735854797539856</v>
      </c>
      <c r="O553">
        <v>0.25812130204668543</v>
      </c>
    </row>
    <row r="554" spans="1:15">
      <c r="A554" s="19">
        <v>43046</v>
      </c>
      <c r="B554">
        <v>786.4</v>
      </c>
      <c r="C554">
        <v>789.1</v>
      </c>
      <c r="D554">
        <v>2882</v>
      </c>
      <c r="E554">
        <v>2917</v>
      </c>
      <c r="F554">
        <v>0.27051765512512799</v>
      </c>
      <c r="G554">
        <v>0.27299830597397801</v>
      </c>
      <c r="H554">
        <v>7.4339123593317796E-3</v>
      </c>
      <c r="I554">
        <v>-0.33369385176250199</v>
      </c>
      <c r="J554">
        <v>-0.92</v>
      </c>
      <c r="L554">
        <v>0.28043221833330978</v>
      </c>
      <c r="M554">
        <v>0.26556439361464623</v>
      </c>
      <c r="N554">
        <v>0.28786613069264155</v>
      </c>
      <c r="O554">
        <v>0.25813048125531446</v>
      </c>
    </row>
    <row r="555" spans="1:15">
      <c r="A555" s="19">
        <v>43045</v>
      </c>
      <c r="B555">
        <v>774.2</v>
      </c>
      <c r="C555">
        <v>786.4</v>
      </c>
      <c r="D555">
        <v>2904</v>
      </c>
      <c r="E555">
        <v>2904</v>
      </c>
      <c r="F555">
        <v>0.27079889807162499</v>
      </c>
      <c r="G555">
        <v>0.27319423912478802</v>
      </c>
      <c r="H555">
        <v>7.5585590334299596E-3</v>
      </c>
      <c r="I555">
        <v>-0.316904457922282</v>
      </c>
      <c r="J555">
        <v>-0.88</v>
      </c>
      <c r="L555">
        <v>0.28075279815821796</v>
      </c>
      <c r="M555">
        <v>0.26563568009135807</v>
      </c>
      <c r="N555">
        <v>0.28831135719164791</v>
      </c>
      <c r="O555">
        <v>0.25807712105792813</v>
      </c>
    </row>
    <row r="556" spans="1:15">
      <c r="A556" s="19">
        <v>43041</v>
      </c>
      <c r="B556">
        <v>775.3</v>
      </c>
      <c r="C556">
        <v>763.7</v>
      </c>
      <c r="D556">
        <v>2878</v>
      </c>
      <c r="E556">
        <v>2891</v>
      </c>
      <c r="F556">
        <v>0.26416464891041103</v>
      </c>
      <c r="G556">
        <v>0.27345162079928997</v>
      </c>
      <c r="H556">
        <v>7.7974954331930402E-3</v>
      </c>
      <c r="I556">
        <v>-1.1910198561124099</v>
      </c>
      <c r="J556">
        <v>-3.52</v>
      </c>
      <c r="L556">
        <v>0.281249116232483</v>
      </c>
      <c r="M556">
        <v>0.26565412536609695</v>
      </c>
      <c r="N556">
        <v>0.28904661166567608</v>
      </c>
      <c r="O556">
        <v>0.25785662993290387</v>
      </c>
    </row>
    <row r="557" spans="1:15">
      <c r="A557" s="19">
        <v>43040</v>
      </c>
      <c r="B557">
        <v>764</v>
      </c>
      <c r="C557">
        <v>774.7</v>
      </c>
      <c r="D557">
        <v>2898</v>
      </c>
      <c r="E557">
        <v>2882</v>
      </c>
      <c r="F557">
        <v>0.26880638445523902</v>
      </c>
      <c r="G557">
        <v>0.27380201690793199</v>
      </c>
      <c r="H557">
        <v>7.9610443691281191E-3</v>
      </c>
      <c r="I557">
        <v>-0.62750968604896395</v>
      </c>
      <c r="J557">
        <v>-1.86</v>
      </c>
      <c r="L557">
        <v>0.28176306127706013</v>
      </c>
      <c r="M557">
        <v>0.26584097253880384</v>
      </c>
      <c r="N557">
        <v>0.28972410564618822</v>
      </c>
      <c r="O557">
        <v>0.25787992816967575</v>
      </c>
    </row>
    <row r="558" spans="1:15">
      <c r="A558" s="19">
        <v>43039</v>
      </c>
      <c r="B558">
        <v>761</v>
      </c>
      <c r="C558">
        <v>756.7</v>
      </c>
      <c r="D558">
        <v>2888</v>
      </c>
      <c r="E558">
        <v>2896</v>
      </c>
      <c r="F558">
        <v>0.26129143646408798</v>
      </c>
      <c r="G558">
        <v>0.27408107166869</v>
      </c>
      <c r="H558">
        <v>8.1457113140897802E-3</v>
      </c>
      <c r="I558">
        <v>-1.5701066133388899</v>
      </c>
      <c r="J558">
        <v>-4.8899999999999997</v>
      </c>
      <c r="L558">
        <v>0.28222678298277976</v>
      </c>
      <c r="M558">
        <v>0.26593536035460025</v>
      </c>
      <c r="N558">
        <v>0.29037249429686957</v>
      </c>
      <c r="O558">
        <v>0.25778964904051044</v>
      </c>
    </row>
    <row r="559" spans="1:15">
      <c r="A559" s="19">
        <v>43038</v>
      </c>
      <c r="B559">
        <v>770.5</v>
      </c>
      <c r="C559">
        <v>769.1</v>
      </c>
      <c r="D559">
        <v>2906</v>
      </c>
      <c r="E559">
        <v>2893</v>
      </c>
      <c r="F559">
        <v>0.26584860006913202</v>
      </c>
      <c r="G559">
        <v>0.27450583271385498</v>
      </c>
      <c r="H559">
        <v>8.29691262730692E-3</v>
      </c>
      <c r="I559">
        <v>-1.0434282043937899</v>
      </c>
      <c r="J559">
        <v>-3.26</v>
      </c>
      <c r="L559">
        <v>0.2828027453411619</v>
      </c>
      <c r="M559">
        <v>0.26620892008654806</v>
      </c>
      <c r="N559">
        <v>0.29109965796846882</v>
      </c>
      <c r="O559">
        <v>0.25791200745924114</v>
      </c>
    </row>
    <row r="560" spans="1:15">
      <c r="A560" s="19">
        <v>43035</v>
      </c>
      <c r="B560">
        <v>766.5</v>
      </c>
      <c r="C560">
        <v>772</v>
      </c>
      <c r="D560">
        <v>2914</v>
      </c>
      <c r="E560">
        <v>2919</v>
      </c>
      <c r="F560">
        <v>0.26447413497773198</v>
      </c>
      <c r="G560">
        <v>0.27483019971619499</v>
      </c>
      <c r="H560">
        <v>8.4266452640076595E-3</v>
      </c>
      <c r="I560">
        <v>-1.22896650019154</v>
      </c>
      <c r="J560">
        <v>-3.92</v>
      </c>
      <c r="L560">
        <v>0.28325684498020265</v>
      </c>
      <c r="M560">
        <v>0.26640355445218733</v>
      </c>
      <c r="N560">
        <v>0.29168349024421031</v>
      </c>
      <c r="O560">
        <v>0.25797690918817967</v>
      </c>
    </row>
    <row r="561" spans="1:15">
      <c r="A561" s="19">
        <v>43034</v>
      </c>
      <c r="B561">
        <v>764.3</v>
      </c>
      <c r="C561">
        <v>766.2</v>
      </c>
      <c r="D561">
        <v>2878</v>
      </c>
      <c r="E561">
        <v>2900</v>
      </c>
      <c r="F561">
        <v>0.26420689655172402</v>
      </c>
      <c r="G561">
        <v>0.27518681754903801</v>
      </c>
      <c r="H561">
        <v>8.5459394042851702E-3</v>
      </c>
      <c r="I561">
        <v>-1.2848114733657401</v>
      </c>
      <c r="J561">
        <v>-4.16</v>
      </c>
      <c r="L561">
        <v>0.28373275695332317</v>
      </c>
      <c r="M561">
        <v>0.26664087814475285</v>
      </c>
      <c r="N561">
        <v>0.29227869635760834</v>
      </c>
      <c r="O561">
        <v>0.25809493874046768</v>
      </c>
    </row>
    <row r="562" spans="1:15">
      <c r="A562" s="19">
        <v>43033</v>
      </c>
      <c r="B562">
        <v>770</v>
      </c>
      <c r="C562">
        <v>766.9</v>
      </c>
      <c r="D562">
        <v>2892</v>
      </c>
      <c r="E562">
        <v>2878</v>
      </c>
      <c r="F562">
        <v>0.26646977067407901</v>
      </c>
      <c r="G562">
        <v>0.27554900770691398</v>
      </c>
      <c r="H562">
        <v>8.6479412715951397E-3</v>
      </c>
      <c r="I562">
        <v>-1.0498726515010499</v>
      </c>
      <c r="J562">
        <v>-3.41</v>
      </c>
      <c r="L562">
        <v>0.28419694897850911</v>
      </c>
      <c r="M562">
        <v>0.26690106643531886</v>
      </c>
      <c r="N562">
        <v>0.29284489025010424</v>
      </c>
      <c r="O562">
        <v>0.25825312516372373</v>
      </c>
    </row>
    <row r="563" spans="1:15">
      <c r="A563" s="19">
        <v>43032</v>
      </c>
      <c r="B563">
        <v>754.4</v>
      </c>
      <c r="C563">
        <v>767</v>
      </c>
      <c r="D563">
        <v>2862</v>
      </c>
      <c r="E563">
        <v>2900</v>
      </c>
      <c r="F563">
        <v>0.26448275862068898</v>
      </c>
      <c r="G563">
        <v>0.27584671495402802</v>
      </c>
      <c r="H563">
        <v>8.7143312812811395E-3</v>
      </c>
      <c r="I563">
        <v>-1.30405374394582</v>
      </c>
      <c r="J563">
        <v>-4.3</v>
      </c>
      <c r="L563">
        <v>0.28456104623530915</v>
      </c>
      <c r="M563">
        <v>0.26713238367274689</v>
      </c>
      <c r="N563">
        <v>0.29327537751659027</v>
      </c>
      <c r="O563">
        <v>0.25841805239146576</v>
      </c>
    </row>
    <row r="564" spans="1:15">
      <c r="A564" s="19">
        <v>43031</v>
      </c>
      <c r="B564">
        <v>751</v>
      </c>
      <c r="C564">
        <v>754.3</v>
      </c>
      <c r="D564">
        <v>2857</v>
      </c>
      <c r="E564">
        <v>2862</v>
      </c>
      <c r="F564">
        <v>0.26355695317959399</v>
      </c>
      <c r="G564">
        <v>0.276212127702199</v>
      </c>
      <c r="H564">
        <v>8.8042864512191503E-3</v>
      </c>
      <c r="I564">
        <v>-1.4373878670034399</v>
      </c>
      <c r="J564">
        <v>-4.8</v>
      </c>
      <c r="L564">
        <v>0.28501641415341816</v>
      </c>
      <c r="M564">
        <v>0.26740784125097983</v>
      </c>
      <c r="N564">
        <v>0.29382070060463727</v>
      </c>
      <c r="O564">
        <v>0.25860355479976072</v>
      </c>
    </row>
    <row r="565" spans="1:15">
      <c r="A565" s="19">
        <v>43028</v>
      </c>
      <c r="B565">
        <v>739.2</v>
      </c>
      <c r="C565">
        <v>743.4</v>
      </c>
      <c r="D565">
        <v>2826</v>
      </c>
      <c r="E565">
        <v>2848</v>
      </c>
      <c r="F565">
        <v>0.261025280898876</v>
      </c>
      <c r="G565">
        <v>0.27654258376726398</v>
      </c>
      <c r="H565">
        <v>8.78819612740004E-3</v>
      </c>
      <c r="I565">
        <v>-1.7656982893233599</v>
      </c>
      <c r="J565">
        <v>-5.94</v>
      </c>
      <c r="L565">
        <v>0.28533077989466404</v>
      </c>
      <c r="M565">
        <v>0.26775438763986392</v>
      </c>
      <c r="N565">
        <v>0.29411897602206405</v>
      </c>
      <c r="O565">
        <v>0.25896619151246392</v>
      </c>
    </row>
    <row r="566" spans="1:15">
      <c r="A566" s="19">
        <v>43027</v>
      </c>
      <c r="B566">
        <v>743.5</v>
      </c>
      <c r="C566">
        <v>743</v>
      </c>
      <c r="D566">
        <v>2823</v>
      </c>
      <c r="E566">
        <v>2840</v>
      </c>
      <c r="F566">
        <v>0.26161971830985897</v>
      </c>
      <c r="G566">
        <v>0.27684028437542202</v>
      </c>
      <c r="H566">
        <v>8.6343308036634595E-3</v>
      </c>
      <c r="I566">
        <v>-1.76279626199932</v>
      </c>
      <c r="J566">
        <v>-5.82</v>
      </c>
      <c r="L566">
        <v>0.28547461517908546</v>
      </c>
      <c r="M566">
        <v>0.26820595357175858</v>
      </c>
      <c r="N566">
        <v>0.29410894598274895</v>
      </c>
      <c r="O566">
        <v>0.25957162276809509</v>
      </c>
    </row>
    <row r="567" spans="1:15">
      <c r="A567" s="19">
        <v>43026</v>
      </c>
      <c r="B567">
        <v>749.9</v>
      </c>
      <c r="C567">
        <v>743.4</v>
      </c>
      <c r="D567">
        <v>2841</v>
      </c>
      <c r="E567">
        <v>2828</v>
      </c>
      <c r="F567">
        <v>0.26287128712871199</v>
      </c>
      <c r="G567">
        <v>0.27707980780258001</v>
      </c>
      <c r="H567">
        <v>8.4561098072417108E-3</v>
      </c>
      <c r="I567">
        <v>-1.6802668127251099</v>
      </c>
      <c r="J567">
        <v>-5.41</v>
      </c>
      <c r="L567">
        <v>0.28553591760982172</v>
      </c>
      <c r="M567">
        <v>0.26862369799533831</v>
      </c>
      <c r="N567">
        <v>0.29399202741706343</v>
      </c>
      <c r="O567">
        <v>0.2601675881880966</v>
      </c>
    </row>
    <row r="568" spans="1:15">
      <c r="A568" s="19">
        <v>43025</v>
      </c>
      <c r="B568">
        <v>748.1</v>
      </c>
      <c r="C568">
        <v>748</v>
      </c>
      <c r="D568">
        <v>2841</v>
      </c>
      <c r="E568">
        <v>2845</v>
      </c>
      <c r="F568">
        <v>0.26291739894551802</v>
      </c>
      <c r="G568">
        <v>0.27727229320496599</v>
      </c>
      <c r="H568">
        <v>8.2932306168004895E-3</v>
      </c>
      <c r="I568">
        <v>-1.7309170482209999</v>
      </c>
      <c r="J568">
        <v>-5.46</v>
      </c>
      <c r="L568">
        <v>0.28556552382176648</v>
      </c>
      <c r="M568">
        <v>0.26897906258816551</v>
      </c>
      <c r="N568">
        <v>0.29385875443856696</v>
      </c>
      <c r="O568">
        <v>0.26068583197136502</v>
      </c>
    </row>
    <row r="569" spans="1:15">
      <c r="A569" s="19">
        <v>43024</v>
      </c>
      <c r="B569">
        <v>737.9</v>
      </c>
      <c r="C569">
        <v>742.9</v>
      </c>
      <c r="D569">
        <v>2798</v>
      </c>
      <c r="E569">
        <v>2834</v>
      </c>
      <c r="F569">
        <v>0.26213832039520102</v>
      </c>
      <c r="G569">
        <v>0.27746784158680599</v>
      </c>
      <c r="H569">
        <v>8.1236211093930494E-3</v>
      </c>
      <c r="I569">
        <v>-1.8870305477296101</v>
      </c>
      <c r="J569">
        <v>-5.85</v>
      </c>
      <c r="L569">
        <v>0.28559146269619906</v>
      </c>
      <c r="M569">
        <v>0.26934422047741291</v>
      </c>
      <c r="N569">
        <v>0.29371508380559208</v>
      </c>
      <c r="O569">
        <v>0.26122059936801989</v>
      </c>
    </row>
    <row r="570" spans="1:15">
      <c r="A570" s="19">
        <v>43021</v>
      </c>
      <c r="B570">
        <v>730.7</v>
      </c>
      <c r="C570">
        <v>732.6</v>
      </c>
      <c r="D570">
        <v>2787</v>
      </c>
      <c r="E570">
        <v>2806</v>
      </c>
      <c r="F570">
        <v>0.26108339272986397</v>
      </c>
      <c r="G570">
        <v>0.27758486946628003</v>
      </c>
      <c r="H570">
        <v>7.9635875100772108E-3</v>
      </c>
      <c r="I570">
        <v>-2.07211595471701</v>
      </c>
      <c r="J570">
        <v>-6.32</v>
      </c>
      <c r="L570">
        <v>0.28554845697635722</v>
      </c>
      <c r="M570">
        <v>0.26962128195620283</v>
      </c>
      <c r="N570">
        <v>0.29351204448643442</v>
      </c>
      <c r="O570">
        <v>0.26165769444612563</v>
      </c>
    </row>
    <row r="571" spans="1:15">
      <c r="A571" s="19">
        <v>43020</v>
      </c>
      <c r="B571">
        <v>736</v>
      </c>
      <c r="C571">
        <v>735.2</v>
      </c>
      <c r="D571">
        <v>2785</v>
      </c>
      <c r="E571">
        <v>2791</v>
      </c>
      <c r="F571">
        <v>0.26341812970261502</v>
      </c>
      <c r="G571">
        <v>0.277652285651659</v>
      </c>
      <c r="H571">
        <v>7.8441136218868699E-3</v>
      </c>
      <c r="I571">
        <v>-1.81462898616446</v>
      </c>
      <c r="J571">
        <v>-5.4</v>
      </c>
      <c r="L571">
        <v>0.28549639927354586</v>
      </c>
      <c r="M571">
        <v>0.26980817202977214</v>
      </c>
      <c r="N571">
        <v>0.29334051289543273</v>
      </c>
      <c r="O571">
        <v>0.26196405840788528</v>
      </c>
    </row>
    <row r="572" spans="1:15">
      <c r="A572" s="19">
        <v>43019</v>
      </c>
      <c r="B572">
        <v>732.6</v>
      </c>
      <c r="C572">
        <v>732.3</v>
      </c>
      <c r="D572">
        <v>2753</v>
      </c>
      <c r="E572">
        <v>2774</v>
      </c>
      <c r="F572">
        <v>0.26398702235039601</v>
      </c>
      <c r="G572">
        <v>0.27769320539465198</v>
      </c>
      <c r="H572">
        <v>7.7774745247983501E-3</v>
      </c>
      <c r="I572">
        <v>-1.76229224545237</v>
      </c>
      <c r="J572">
        <v>-5.19</v>
      </c>
      <c r="L572">
        <v>0.2854706799194503</v>
      </c>
      <c r="M572">
        <v>0.26991573086985365</v>
      </c>
      <c r="N572">
        <v>0.29324815444424868</v>
      </c>
      <c r="O572">
        <v>0.26213825634505528</v>
      </c>
    </row>
    <row r="573" spans="1:15">
      <c r="A573" s="19">
        <v>43018</v>
      </c>
      <c r="B573">
        <v>741.1</v>
      </c>
      <c r="C573">
        <v>732.6</v>
      </c>
      <c r="D573">
        <v>2755</v>
      </c>
      <c r="E573">
        <v>2755</v>
      </c>
      <c r="F573">
        <v>0.26591651542649702</v>
      </c>
      <c r="G573">
        <v>0.27771800642332101</v>
      </c>
      <c r="H573">
        <v>7.7365865756381502E-3</v>
      </c>
      <c r="I573">
        <v>-1.52541316269705</v>
      </c>
      <c r="J573">
        <v>-4.4400000000000004</v>
      </c>
      <c r="L573">
        <v>0.28545459299895914</v>
      </c>
      <c r="M573">
        <v>0.26998141984768287</v>
      </c>
      <c r="N573">
        <v>0.29319117957459728</v>
      </c>
      <c r="O573">
        <v>0.26224483327204473</v>
      </c>
    </row>
    <row r="574" spans="1:15">
      <c r="A574" s="19">
        <v>43014</v>
      </c>
      <c r="B574">
        <v>764</v>
      </c>
      <c r="C574">
        <v>761.6</v>
      </c>
      <c r="D574">
        <v>2804</v>
      </c>
      <c r="E574">
        <v>2775</v>
      </c>
      <c r="F574">
        <v>0.27445045045045002</v>
      </c>
      <c r="G574">
        <v>0.27774634134485099</v>
      </c>
      <c r="H574">
        <v>7.69710305343902E-3</v>
      </c>
      <c r="I574">
        <v>-0.42819887839854798</v>
      </c>
      <c r="J574">
        <v>-1.2</v>
      </c>
      <c r="L574">
        <v>0.28544344439829</v>
      </c>
      <c r="M574">
        <v>0.27004923829141197</v>
      </c>
      <c r="N574">
        <v>0.29314054745172902</v>
      </c>
      <c r="O574">
        <v>0.26235213523797296</v>
      </c>
    </row>
    <row r="575" spans="1:15">
      <c r="A575" s="19">
        <v>43013</v>
      </c>
      <c r="B575">
        <v>767</v>
      </c>
      <c r="C575">
        <v>764.6</v>
      </c>
      <c r="D575">
        <v>2829</v>
      </c>
      <c r="E575">
        <v>2804</v>
      </c>
      <c r="F575">
        <v>0.272681883024251</v>
      </c>
      <c r="G575">
        <v>0.27763505926522503</v>
      </c>
      <c r="H575">
        <v>7.8035464048947702E-3</v>
      </c>
      <c r="I575">
        <v>-0.634734002205398</v>
      </c>
      <c r="J575">
        <v>-1.82</v>
      </c>
      <c r="L575">
        <v>0.2854386056701198</v>
      </c>
      <c r="M575">
        <v>0.26983151286033025</v>
      </c>
      <c r="N575">
        <v>0.29324215207501458</v>
      </c>
      <c r="O575">
        <v>0.26202796645543547</v>
      </c>
    </row>
    <row r="576" spans="1:15">
      <c r="A576" s="19">
        <v>43012</v>
      </c>
      <c r="B576">
        <v>769.5</v>
      </c>
      <c r="C576">
        <v>767.6</v>
      </c>
      <c r="D576">
        <v>2830</v>
      </c>
      <c r="E576">
        <v>2840</v>
      </c>
      <c r="F576">
        <v>0.27028169014084502</v>
      </c>
      <c r="G576">
        <v>0.27754032646592702</v>
      </c>
      <c r="H576">
        <v>7.9055607920144808E-3</v>
      </c>
      <c r="I576">
        <v>-0.91816842802786602</v>
      </c>
      <c r="J576">
        <v>-2.69</v>
      </c>
      <c r="L576">
        <v>0.28544588725794151</v>
      </c>
      <c r="M576">
        <v>0.26963476567391254</v>
      </c>
      <c r="N576">
        <v>0.293351448049956</v>
      </c>
      <c r="O576">
        <v>0.26172920488189805</v>
      </c>
    </row>
    <row r="577" spans="1:15">
      <c r="A577" s="19">
        <v>43011</v>
      </c>
      <c r="B577">
        <v>767.8</v>
      </c>
      <c r="C577">
        <v>772.4</v>
      </c>
      <c r="D577">
        <v>2824</v>
      </c>
      <c r="E577">
        <v>2825</v>
      </c>
      <c r="F577">
        <v>0.27341592920353902</v>
      </c>
      <c r="G577">
        <v>0.27754554246306401</v>
      </c>
      <c r="H577">
        <v>7.9008975866033098E-3</v>
      </c>
      <c r="I577">
        <v>-0.52267646988955296</v>
      </c>
      <c r="J577">
        <v>-1.51</v>
      </c>
      <c r="L577">
        <v>0.28544644004966729</v>
      </c>
      <c r="M577">
        <v>0.26964464487646073</v>
      </c>
      <c r="N577">
        <v>0.29334733763627063</v>
      </c>
      <c r="O577">
        <v>0.26174374728985739</v>
      </c>
    </row>
    <row r="578" spans="1:15">
      <c r="A578" s="19">
        <v>43010</v>
      </c>
      <c r="B578">
        <v>768.8</v>
      </c>
      <c r="C578">
        <v>768</v>
      </c>
      <c r="D578">
        <v>2764</v>
      </c>
      <c r="E578">
        <v>2797</v>
      </c>
      <c r="F578">
        <v>0.27457990704326002</v>
      </c>
      <c r="G578">
        <v>0.27754620136081198</v>
      </c>
      <c r="H578">
        <v>7.9005552219487008E-3</v>
      </c>
      <c r="I578">
        <v>-0.37545390598768202</v>
      </c>
      <c r="J578">
        <v>-1.08</v>
      </c>
      <c r="L578">
        <v>0.2854467565827607</v>
      </c>
      <c r="M578">
        <v>0.26964564613886327</v>
      </c>
      <c r="N578">
        <v>0.29334731180470941</v>
      </c>
      <c r="O578">
        <v>0.26174509091691456</v>
      </c>
    </row>
    <row r="579" spans="1:15">
      <c r="A579" s="19">
        <v>43007</v>
      </c>
      <c r="B579">
        <v>766.8</v>
      </c>
      <c r="C579">
        <v>768.5</v>
      </c>
      <c r="D579">
        <v>2750</v>
      </c>
      <c r="E579">
        <v>2782</v>
      </c>
      <c r="F579">
        <v>0.27624011502516099</v>
      </c>
      <c r="G579">
        <v>0.27761168601306002</v>
      </c>
      <c r="H579">
        <v>7.89605021815863E-3</v>
      </c>
      <c r="I579">
        <v>-0.17370342766367899</v>
      </c>
      <c r="J579">
        <v>-0.5</v>
      </c>
      <c r="L579">
        <v>0.28550773623121867</v>
      </c>
      <c r="M579">
        <v>0.26971563579490138</v>
      </c>
      <c r="N579">
        <v>0.29340378644937726</v>
      </c>
      <c r="O579">
        <v>0.26181958557674279</v>
      </c>
    </row>
    <row r="580" spans="1:15">
      <c r="A580" s="19">
        <v>43006</v>
      </c>
      <c r="B580">
        <v>759.4</v>
      </c>
      <c r="C580">
        <v>767.9</v>
      </c>
      <c r="D580">
        <v>2756</v>
      </c>
      <c r="E580">
        <v>2769</v>
      </c>
      <c r="F580">
        <v>0.27732033224990899</v>
      </c>
      <c r="G580">
        <v>0.27766690121224802</v>
      </c>
      <c r="H580">
        <v>7.9007437033148595E-3</v>
      </c>
      <c r="I580">
        <v>-4.38653594336052E-2</v>
      </c>
      <c r="J580">
        <v>-0.12</v>
      </c>
      <c r="L580">
        <v>0.28556764491556286</v>
      </c>
      <c r="M580">
        <v>0.26976615750893318</v>
      </c>
      <c r="N580">
        <v>0.29346838861887775</v>
      </c>
      <c r="O580">
        <v>0.26186541380561829</v>
      </c>
    </row>
    <row r="581" spans="1:15">
      <c r="A581" s="19">
        <v>43005</v>
      </c>
      <c r="B581">
        <v>753.9</v>
      </c>
      <c r="C581">
        <v>755.6</v>
      </c>
      <c r="D581">
        <v>2785</v>
      </c>
      <c r="E581">
        <v>2757</v>
      </c>
      <c r="F581">
        <v>0.27406601378309697</v>
      </c>
      <c r="G581">
        <v>0.277691031286107</v>
      </c>
      <c r="H581">
        <v>7.9024118388324998E-3</v>
      </c>
      <c r="I581">
        <v>-0.45872292876410897</v>
      </c>
      <c r="J581">
        <v>-1.32</v>
      </c>
      <c r="L581">
        <v>0.28559344312493951</v>
      </c>
      <c r="M581">
        <v>0.2697886194472745</v>
      </c>
      <c r="N581">
        <v>0.29349585496377201</v>
      </c>
      <c r="O581">
        <v>0.261886207608442</v>
      </c>
    </row>
    <row r="582" spans="1:15">
      <c r="A582" s="19">
        <v>43004</v>
      </c>
      <c r="B582">
        <v>767.7</v>
      </c>
      <c r="C582">
        <v>768.2</v>
      </c>
      <c r="D582">
        <v>2741</v>
      </c>
      <c r="E582">
        <v>2780</v>
      </c>
      <c r="F582">
        <v>0.27633093525179803</v>
      </c>
      <c r="G582">
        <v>0.27768977851417498</v>
      </c>
      <c r="H582">
        <v>7.9029938408969394E-3</v>
      </c>
      <c r="I582">
        <v>-0.17194031650953501</v>
      </c>
      <c r="J582">
        <v>-0.49</v>
      </c>
      <c r="L582">
        <v>0.28559277235507191</v>
      </c>
      <c r="M582">
        <v>0.26978678467327805</v>
      </c>
      <c r="N582">
        <v>0.29349576619596884</v>
      </c>
      <c r="O582">
        <v>0.26188379083238111</v>
      </c>
    </row>
    <row r="583" spans="1:15">
      <c r="A583" s="19">
        <v>43003</v>
      </c>
      <c r="B583">
        <v>768.7</v>
      </c>
      <c r="C583">
        <v>768.7</v>
      </c>
      <c r="D583">
        <v>2742</v>
      </c>
      <c r="E583">
        <v>2744</v>
      </c>
      <c r="F583">
        <v>0.28013848396501401</v>
      </c>
      <c r="G583">
        <v>0.27757327708465901</v>
      </c>
      <c r="H583">
        <v>7.9861315517729802E-3</v>
      </c>
      <c r="I583">
        <v>0.321207691574457</v>
      </c>
      <c r="J583">
        <v>0.92</v>
      </c>
      <c r="L583">
        <v>0.28555940863643198</v>
      </c>
      <c r="M583">
        <v>0.26958714553288604</v>
      </c>
      <c r="N583">
        <v>0.29354554018820495</v>
      </c>
      <c r="O583">
        <v>0.26160101398111307</v>
      </c>
    </row>
    <row r="584" spans="1:15">
      <c r="A584" s="19">
        <v>43000</v>
      </c>
      <c r="B584">
        <v>765.5</v>
      </c>
      <c r="C584">
        <v>765</v>
      </c>
      <c r="D584">
        <v>2713</v>
      </c>
      <c r="E584">
        <v>2727</v>
      </c>
      <c r="F584">
        <v>0.28052805280527998</v>
      </c>
      <c r="G584">
        <v>0.27738128297727799</v>
      </c>
      <c r="H584">
        <v>8.0945077990980507E-3</v>
      </c>
      <c r="I584">
        <v>0.38875369646971702</v>
      </c>
      <c r="J584">
        <v>1.1200000000000001</v>
      </c>
      <c r="L584">
        <v>0.28547579077637603</v>
      </c>
      <c r="M584">
        <v>0.26928677517817995</v>
      </c>
      <c r="N584">
        <v>0.29357029857547406</v>
      </c>
      <c r="O584">
        <v>0.26119226737908191</v>
      </c>
    </row>
    <row r="585" spans="1:15">
      <c r="A585" s="19">
        <v>42999</v>
      </c>
      <c r="B585">
        <v>753</v>
      </c>
      <c r="C585">
        <v>765.5</v>
      </c>
      <c r="D585">
        <v>2678</v>
      </c>
      <c r="E585">
        <v>2725</v>
      </c>
      <c r="F585">
        <v>0.28091743119265999</v>
      </c>
      <c r="G585">
        <v>0.27717691312945197</v>
      </c>
      <c r="H585">
        <v>8.2052182990880497E-3</v>
      </c>
      <c r="I585">
        <v>0.455870633402082</v>
      </c>
      <c r="J585">
        <v>1.33</v>
      </c>
      <c r="L585">
        <v>0.28538213142854002</v>
      </c>
      <c r="M585">
        <v>0.26897169483036393</v>
      </c>
      <c r="N585">
        <v>0.29358734972762807</v>
      </c>
      <c r="O585">
        <v>0.26076647653127588</v>
      </c>
    </row>
    <row r="586" spans="1:15">
      <c r="A586" s="19">
        <v>42998</v>
      </c>
      <c r="B586">
        <v>744.2</v>
      </c>
      <c r="C586">
        <v>750.3</v>
      </c>
      <c r="D586">
        <v>2667</v>
      </c>
      <c r="E586">
        <v>2678</v>
      </c>
      <c r="F586">
        <v>0.28017176997759502</v>
      </c>
      <c r="G586">
        <v>0.27698396188650998</v>
      </c>
      <c r="H586">
        <v>8.2847550112194399E-3</v>
      </c>
      <c r="I586">
        <v>0.38478000698484</v>
      </c>
      <c r="J586">
        <v>1.1399999999999999</v>
      </c>
      <c r="L586">
        <v>0.28526871689772942</v>
      </c>
      <c r="M586">
        <v>0.26869920687529053</v>
      </c>
      <c r="N586">
        <v>0.29355347190894887</v>
      </c>
      <c r="O586">
        <v>0.26041445186407108</v>
      </c>
    </row>
    <row r="587" spans="1:15">
      <c r="A587" s="19">
        <v>42997</v>
      </c>
      <c r="B587">
        <v>742.8</v>
      </c>
      <c r="C587">
        <v>742.9</v>
      </c>
      <c r="D587">
        <v>2631</v>
      </c>
      <c r="E587">
        <v>2670</v>
      </c>
      <c r="F587">
        <v>0.278239700374531</v>
      </c>
      <c r="G587">
        <v>0.27690119207883401</v>
      </c>
      <c r="H587">
        <v>8.2835028405472497E-3</v>
      </c>
      <c r="I587">
        <v>0.161587232051841</v>
      </c>
      <c r="J587">
        <v>0.48</v>
      </c>
      <c r="L587">
        <v>0.28518469491938125</v>
      </c>
      <c r="M587">
        <v>0.26861768923828677</v>
      </c>
      <c r="N587">
        <v>0.2934681977599285</v>
      </c>
      <c r="O587">
        <v>0.26033418639773953</v>
      </c>
    </row>
    <row r="588" spans="1:15">
      <c r="A588" s="19">
        <v>42993</v>
      </c>
      <c r="B588">
        <v>734.6</v>
      </c>
      <c r="C588">
        <v>737.9</v>
      </c>
      <c r="D588">
        <v>2630</v>
      </c>
      <c r="E588">
        <v>2615</v>
      </c>
      <c r="F588">
        <v>0.28217973231357502</v>
      </c>
      <c r="G588">
        <v>0.276861471080523</v>
      </c>
      <c r="H588">
        <v>8.2841317956774494E-3</v>
      </c>
      <c r="I588">
        <v>0.64198172653738805</v>
      </c>
      <c r="J588">
        <v>1.88</v>
      </c>
      <c r="L588">
        <v>0.28514560287620044</v>
      </c>
      <c r="M588">
        <v>0.26857733928484556</v>
      </c>
      <c r="N588">
        <v>0.29342973467187788</v>
      </c>
      <c r="O588">
        <v>0.26029320748916812</v>
      </c>
    </row>
    <row r="589" spans="1:15">
      <c r="A589" s="19">
        <v>42992</v>
      </c>
      <c r="B589">
        <v>733.1</v>
      </c>
      <c r="C589">
        <v>731.9</v>
      </c>
      <c r="D589">
        <v>2600</v>
      </c>
      <c r="E589">
        <v>2617</v>
      </c>
      <c r="F589">
        <v>0.27967137944210901</v>
      </c>
      <c r="G589">
        <v>0.27683831204204901</v>
      </c>
      <c r="H589">
        <v>8.2716502110400398E-3</v>
      </c>
      <c r="I589">
        <v>0.342503288676132</v>
      </c>
      <c r="J589">
        <v>1.01</v>
      </c>
      <c r="L589">
        <v>0.28510996225308904</v>
      </c>
      <c r="M589">
        <v>0.26856666183100897</v>
      </c>
      <c r="N589">
        <v>0.29338161246412908</v>
      </c>
      <c r="O589">
        <v>0.26029501161996893</v>
      </c>
    </row>
    <row r="590" spans="1:15">
      <c r="A590" s="19">
        <v>42991</v>
      </c>
      <c r="B590">
        <v>738</v>
      </c>
      <c r="C590">
        <v>732.5</v>
      </c>
      <c r="D590">
        <v>2625</v>
      </c>
      <c r="E590">
        <v>2616</v>
      </c>
      <c r="F590">
        <v>0.28000764525993799</v>
      </c>
      <c r="G590">
        <v>0.276844771003594</v>
      </c>
      <c r="H590">
        <v>8.2740486888957798E-3</v>
      </c>
      <c r="I590">
        <v>0.38226439984437999</v>
      </c>
      <c r="J590">
        <v>1.1299999999999999</v>
      </c>
      <c r="L590">
        <v>0.28511881969248976</v>
      </c>
      <c r="M590">
        <v>0.26857072231469825</v>
      </c>
      <c r="N590">
        <v>0.29339286838138556</v>
      </c>
      <c r="O590">
        <v>0.26029667362580244</v>
      </c>
    </row>
    <row r="591" spans="1:15">
      <c r="A591" s="19">
        <v>42990</v>
      </c>
      <c r="B591">
        <v>726</v>
      </c>
      <c r="C591">
        <v>735.9</v>
      </c>
      <c r="D591">
        <v>2600</v>
      </c>
      <c r="E591">
        <v>2615</v>
      </c>
      <c r="F591">
        <v>0.281414913957935</v>
      </c>
      <c r="G591">
        <v>0.27684554589923799</v>
      </c>
      <c r="H591">
        <v>8.2743475836747505E-3</v>
      </c>
      <c r="I591">
        <v>0.55223303257308698</v>
      </c>
      <c r="J591">
        <v>1.62</v>
      </c>
      <c r="L591">
        <v>0.28511989348291272</v>
      </c>
      <c r="M591">
        <v>0.26857119831556325</v>
      </c>
      <c r="N591">
        <v>0.29339424106658751</v>
      </c>
      <c r="O591">
        <v>0.26029685073188846</v>
      </c>
    </row>
    <row r="592" spans="1:15">
      <c r="A592" s="19">
        <v>42989</v>
      </c>
      <c r="B592">
        <v>720</v>
      </c>
      <c r="C592">
        <v>722.3</v>
      </c>
      <c r="D592">
        <v>2609</v>
      </c>
      <c r="E592">
        <v>2586</v>
      </c>
      <c r="F592">
        <v>0.27931167826759401</v>
      </c>
      <c r="G592">
        <v>0.27686277888027999</v>
      </c>
      <c r="H592">
        <v>8.2851850793305305E-3</v>
      </c>
      <c r="I592">
        <v>0.29557570094882202</v>
      </c>
      <c r="J592">
        <v>0.88</v>
      </c>
      <c r="L592">
        <v>0.28514796395961051</v>
      </c>
      <c r="M592">
        <v>0.26857759380094948</v>
      </c>
      <c r="N592">
        <v>0.29343314903894108</v>
      </c>
      <c r="O592">
        <v>0.26029240872161891</v>
      </c>
    </row>
    <row r="593" spans="1:15">
      <c r="A593" s="19">
        <v>42986</v>
      </c>
      <c r="B593">
        <v>725</v>
      </c>
      <c r="C593">
        <v>716.3</v>
      </c>
      <c r="D593">
        <v>2541</v>
      </c>
      <c r="E593">
        <v>2582</v>
      </c>
      <c r="F593">
        <v>0.27742060418280401</v>
      </c>
      <c r="G593">
        <v>0.27691075431758699</v>
      </c>
      <c r="H593">
        <v>8.3096081368547996E-3</v>
      </c>
      <c r="I593">
        <v>6.13566677055985E-2</v>
      </c>
      <c r="J593">
        <v>0.18</v>
      </c>
      <c r="L593">
        <v>0.28522036245444177</v>
      </c>
      <c r="M593">
        <v>0.26860114618073222</v>
      </c>
      <c r="N593">
        <v>0.2935299705912966</v>
      </c>
      <c r="O593">
        <v>0.26029153804387739</v>
      </c>
    </row>
    <row r="594" spans="1:15">
      <c r="A594" s="19">
        <v>42985</v>
      </c>
      <c r="B594">
        <v>720</v>
      </c>
      <c r="C594">
        <v>720.4</v>
      </c>
      <c r="D594">
        <v>2524</v>
      </c>
      <c r="E594">
        <v>2557</v>
      </c>
      <c r="F594">
        <v>0.28173640985529902</v>
      </c>
      <c r="G594">
        <v>0.27701092992627502</v>
      </c>
      <c r="H594">
        <v>8.3602833516508608E-3</v>
      </c>
      <c r="I594">
        <v>0.56522963759241196</v>
      </c>
      <c r="J594">
        <v>1.68</v>
      </c>
      <c r="L594">
        <v>0.28537121327792586</v>
      </c>
      <c r="M594">
        <v>0.26865064657462417</v>
      </c>
      <c r="N594">
        <v>0.29373149662957676</v>
      </c>
      <c r="O594">
        <v>0.26029036322297328</v>
      </c>
    </row>
    <row r="595" spans="1:15">
      <c r="A595" s="19">
        <v>42984</v>
      </c>
      <c r="B595">
        <v>709.9</v>
      </c>
      <c r="C595">
        <v>717.5</v>
      </c>
      <c r="D595">
        <v>2500</v>
      </c>
      <c r="E595">
        <v>2517</v>
      </c>
      <c r="F595">
        <v>0.28506158124751602</v>
      </c>
      <c r="G595">
        <v>0.27703806287344201</v>
      </c>
      <c r="H595">
        <v>8.3788572418447699E-3</v>
      </c>
      <c r="I595">
        <v>0.957591010621895</v>
      </c>
      <c r="J595">
        <v>2.81</v>
      </c>
      <c r="L595">
        <v>0.2854169201152868</v>
      </c>
      <c r="M595">
        <v>0.26865920563159723</v>
      </c>
      <c r="N595">
        <v>0.29379577735713158</v>
      </c>
      <c r="O595">
        <v>0.26028034838975245</v>
      </c>
    </row>
    <row r="596" spans="1:15">
      <c r="A596" s="19">
        <v>42983</v>
      </c>
      <c r="B596">
        <v>714.4</v>
      </c>
      <c r="C596">
        <v>711.5</v>
      </c>
      <c r="D596">
        <v>2528</v>
      </c>
      <c r="E596">
        <v>2507</v>
      </c>
      <c r="F596">
        <v>0.28380534503390498</v>
      </c>
      <c r="G596">
        <v>0.27703143266151098</v>
      </c>
      <c r="H596">
        <v>8.3727000688708104E-3</v>
      </c>
      <c r="I596">
        <v>0.809047537434056</v>
      </c>
      <c r="J596">
        <v>2.39</v>
      </c>
      <c r="L596">
        <v>0.28540413273038179</v>
      </c>
      <c r="M596">
        <v>0.26865873259264017</v>
      </c>
      <c r="N596">
        <v>0.2937768327992526</v>
      </c>
      <c r="O596">
        <v>0.26028603252376936</v>
      </c>
    </row>
    <row r="597" spans="1:15">
      <c r="A597" s="19">
        <v>42982</v>
      </c>
      <c r="B597">
        <v>716.6</v>
      </c>
      <c r="C597">
        <v>714.7</v>
      </c>
      <c r="D597">
        <v>2560</v>
      </c>
      <c r="E597">
        <v>2520</v>
      </c>
      <c r="F597">
        <v>0.28361111111111098</v>
      </c>
      <c r="G597">
        <v>0.27707756320371701</v>
      </c>
      <c r="H597">
        <v>8.4192962257456892E-3</v>
      </c>
      <c r="I597">
        <v>0.77602067111197504</v>
      </c>
      <c r="J597">
        <v>2.2999999999999998</v>
      </c>
      <c r="L597">
        <v>0.28549685942946268</v>
      </c>
      <c r="M597">
        <v>0.26865826697797135</v>
      </c>
      <c r="N597">
        <v>0.2939161556552084</v>
      </c>
      <c r="O597">
        <v>0.26023897075222563</v>
      </c>
    </row>
    <row r="598" spans="1:15">
      <c r="A598" s="19">
        <v>42979</v>
      </c>
      <c r="B598">
        <v>715.9</v>
      </c>
      <c r="C598">
        <v>717</v>
      </c>
      <c r="D598">
        <v>2587</v>
      </c>
      <c r="E598">
        <v>2571</v>
      </c>
      <c r="F598">
        <v>0.27887981330221701</v>
      </c>
      <c r="G598">
        <v>0.27712920715536099</v>
      </c>
      <c r="H598">
        <v>8.4709356410083304E-3</v>
      </c>
      <c r="I598">
        <v>0.206660305430823</v>
      </c>
      <c r="J598">
        <v>0.63</v>
      </c>
      <c r="L598">
        <v>0.28560014279636931</v>
      </c>
      <c r="M598">
        <v>0.26865827151435268</v>
      </c>
      <c r="N598">
        <v>0.29407107843737768</v>
      </c>
      <c r="O598">
        <v>0.26018733587334431</v>
      </c>
    </row>
    <row r="599" spans="1:15">
      <c r="A599" s="19">
        <v>42978</v>
      </c>
      <c r="B599">
        <v>707.8</v>
      </c>
      <c r="C599">
        <v>715.4</v>
      </c>
      <c r="D599">
        <v>2579</v>
      </c>
      <c r="E599">
        <v>2586</v>
      </c>
      <c r="F599">
        <v>0.27664346481051799</v>
      </c>
      <c r="G599">
        <v>0.27729572538654701</v>
      </c>
      <c r="H599">
        <v>8.6250601209352899E-3</v>
      </c>
      <c r="I599">
        <v>-7.5623887472535206E-2</v>
      </c>
      <c r="J599">
        <v>-0.24</v>
      </c>
      <c r="L599">
        <v>0.28592078550748229</v>
      </c>
      <c r="M599">
        <v>0.26867066526561173</v>
      </c>
      <c r="N599">
        <v>0.29454584562841757</v>
      </c>
      <c r="O599">
        <v>0.26004560514467645</v>
      </c>
    </row>
    <row r="600" spans="1:15">
      <c r="A600" s="19">
        <v>42977</v>
      </c>
      <c r="B600">
        <v>704.5</v>
      </c>
      <c r="C600">
        <v>705.6</v>
      </c>
      <c r="D600">
        <v>2589</v>
      </c>
      <c r="E600">
        <v>2591</v>
      </c>
      <c r="F600">
        <v>0.27232728676186801</v>
      </c>
      <c r="G600">
        <v>0.27752565829763298</v>
      </c>
      <c r="H600">
        <v>8.8319888117058196E-3</v>
      </c>
      <c r="I600">
        <v>-0.58858447928229896</v>
      </c>
      <c r="J600">
        <v>-1.91</v>
      </c>
      <c r="L600">
        <v>0.28635764710933881</v>
      </c>
      <c r="M600">
        <v>0.26869366948592716</v>
      </c>
      <c r="N600">
        <v>0.29518963592104464</v>
      </c>
      <c r="O600">
        <v>0.25986168067422133</v>
      </c>
    </row>
    <row r="601" spans="1:15">
      <c r="A601" s="19">
        <v>42976</v>
      </c>
      <c r="B601">
        <v>700</v>
      </c>
      <c r="C601">
        <v>701.5</v>
      </c>
      <c r="D601">
        <v>2567</v>
      </c>
      <c r="E601">
        <v>2576</v>
      </c>
      <c r="F601">
        <v>0.27232142857142799</v>
      </c>
      <c r="G601">
        <v>0.27779409216676598</v>
      </c>
      <c r="H601">
        <v>8.9747082022903196E-3</v>
      </c>
      <c r="I601">
        <v>-0.60978735709100096</v>
      </c>
      <c r="J601">
        <v>-2.0099999999999998</v>
      </c>
      <c r="L601">
        <v>0.28676880036905628</v>
      </c>
      <c r="M601">
        <v>0.26881938396447569</v>
      </c>
      <c r="N601">
        <v>0.29574350857134662</v>
      </c>
      <c r="O601">
        <v>0.25984467576218534</v>
      </c>
    </row>
    <row r="602" spans="1:15">
      <c r="A602" s="19">
        <v>42975</v>
      </c>
      <c r="B602">
        <v>700</v>
      </c>
      <c r="C602">
        <v>704</v>
      </c>
      <c r="D602">
        <v>2582</v>
      </c>
      <c r="E602">
        <v>2590</v>
      </c>
      <c r="F602">
        <v>0.27181467181467101</v>
      </c>
      <c r="G602">
        <v>0.27816760656414902</v>
      </c>
      <c r="H602">
        <v>9.3156380565360096E-3</v>
      </c>
      <c r="I602">
        <v>-0.68196453221158304</v>
      </c>
      <c r="J602">
        <v>-2.34</v>
      </c>
      <c r="L602">
        <v>0.28748324462068503</v>
      </c>
      <c r="M602">
        <v>0.268851968507613</v>
      </c>
      <c r="N602">
        <v>0.29679888267722104</v>
      </c>
      <c r="O602">
        <v>0.25953633045107699</v>
      </c>
    </row>
    <row r="603" spans="1:15">
      <c r="A603" s="19">
        <v>42972</v>
      </c>
      <c r="B603">
        <v>690.3</v>
      </c>
      <c r="C603">
        <v>695.2</v>
      </c>
      <c r="D603">
        <v>2574</v>
      </c>
      <c r="E603">
        <v>2571</v>
      </c>
      <c r="F603">
        <v>0.27040062232594297</v>
      </c>
      <c r="G603">
        <v>0.27848874372661497</v>
      </c>
      <c r="H603">
        <v>9.5043325504449005E-3</v>
      </c>
      <c r="I603">
        <v>-0.85099309791023803</v>
      </c>
      <c r="J603">
        <v>-2.99</v>
      </c>
      <c r="L603">
        <v>0.28799307627705989</v>
      </c>
      <c r="M603">
        <v>0.26898441117617006</v>
      </c>
      <c r="N603">
        <v>0.29749740882750475</v>
      </c>
      <c r="O603">
        <v>0.2594800786257252</v>
      </c>
    </row>
    <row r="604" spans="1:15">
      <c r="A604" s="19">
        <v>42971</v>
      </c>
      <c r="B604">
        <v>695</v>
      </c>
      <c r="C604">
        <v>688.5</v>
      </c>
      <c r="D604">
        <v>2584</v>
      </c>
      <c r="E604">
        <v>2564</v>
      </c>
      <c r="F604">
        <v>0.268525741029641</v>
      </c>
      <c r="G604">
        <v>0.27882834622206698</v>
      </c>
      <c r="H604">
        <v>9.6629837043721092E-3</v>
      </c>
      <c r="I604">
        <v>-1.06619295940292</v>
      </c>
      <c r="J604">
        <v>-3.84</v>
      </c>
      <c r="L604">
        <v>0.28849132992643911</v>
      </c>
      <c r="M604">
        <v>0.26916536251769485</v>
      </c>
      <c r="N604">
        <v>0.29815431363081119</v>
      </c>
      <c r="O604">
        <v>0.25950237881332278</v>
      </c>
    </row>
    <row r="605" spans="1:15">
      <c r="A605" s="19">
        <v>42970</v>
      </c>
      <c r="B605">
        <v>704</v>
      </c>
      <c r="C605">
        <v>697</v>
      </c>
      <c r="D605">
        <v>2622</v>
      </c>
      <c r="E605">
        <v>2595</v>
      </c>
      <c r="F605">
        <v>0.26859344894026899</v>
      </c>
      <c r="G605">
        <v>0.279041293051629</v>
      </c>
      <c r="H605">
        <v>9.6094260968780394E-3</v>
      </c>
      <c r="I605">
        <v>-1.0872495408184499</v>
      </c>
      <c r="J605">
        <v>-3.89</v>
      </c>
      <c r="L605">
        <v>0.28865071914850704</v>
      </c>
      <c r="M605">
        <v>0.26943186695475096</v>
      </c>
      <c r="N605">
        <v>0.29826014524538508</v>
      </c>
      <c r="O605">
        <v>0.25982244085787293</v>
      </c>
    </row>
    <row r="606" spans="1:15">
      <c r="A606" s="19">
        <v>42969</v>
      </c>
      <c r="B606">
        <v>698.9</v>
      </c>
      <c r="C606">
        <v>697.3</v>
      </c>
      <c r="D606">
        <v>2558</v>
      </c>
      <c r="E606">
        <v>2588</v>
      </c>
      <c r="F606">
        <v>0.26943585780525497</v>
      </c>
      <c r="G606">
        <v>0.27924736150570501</v>
      </c>
      <c r="H606">
        <v>9.54868991627013E-3</v>
      </c>
      <c r="I606">
        <v>-1.0275235436991299</v>
      </c>
      <c r="J606">
        <v>-3.64</v>
      </c>
      <c r="L606">
        <v>0.28879605142197512</v>
      </c>
      <c r="M606">
        <v>0.26969867158943489</v>
      </c>
      <c r="N606">
        <v>0.29834474133824529</v>
      </c>
      <c r="O606">
        <v>0.26014998167316472</v>
      </c>
    </row>
    <row r="607" spans="1:15">
      <c r="A607" s="19">
        <v>42968</v>
      </c>
      <c r="B607">
        <v>694.8</v>
      </c>
      <c r="C607">
        <v>694.4</v>
      </c>
      <c r="D607">
        <v>2556</v>
      </c>
      <c r="E607">
        <v>2558</v>
      </c>
      <c r="F607">
        <v>0.27146207974980402</v>
      </c>
      <c r="G607">
        <v>0.27950809441080898</v>
      </c>
      <c r="H607">
        <v>9.5442001932096801E-3</v>
      </c>
      <c r="I607">
        <v>-0.84302660234738902</v>
      </c>
      <c r="J607">
        <v>-2.96</v>
      </c>
      <c r="L607">
        <v>0.28905229460401866</v>
      </c>
      <c r="M607">
        <v>0.26996389421759931</v>
      </c>
      <c r="N607">
        <v>0.29859649479722833</v>
      </c>
      <c r="O607">
        <v>0.26041969402438964</v>
      </c>
    </row>
    <row r="608" spans="1:15">
      <c r="A608" s="19">
        <v>42965</v>
      </c>
      <c r="B608">
        <v>688</v>
      </c>
      <c r="C608">
        <v>694</v>
      </c>
      <c r="D608">
        <v>2527</v>
      </c>
      <c r="E608">
        <v>2553</v>
      </c>
      <c r="F608">
        <v>0.27183705444575001</v>
      </c>
      <c r="G608">
        <v>0.27977192633583903</v>
      </c>
      <c r="H608">
        <v>9.5915121497921405E-3</v>
      </c>
      <c r="I608">
        <v>-0.827280596236453</v>
      </c>
      <c r="J608">
        <v>-2.92</v>
      </c>
      <c r="L608">
        <v>0.28936343848563117</v>
      </c>
      <c r="M608">
        <v>0.27018041418604688</v>
      </c>
      <c r="N608">
        <v>0.29895495063542332</v>
      </c>
      <c r="O608">
        <v>0.26058890203625473</v>
      </c>
    </row>
    <row r="609" spans="1:15">
      <c r="A609" s="19">
        <v>42964</v>
      </c>
      <c r="B609">
        <v>693.2</v>
      </c>
      <c r="C609">
        <v>697.5</v>
      </c>
      <c r="D609">
        <v>2569</v>
      </c>
      <c r="E609">
        <v>2556</v>
      </c>
      <c r="F609">
        <v>0.272887323943662</v>
      </c>
      <c r="G609">
        <v>0.28007364420277397</v>
      </c>
      <c r="H609">
        <v>9.6925441318734904E-3</v>
      </c>
      <c r="I609">
        <v>-0.74142765421935397</v>
      </c>
      <c r="J609">
        <v>-2.63</v>
      </c>
      <c r="L609">
        <v>0.28976618833464746</v>
      </c>
      <c r="M609">
        <v>0.27038110007090049</v>
      </c>
      <c r="N609">
        <v>0.29945873246652094</v>
      </c>
      <c r="O609">
        <v>0.26068855593902701</v>
      </c>
    </row>
    <row r="610" spans="1:15">
      <c r="A610" s="19">
        <v>42963</v>
      </c>
      <c r="B610">
        <v>696</v>
      </c>
      <c r="C610">
        <v>692.9</v>
      </c>
      <c r="D610">
        <v>2564</v>
      </c>
      <c r="E610">
        <v>2574</v>
      </c>
      <c r="F610">
        <v>0.26919191919191898</v>
      </c>
      <c r="G610">
        <v>0.28031143520998603</v>
      </c>
      <c r="H610">
        <v>9.7320103140815604E-3</v>
      </c>
      <c r="I610">
        <v>-1.1425713351308</v>
      </c>
      <c r="J610">
        <v>-4.13</v>
      </c>
      <c r="L610">
        <v>0.29004344552406758</v>
      </c>
      <c r="M610">
        <v>0.27057942489590447</v>
      </c>
      <c r="N610">
        <v>0.29977545583814913</v>
      </c>
      <c r="O610">
        <v>0.26084741458182292</v>
      </c>
    </row>
    <row r="611" spans="1:15">
      <c r="A611" s="19">
        <v>42962</v>
      </c>
      <c r="B611">
        <v>688.5</v>
      </c>
      <c r="C611">
        <v>692.9</v>
      </c>
      <c r="D611">
        <v>2557</v>
      </c>
      <c r="E611">
        <v>2563</v>
      </c>
      <c r="F611">
        <v>0.270347249317206</v>
      </c>
      <c r="G611">
        <v>0.28055860694155199</v>
      </c>
      <c r="H611">
        <v>9.6817410984901403E-3</v>
      </c>
      <c r="I611">
        <v>-1.0547026119030301</v>
      </c>
      <c r="J611">
        <v>-3.78</v>
      </c>
      <c r="L611">
        <v>0.29024034804004212</v>
      </c>
      <c r="M611">
        <v>0.27087686584306186</v>
      </c>
      <c r="N611">
        <v>0.29992208913853224</v>
      </c>
      <c r="O611">
        <v>0.26119512474457174</v>
      </c>
    </row>
    <row r="612" spans="1:15">
      <c r="A612" s="19">
        <v>42961</v>
      </c>
      <c r="B612">
        <v>686.5</v>
      </c>
      <c r="C612">
        <v>682</v>
      </c>
      <c r="D612">
        <v>2565</v>
      </c>
      <c r="E612">
        <v>2527</v>
      </c>
      <c r="F612">
        <v>0.26988523941432502</v>
      </c>
      <c r="G612">
        <v>0.28074832142366402</v>
      </c>
      <c r="H612">
        <v>9.6189917933724896E-3</v>
      </c>
      <c r="I612">
        <v>-1.12933686218798</v>
      </c>
      <c r="J612">
        <v>-4.03</v>
      </c>
      <c r="L612">
        <v>0.29036731321703652</v>
      </c>
      <c r="M612">
        <v>0.27112932963029152</v>
      </c>
      <c r="N612">
        <v>0.29998630501040902</v>
      </c>
      <c r="O612">
        <v>0.26151033783691902</v>
      </c>
    </row>
    <row r="613" spans="1:15">
      <c r="A613" s="19">
        <v>42957</v>
      </c>
      <c r="B613">
        <v>695.3</v>
      </c>
      <c r="C613">
        <v>692.2</v>
      </c>
      <c r="D613">
        <v>2557</v>
      </c>
      <c r="E613">
        <v>2573</v>
      </c>
      <c r="F613">
        <v>0.269024485036921</v>
      </c>
      <c r="G613">
        <v>0.28093079982824498</v>
      </c>
      <c r="H613">
        <v>9.5406774715120091E-3</v>
      </c>
      <c r="I613">
        <v>-1.2479527608888501</v>
      </c>
      <c r="J613">
        <v>-4.43</v>
      </c>
      <c r="L613">
        <v>0.29047147729975697</v>
      </c>
      <c r="M613">
        <v>0.27139012235673299</v>
      </c>
      <c r="N613">
        <v>0.30001215477126902</v>
      </c>
      <c r="O613">
        <v>0.26184944488522094</v>
      </c>
    </row>
    <row r="614" spans="1:15">
      <c r="A614" s="19">
        <v>42956</v>
      </c>
      <c r="B614">
        <v>696.2</v>
      </c>
      <c r="C614">
        <v>693.3</v>
      </c>
      <c r="D614">
        <v>2563</v>
      </c>
      <c r="E614">
        <v>2547</v>
      </c>
      <c r="F614">
        <v>0.27220259128386298</v>
      </c>
      <c r="G614">
        <v>0.28117794306469202</v>
      </c>
      <c r="H614">
        <v>9.4688594847449296E-3</v>
      </c>
      <c r="I614">
        <v>-0.94788097714296604</v>
      </c>
      <c r="J614">
        <v>-3.3</v>
      </c>
      <c r="L614">
        <v>0.29064680254943692</v>
      </c>
      <c r="M614">
        <v>0.27170908357994711</v>
      </c>
      <c r="N614">
        <v>0.30011566203418188</v>
      </c>
      <c r="O614">
        <v>0.26224022409520215</v>
      </c>
    </row>
    <row r="615" spans="1:15">
      <c r="A615" s="19">
        <v>42955</v>
      </c>
      <c r="B615">
        <v>700</v>
      </c>
      <c r="C615">
        <v>698.6</v>
      </c>
      <c r="D615">
        <v>2608</v>
      </c>
      <c r="E615">
        <v>2577</v>
      </c>
      <c r="F615">
        <v>0.27109041521148602</v>
      </c>
      <c r="G615">
        <v>0.28136263814060197</v>
      </c>
      <c r="H615">
        <v>9.4269932345216901E-3</v>
      </c>
      <c r="I615">
        <v>-1.08966058143532</v>
      </c>
      <c r="J615">
        <v>-3.79</v>
      </c>
      <c r="L615">
        <v>0.29078963137512365</v>
      </c>
      <c r="M615">
        <v>0.2719356449060803</v>
      </c>
      <c r="N615">
        <v>0.30021662460964538</v>
      </c>
      <c r="O615">
        <v>0.26250865167155857</v>
      </c>
    </row>
    <row r="616" spans="1:15">
      <c r="A616" s="19">
        <v>42954</v>
      </c>
      <c r="B616">
        <v>698.1</v>
      </c>
      <c r="C616">
        <v>697.5</v>
      </c>
      <c r="D616">
        <v>2611</v>
      </c>
      <c r="E616">
        <v>2598</v>
      </c>
      <c r="F616">
        <v>0.268475750577367</v>
      </c>
      <c r="G616">
        <v>0.28155569569287803</v>
      </c>
      <c r="H616">
        <v>9.3626925177419992E-3</v>
      </c>
      <c r="I616">
        <v>-1.3970281615811799</v>
      </c>
      <c r="J616">
        <v>-4.87</v>
      </c>
      <c r="L616">
        <v>0.29091838821062005</v>
      </c>
      <c r="M616">
        <v>0.27219300317513601</v>
      </c>
      <c r="N616">
        <v>0.30028108072836202</v>
      </c>
      <c r="O616">
        <v>0.26283031065739404</v>
      </c>
    </row>
    <row r="617" spans="1:15">
      <c r="A617" s="19">
        <v>42951</v>
      </c>
      <c r="B617">
        <v>701.3</v>
      </c>
      <c r="C617">
        <v>694</v>
      </c>
      <c r="D617">
        <v>2676</v>
      </c>
      <c r="E617">
        <v>2661</v>
      </c>
      <c r="F617">
        <v>0.26080420894400602</v>
      </c>
      <c r="G617">
        <v>0.28177187228805001</v>
      </c>
      <c r="H617">
        <v>9.2446225928256107E-3</v>
      </c>
      <c r="I617">
        <v>-2.26809295171411</v>
      </c>
      <c r="J617">
        <v>-8.0399999999999991</v>
      </c>
      <c r="L617">
        <v>0.29101649488087561</v>
      </c>
      <c r="M617">
        <v>0.27252724969522441</v>
      </c>
      <c r="N617">
        <v>0.30026111747370121</v>
      </c>
      <c r="O617">
        <v>0.2632826271023988</v>
      </c>
    </row>
    <row r="618" spans="1:15">
      <c r="A618" s="19">
        <v>42950</v>
      </c>
      <c r="B618">
        <v>717</v>
      </c>
      <c r="C618">
        <v>705</v>
      </c>
      <c r="D618">
        <v>2638</v>
      </c>
      <c r="E618">
        <v>2676</v>
      </c>
      <c r="F618">
        <v>0.26345291479820598</v>
      </c>
      <c r="G618">
        <v>0.28210866661294998</v>
      </c>
      <c r="H618">
        <v>8.9293514726144999E-3</v>
      </c>
      <c r="I618">
        <v>-2.0892616750454698</v>
      </c>
      <c r="J618">
        <v>-7.08</v>
      </c>
      <c r="L618">
        <v>0.29103801808556445</v>
      </c>
      <c r="M618">
        <v>0.2731793151403355</v>
      </c>
      <c r="N618">
        <v>0.29996736955817899</v>
      </c>
      <c r="O618">
        <v>0.26424996366772097</v>
      </c>
    </row>
    <row r="619" spans="1:15">
      <c r="A619" s="19">
        <v>42949</v>
      </c>
      <c r="B619">
        <v>741</v>
      </c>
      <c r="C619">
        <v>716.3</v>
      </c>
      <c r="D619">
        <v>2649</v>
      </c>
      <c r="E619">
        <v>2648</v>
      </c>
      <c r="F619">
        <v>0.270506042296072</v>
      </c>
      <c r="G619">
        <v>0.28242578564371101</v>
      </c>
      <c r="H619">
        <v>8.6800288795545206E-3</v>
      </c>
      <c r="I619">
        <v>-1.3732377522055701</v>
      </c>
      <c r="J619">
        <v>-4.41</v>
      </c>
      <c r="L619">
        <v>0.29110581452326556</v>
      </c>
      <c r="M619">
        <v>0.27374575676415647</v>
      </c>
      <c r="N619">
        <v>0.29978584340282005</v>
      </c>
      <c r="O619">
        <v>0.26506572788460198</v>
      </c>
    </row>
    <row r="620" spans="1:15">
      <c r="A620" s="19">
        <v>42948</v>
      </c>
      <c r="B620">
        <v>735.3</v>
      </c>
      <c r="C620">
        <v>740.9</v>
      </c>
      <c r="D620">
        <v>2617</v>
      </c>
      <c r="E620">
        <v>2646</v>
      </c>
      <c r="F620">
        <v>0.28000755857898701</v>
      </c>
      <c r="G620">
        <v>0.28265055620539897</v>
      </c>
      <c r="H620">
        <v>8.5862157051148896E-3</v>
      </c>
      <c r="I620">
        <v>-0.30781868487621999</v>
      </c>
      <c r="J620">
        <v>-0.94</v>
      </c>
      <c r="L620">
        <v>0.29123677191051384</v>
      </c>
      <c r="M620">
        <v>0.27406434050028411</v>
      </c>
      <c r="N620">
        <v>0.29982298761562876</v>
      </c>
      <c r="O620">
        <v>0.26547812479516919</v>
      </c>
    </row>
    <row r="621" spans="1:15">
      <c r="A621" s="19">
        <v>42947</v>
      </c>
      <c r="B621">
        <v>730.3</v>
      </c>
      <c r="C621">
        <v>731.3</v>
      </c>
      <c r="D621">
        <v>2604</v>
      </c>
      <c r="E621">
        <v>2610</v>
      </c>
      <c r="F621">
        <v>0.28019157088122598</v>
      </c>
      <c r="G621">
        <v>0.28280773809561799</v>
      </c>
      <c r="H621">
        <v>8.64410158770622E-3</v>
      </c>
      <c r="I621">
        <v>-0.302653455405132</v>
      </c>
      <c r="J621">
        <v>-0.93</v>
      </c>
      <c r="L621">
        <v>0.29145183968332422</v>
      </c>
      <c r="M621">
        <v>0.27416363650791176</v>
      </c>
      <c r="N621">
        <v>0.30009594127103045</v>
      </c>
      <c r="O621">
        <v>0.26551953492020552</v>
      </c>
    </row>
    <row r="622" spans="1:15">
      <c r="A622" s="19">
        <v>42944</v>
      </c>
      <c r="B622">
        <v>730.3</v>
      </c>
      <c r="C622">
        <v>733.5</v>
      </c>
      <c r="D622">
        <v>2574</v>
      </c>
      <c r="E622">
        <v>2608</v>
      </c>
      <c r="F622">
        <v>0.28125</v>
      </c>
      <c r="G622">
        <v>0.28302147120806997</v>
      </c>
      <c r="H622">
        <v>8.7739743300436698E-3</v>
      </c>
      <c r="I622">
        <v>-0.20190066000135301</v>
      </c>
      <c r="J622">
        <v>-0.63</v>
      </c>
      <c r="L622">
        <v>0.29179544553811365</v>
      </c>
      <c r="M622">
        <v>0.2742474968780263</v>
      </c>
      <c r="N622">
        <v>0.30056941986815733</v>
      </c>
      <c r="O622">
        <v>0.26547352254798262</v>
      </c>
    </row>
    <row r="623" spans="1:15">
      <c r="A623" s="19">
        <v>42943</v>
      </c>
      <c r="B623">
        <v>735</v>
      </c>
      <c r="C623">
        <v>731.3</v>
      </c>
      <c r="D623">
        <v>2578</v>
      </c>
      <c r="E623">
        <v>2578</v>
      </c>
      <c r="F623">
        <v>0.28366951124903</v>
      </c>
      <c r="G623">
        <v>0.28320985374979002</v>
      </c>
      <c r="H623">
        <v>8.8848921049493098E-3</v>
      </c>
      <c r="I623">
        <v>5.1734730575205001E-2</v>
      </c>
      <c r="J623">
        <v>0.16</v>
      </c>
      <c r="L623">
        <v>0.29209474585473932</v>
      </c>
      <c r="M623">
        <v>0.27432496164484071</v>
      </c>
      <c r="N623">
        <v>0.30097963795968863</v>
      </c>
      <c r="O623">
        <v>0.26544006953989141</v>
      </c>
    </row>
    <row r="624" spans="1:15">
      <c r="A624" s="19">
        <v>42942</v>
      </c>
      <c r="B624">
        <v>736.1</v>
      </c>
      <c r="C624">
        <v>736.4</v>
      </c>
      <c r="D624">
        <v>2575</v>
      </c>
      <c r="E624">
        <v>2573</v>
      </c>
      <c r="F624">
        <v>0.286202876020209</v>
      </c>
      <c r="G624">
        <v>0.283328679934852</v>
      </c>
      <c r="H624">
        <v>8.9496034223698496E-3</v>
      </c>
      <c r="I624">
        <v>0.32115345783627403</v>
      </c>
      <c r="J624">
        <v>1</v>
      </c>
      <c r="L624">
        <v>0.29227828335722184</v>
      </c>
      <c r="M624">
        <v>0.27437907651248217</v>
      </c>
      <c r="N624">
        <v>0.30122788677959172</v>
      </c>
      <c r="O624">
        <v>0.26542947309011228</v>
      </c>
    </row>
    <row r="625" spans="1:15">
      <c r="A625" s="19">
        <v>42941</v>
      </c>
      <c r="B625">
        <v>730</v>
      </c>
      <c r="C625">
        <v>729.4</v>
      </c>
      <c r="D625">
        <v>2565</v>
      </c>
      <c r="E625">
        <v>2553</v>
      </c>
      <c r="F625">
        <v>0.28570309439874603</v>
      </c>
      <c r="G625">
        <v>0.28342995873159899</v>
      </c>
      <c r="H625">
        <v>9.0242251116421594E-3</v>
      </c>
      <c r="I625">
        <v>0.25189261560137399</v>
      </c>
      <c r="J625">
        <v>0.8</v>
      </c>
      <c r="L625">
        <v>0.29245418384324112</v>
      </c>
      <c r="M625">
        <v>0.27440573361995685</v>
      </c>
      <c r="N625">
        <v>0.30147840895488331</v>
      </c>
      <c r="O625">
        <v>0.26538150850831466</v>
      </c>
    </row>
    <row r="626" spans="1:15">
      <c r="A626" s="19">
        <v>42940</v>
      </c>
      <c r="B626">
        <v>730.9</v>
      </c>
      <c r="C626">
        <v>729.6</v>
      </c>
      <c r="D626">
        <v>2561</v>
      </c>
      <c r="E626">
        <v>2568</v>
      </c>
      <c r="F626">
        <v>0.28411214953271002</v>
      </c>
      <c r="G626">
        <v>0.283484181752574</v>
      </c>
      <c r="H626">
        <v>9.0499017395649205E-3</v>
      </c>
      <c r="I626">
        <v>6.9389458383904201E-2</v>
      </c>
      <c r="J626">
        <v>0.22</v>
      </c>
      <c r="L626">
        <v>0.29253408349213894</v>
      </c>
      <c r="M626">
        <v>0.27443428001300907</v>
      </c>
      <c r="N626">
        <v>0.30158398523170382</v>
      </c>
      <c r="O626">
        <v>0.26538437827344419</v>
      </c>
    </row>
    <row r="627" spans="1:15">
      <c r="A627" s="19">
        <v>42937</v>
      </c>
      <c r="B627">
        <v>737.3</v>
      </c>
      <c r="C627">
        <v>733.3</v>
      </c>
      <c r="D627">
        <v>2565</v>
      </c>
      <c r="E627">
        <v>2579</v>
      </c>
      <c r="F627">
        <v>0.28433501357115099</v>
      </c>
      <c r="G627">
        <v>0.28348958997877099</v>
      </c>
      <c r="H627">
        <v>9.0503965824024792E-3</v>
      </c>
      <c r="I627">
        <v>9.3412878063750204E-2</v>
      </c>
      <c r="J627">
        <v>0.3</v>
      </c>
      <c r="L627">
        <v>0.29253998656117347</v>
      </c>
      <c r="M627">
        <v>0.27443919339636852</v>
      </c>
      <c r="N627">
        <v>0.30159038314357595</v>
      </c>
      <c r="O627">
        <v>0.26538879681396604</v>
      </c>
    </row>
    <row r="628" spans="1:15">
      <c r="A628" s="19">
        <v>42936</v>
      </c>
      <c r="B628">
        <v>731</v>
      </c>
      <c r="C628">
        <v>737.6</v>
      </c>
      <c r="D628">
        <v>2570</v>
      </c>
      <c r="E628">
        <v>2578</v>
      </c>
      <c r="F628">
        <v>0.28611326609775001</v>
      </c>
      <c r="G628">
        <v>0.28349856813394703</v>
      </c>
      <c r="H628">
        <v>9.0515647224761308E-3</v>
      </c>
      <c r="I628">
        <v>0.28886695769961201</v>
      </c>
      <c r="J628">
        <v>0.91</v>
      </c>
      <c r="L628">
        <v>0.29255013285642317</v>
      </c>
      <c r="M628">
        <v>0.27444700341147088</v>
      </c>
      <c r="N628">
        <v>0.30160169757889926</v>
      </c>
      <c r="O628">
        <v>0.26539543868899479</v>
      </c>
    </row>
    <row r="629" spans="1:15">
      <c r="A629" s="19">
        <v>42935</v>
      </c>
      <c r="B629">
        <v>730.3</v>
      </c>
      <c r="C629">
        <v>731</v>
      </c>
      <c r="D629">
        <v>2536</v>
      </c>
      <c r="E629">
        <v>2563</v>
      </c>
      <c r="F629">
        <v>0.28521264143581698</v>
      </c>
      <c r="G629">
        <v>0.28353214563860801</v>
      </c>
      <c r="H629">
        <v>9.0658615257425395E-3</v>
      </c>
      <c r="I629">
        <v>0.18536526202575401</v>
      </c>
      <c r="J629">
        <v>0.59</v>
      </c>
      <c r="L629">
        <v>0.29259800716435053</v>
      </c>
      <c r="M629">
        <v>0.2744662841128655</v>
      </c>
      <c r="N629">
        <v>0.3016638686900931</v>
      </c>
      <c r="O629">
        <v>0.26540042258712293</v>
      </c>
    </row>
    <row r="630" spans="1:15">
      <c r="A630" s="19">
        <v>42934</v>
      </c>
      <c r="B630">
        <v>736.3</v>
      </c>
      <c r="C630">
        <v>735.7</v>
      </c>
      <c r="D630">
        <v>2535</v>
      </c>
      <c r="E630">
        <v>2536</v>
      </c>
      <c r="F630">
        <v>0.290102523659306</v>
      </c>
      <c r="G630">
        <v>0.28365415384326398</v>
      </c>
      <c r="H630">
        <v>9.1488511793816896E-3</v>
      </c>
      <c r="I630">
        <v>0.70482836474310495</v>
      </c>
      <c r="J630">
        <v>2.2200000000000002</v>
      </c>
      <c r="L630">
        <v>0.29280300502264567</v>
      </c>
      <c r="M630">
        <v>0.27450530266388229</v>
      </c>
      <c r="N630">
        <v>0.30195185620202736</v>
      </c>
      <c r="O630">
        <v>0.2653564514845006</v>
      </c>
    </row>
    <row r="631" spans="1:15">
      <c r="A631" s="19">
        <v>42930</v>
      </c>
      <c r="B631">
        <v>734.3</v>
      </c>
      <c r="C631">
        <v>738.6</v>
      </c>
      <c r="D631">
        <v>2545</v>
      </c>
      <c r="E631">
        <v>2543</v>
      </c>
      <c r="F631">
        <v>0.29044435705859201</v>
      </c>
      <c r="G631">
        <v>0.28362578961596102</v>
      </c>
      <c r="H631">
        <v>9.1320976244769307E-3</v>
      </c>
      <c r="I631">
        <v>0.74665949960446099</v>
      </c>
      <c r="J631">
        <v>2.35</v>
      </c>
      <c r="L631">
        <v>0.29275788724043794</v>
      </c>
      <c r="M631">
        <v>0.2744936919914841</v>
      </c>
      <c r="N631">
        <v>0.30188998486491486</v>
      </c>
      <c r="O631">
        <v>0.26536159436700718</v>
      </c>
    </row>
    <row r="632" spans="1:15">
      <c r="A632" s="19">
        <v>42929</v>
      </c>
      <c r="B632">
        <v>740</v>
      </c>
      <c r="C632">
        <v>733.9</v>
      </c>
      <c r="D632">
        <v>2541</v>
      </c>
      <c r="E632">
        <v>2533</v>
      </c>
      <c r="F632">
        <v>0.28973549151204098</v>
      </c>
      <c r="G632">
        <v>0.28359665741128198</v>
      </c>
      <c r="H632">
        <v>9.1137659578316398E-3</v>
      </c>
      <c r="I632">
        <v>0.67357820347393604</v>
      </c>
      <c r="J632">
        <v>2.12</v>
      </c>
      <c r="L632">
        <v>0.29271042336911363</v>
      </c>
      <c r="M632">
        <v>0.27448289145345034</v>
      </c>
      <c r="N632">
        <v>0.30182418932694527</v>
      </c>
      <c r="O632">
        <v>0.2653691254956187</v>
      </c>
    </row>
    <row r="633" spans="1:15">
      <c r="A633" s="19">
        <v>42928</v>
      </c>
      <c r="B633">
        <v>741</v>
      </c>
      <c r="C633">
        <v>740.2</v>
      </c>
      <c r="D633">
        <v>2546</v>
      </c>
      <c r="E633">
        <v>2525</v>
      </c>
      <c r="F633">
        <v>0.29314851485148502</v>
      </c>
      <c r="G633">
        <v>0.28357809149059499</v>
      </c>
      <c r="H633">
        <v>9.1026529667170408E-3</v>
      </c>
      <c r="I633">
        <v>1.05138835852399</v>
      </c>
      <c r="J633">
        <v>3.26</v>
      </c>
      <c r="L633">
        <v>0.29268074445731201</v>
      </c>
      <c r="M633">
        <v>0.27447543852387796</v>
      </c>
      <c r="N633">
        <v>0.30178339742402904</v>
      </c>
      <c r="O633">
        <v>0.26537278555716093</v>
      </c>
    </row>
    <row r="634" spans="1:15">
      <c r="A634" s="19">
        <v>42927</v>
      </c>
      <c r="B634">
        <v>740</v>
      </c>
      <c r="C634">
        <v>741.4</v>
      </c>
      <c r="D634">
        <v>2537</v>
      </c>
      <c r="E634">
        <v>2555</v>
      </c>
      <c r="F634">
        <v>0.290176125244618</v>
      </c>
      <c r="G634">
        <v>0.28349736625900801</v>
      </c>
      <c r="H634">
        <v>9.0440791356110797E-3</v>
      </c>
      <c r="I634">
        <v>0.73846755269000197</v>
      </c>
      <c r="J634">
        <v>2.2999999999999998</v>
      </c>
      <c r="L634">
        <v>0.29254144539461907</v>
      </c>
      <c r="M634">
        <v>0.27445328712339695</v>
      </c>
      <c r="N634">
        <v>0.30158552453023019</v>
      </c>
      <c r="O634">
        <v>0.26540920798778583</v>
      </c>
    </row>
    <row r="635" spans="1:15">
      <c r="A635" s="19">
        <v>42926</v>
      </c>
      <c r="B635">
        <v>741.2</v>
      </c>
      <c r="C635">
        <v>739.7</v>
      </c>
      <c r="D635">
        <v>2551</v>
      </c>
      <c r="E635">
        <v>2540</v>
      </c>
      <c r="F635">
        <v>0.29122047244094401</v>
      </c>
      <c r="G635">
        <v>0.283478070164289</v>
      </c>
      <c r="H635">
        <v>9.0313438969676502E-3</v>
      </c>
      <c r="I635">
        <v>0.85728130441966499</v>
      </c>
      <c r="J635">
        <v>2.66</v>
      </c>
      <c r="L635">
        <v>0.29250941406125663</v>
      </c>
      <c r="M635">
        <v>0.27444672626732136</v>
      </c>
      <c r="N635">
        <v>0.30154075795822433</v>
      </c>
      <c r="O635">
        <v>0.26541538237035367</v>
      </c>
    </row>
    <row r="636" spans="1:15">
      <c r="A636" s="19">
        <v>42923</v>
      </c>
      <c r="B636">
        <v>734</v>
      </c>
      <c r="C636">
        <v>739.5</v>
      </c>
      <c r="D636">
        <v>2556</v>
      </c>
      <c r="E636">
        <v>2538</v>
      </c>
      <c r="F636">
        <v>0.29137115839243499</v>
      </c>
      <c r="G636">
        <v>0.28343235571268</v>
      </c>
      <c r="H636">
        <v>9.0006632676277697E-3</v>
      </c>
      <c r="I636">
        <v>0.88202418462952203</v>
      </c>
      <c r="J636">
        <v>2.72</v>
      </c>
      <c r="L636">
        <v>0.29243301898030777</v>
      </c>
      <c r="M636">
        <v>0.27443169244505222</v>
      </c>
      <c r="N636">
        <v>0.30143368224793554</v>
      </c>
      <c r="O636">
        <v>0.26543102917742445</v>
      </c>
    </row>
    <row r="637" spans="1:15">
      <c r="A637" s="19">
        <v>42922</v>
      </c>
      <c r="B637">
        <v>742</v>
      </c>
      <c r="C637">
        <v>739.9</v>
      </c>
      <c r="D637">
        <v>2552</v>
      </c>
      <c r="E637">
        <v>2562</v>
      </c>
      <c r="F637">
        <v>0.28879781420764999</v>
      </c>
      <c r="G637">
        <v>0.283374901626259</v>
      </c>
      <c r="H637">
        <v>8.9634802324864704E-3</v>
      </c>
      <c r="I637">
        <v>0.60500078549140401</v>
      </c>
      <c r="J637">
        <v>1.88</v>
      </c>
      <c r="L637">
        <v>0.2923383818587455</v>
      </c>
      <c r="M637">
        <v>0.2744114213937725</v>
      </c>
      <c r="N637">
        <v>0.30130186209123194</v>
      </c>
      <c r="O637">
        <v>0.26544794116128606</v>
      </c>
    </row>
    <row r="638" spans="1:15">
      <c r="A638" s="19">
        <v>42921</v>
      </c>
      <c r="B638">
        <v>736.7</v>
      </c>
      <c r="C638">
        <v>744.9</v>
      </c>
      <c r="D638">
        <v>2548</v>
      </c>
      <c r="E638">
        <v>2552</v>
      </c>
      <c r="F638">
        <v>0.291888714733542</v>
      </c>
      <c r="G638">
        <v>0.28336796426298</v>
      </c>
      <c r="H638">
        <v>8.9594808916390999E-3</v>
      </c>
      <c r="I638">
        <v>0.951031714182629</v>
      </c>
      <c r="J638">
        <v>2.92</v>
      </c>
      <c r="L638">
        <v>0.29232744515461911</v>
      </c>
      <c r="M638">
        <v>0.27440848337134088</v>
      </c>
      <c r="N638">
        <v>0.30128692604625817</v>
      </c>
      <c r="O638">
        <v>0.26544900247970182</v>
      </c>
    </row>
    <row r="639" spans="1:15">
      <c r="A639" s="19">
        <v>42920</v>
      </c>
      <c r="B639">
        <v>732.5</v>
      </c>
      <c r="C639">
        <v>737</v>
      </c>
      <c r="D639">
        <v>2587</v>
      </c>
      <c r="E639">
        <v>2556</v>
      </c>
      <c r="F639">
        <v>0.28834115805946697</v>
      </c>
      <c r="G639">
        <v>0.28330105192743399</v>
      </c>
      <c r="H639">
        <v>8.9142205776185698E-3</v>
      </c>
      <c r="I639">
        <v>0.56540065260305805</v>
      </c>
      <c r="J639">
        <v>1.75</v>
      </c>
      <c r="L639">
        <v>0.29221527250505258</v>
      </c>
      <c r="M639">
        <v>0.2743868313498154</v>
      </c>
      <c r="N639">
        <v>0.30112949308267112</v>
      </c>
      <c r="O639">
        <v>0.26547261077219686</v>
      </c>
    </row>
    <row r="640" spans="1:15">
      <c r="A640" s="19">
        <v>42919</v>
      </c>
      <c r="B640">
        <v>724.9</v>
      </c>
      <c r="C640">
        <v>726.8</v>
      </c>
      <c r="D640">
        <v>2583</v>
      </c>
      <c r="E640">
        <v>2565</v>
      </c>
      <c r="F640">
        <v>0.28335282651072102</v>
      </c>
      <c r="G640">
        <v>0.28331166822253101</v>
      </c>
      <c r="H640">
        <v>8.9206884957307893E-3</v>
      </c>
      <c r="I640">
        <v>4.6138017496991698E-3</v>
      </c>
      <c r="J640">
        <v>0.01</v>
      </c>
      <c r="L640">
        <v>0.29223235671826181</v>
      </c>
      <c r="M640">
        <v>0.27439097972680021</v>
      </c>
      <c r="N640">
        <v>0.30115304521399261</v>
      </c>
      <c r="O640">
        <v>0.26547029123106941</v>
      </c>
    </row>
    <row r="641" spans="1:15">
      <c r="A641" s="19">
        <v>42916</v>
      </c>
      <c r="B641">
        <v>719</v>
      </c>
      <c r="C641">
        <v>725.8</v>
      </c>
      <c r="D641">
        <v>2573</v>
      </c>
      <c r="E641">
        <v>2596</v>
      </c>
      <c r="F641">
        <v>0.279583975346687</v>
      </c>
      <c r="G641">
        <v>0.28339646945119201</v>
      </c>
      <c r="H641">
        <v>8.9508556107769505E-3</v>
      </c>
      <c r="I641">
        <v>-0.425936275847696</v>
      </c>
      <c r="J641">
        <v>-1.36</v>
      </c>
      <c r="L641">
        <v>0.29234732506196898</v>
      </c>
      <c r="M641">
        <v>0.27444561384041505</v>
      </c>
      <c r="N641">
        <v>0.30129818067274594</v>
      </c>
      <c r="O641">
        <v>0.26549475822963808</v>
      </c>
    </row>
    <row r="642" spans="1:15">
      <c r="A642" s="19">
        <v>42915</v>
      </c>
      <c r="B642">
        <v>718</v>
      </c>
      <c r="C642">
        <v>721</v>
      </c>
      <c r="D642">
        <v>2595</v>
      </c>
      <c r="E642">
        <v>2600</v>
      </c>
      <c r="F642">
        <v>0.27730769230769198</v>
      </c>
      <c r="G642">
        <v>0.28350399586066199</v>
      </c>
      <c r="H642">
        <v>8.9528493390036903E-3</v>
      </c>
      <c r="I642">
        <v>-0.69210407975659904</v>
      </c>
      <c r="J642">
        <v>-2.23</v>
      </c>
      <c r="L642">
        <v>0.29245684519966569</v>
      </c>
      <c r="M642">
        <v>0.2745511465216583</v>
      </c>
      <c r="N642">
        <v>0.30140969453866939</v>
      </c>
      <c r="O642">
        <v>0.2655982971826546</v>
      </c>
    </row>
    <row r="643" spans="1:15">
      <c r="A643" s="19">
        <v>42914</v>
      </c>
      <c r="B643">
        <v>702.2</v>
      </c>
      <c r="C643">
        <v>714.5</v>
      </c>
      <c r="D643">
        <v>2586</v>
      </c>
      <c r="E643">
        <v>2574</v>
      </c>
      <c r="F643">
        <v>0.277583527583527</v>
      </c>
      <c r="G643">
        <v>0.28364929229046998</v>
      </c>
      <c r="H643">
        <v>8.9395261398185002E-3</v>
      </c>
      <c r="I643">
        <v>-0.67853313610495902</v>
      </c>
      <c r="J643">
        <v>-2.19</v>
      </c>
      <c r="L643">
        <v>0.2925888184302885</v>
      </c>
      <c r="M643">
        <v>0.27470976615065146</v>
      </c>
      <c r="N643">
        <v>0.30152834457010697</v>
      </c>
      <c r="O643">
        <v>0.26577024001083299</v>
      </c>
    </row>
    <row r="644" spans="1:15">
      <c r="A644" s="19">
        <v>42913</v>
      </c>
      <c r="B644">
        <v>693</v>
      </c>
      <c r="C644">
        <v>701.4</v>
      </c>
      <c r="D644">
        <v>2595</v>
      </c>
      <c r="E644">
        <v>2589</v>
      </c>
      <c r="F644">
        <v>0.27091541135573499</v>
      </c>
      <c r="G644">
        <v>0.28386548292550901</v>
      </c>
      <c r="H644">
        <v>8.9861585489421393E-3</v>
      </c>
      <c r="I644">
        <v>-1.44111318526628</v>
      </c>
      <c r="J644">
        <v>-4.78</v>
      </c>
      <c r="L644">
        <v>0.29285164147445114</v>
      </c>
      <c r="M644">
        <v>0.27487932437656687</v>
      </c>
      <c r="N644">
        <v>0.30183780002339328</v>
      </c>
      <c r="O644">
        <v>0.26589316582762473</v>
      </c>
    </row>
    <row r="645" spans="1:15">
      <c r="A645" s="19">
        <v>42912</v>
      </c>
      <c r="B645">
        <v>694.5</v>
      </c>
      <c r="C645">
        <v>690.1</v>
      </c>
      <c r="D645">
        <v>2594</v>
      </c>
      <c r="E645">
        <v>2593</v>
      </c>
      <c r="F645">
        <v>0.26613960663324299</v>
      </c>
      <c r="G645">
        <v>0.28411525452576503</v>
      </c>
      <c r="H645">
        <v>8.8824815416461804E-3</v>
      </c>
      <c r="I645">
        <v>-2.0237191384233801</v>
      </c>
      <c r="J645">
        <v>-6.75</v>
      </c>
      <c r="L645">
        <v>0.2929977360674112</v>
      </c>
      <c r="M645">
        <v>0.27523277298411886</v>
      </c>
      <c r="N645">
        <v>0.30188021760905737</v>
      </c>
      <c r="O645">
        <v>0.26635029144247269</v>
      </c>
    </row>
    <row r="646" spans="1:15">
      <c r="A646" s="19">
        <v>42909</v>
      </c>
      <c r="B646">
        <v>693.1</v>
      </c>
      <c r="C646">
        <v>692.6</v>
      </c>
      <c r="D646">
        <v>2606</v>
      </c>
      <c r="E646">
        <v>2599</v>
      </c>
      <c r="F646">
        <v>0.266487110427087</v>
      </c>
      <c r="G646">
        <v>0.28442852151277798</v>
      </c>
      <c r="H646">
        <v>8.6543748133045099E-3</v>
      </c>
      <c r="I646">
        <v>-2.0731030805494699</v>
      </c>
      <c r="J646">
        <v>-6.73</v>
      </c>
      <c r="L646">
        <v>0.29308289632608248</v>
      </c>
      <c r="M646">
        <v>0.27577414669947348</v>
      </c>
      <c r="N646">
        <v>0.30173727113938698</v>
      </c>
      <c r="O646">
        <v>0.26711977188616898</v>
      </c>
    </row>
    <row r="647" spans="1:15">
      <c r="A647" s="19">
        <v>42908</v>
      </c>
      <c r="B647">
        <v>695</v>
      </c>
      <c r="C647">
        <v>692</v>
      </c>
      <c r="D647">
        <v>2608</v>
      </c>
      <c r="E647">
        <v>2603</v>
      </c>
      <c r="F647">
        <v>0.265847099500576</v>
      </c>
      <c r="G647">
        <v>0.284806459488674</v>
      </c>
      <c r="H647">
        <v>8.4797799875042101E-3</v>
      </c>
      <c r="I647">
        <v>-2.2358315918617002</v>
      </c>
      <c r="J647">
        <v>-7.13</v>
      </c>
      <c r="L647">
        <v>0.29328623947617821</v>
      </c>
      <c r="M647">
        <v>0.27632667950116979</v>
      </c>
      <c r="N647">
        <v>0.30176601946368242</v>
      </c>
      <c r="O647">
        <v>0.26784689951366558</v>
      </c>
    </row>
    <row r="648" spans="1:15">
      <c r="A648" s="19">
        <v>42907</v>
      </c>
      <c r="B648">
        <v>693.1</v>
      </c>
      <c r="C648">
        <v>695.3</v>
      </c>
      <c r="D648">
        <v>2600</v>
      </c>
      <c r="E648">
        <v>2594</v>
      </c>
      <c r="F648">
        <v>0.26804163454124902</v>
      </c>
      <c r="G648">
        <v>0.28514265086218599</v>
      </c>
      <c r="H648">
        <v>8.2172103184735695E-3</v>
      </c>
      <c r="I648">
        <v>-2.0811218963803202</v>
      </c>
      <c r="J648">
        <v>-6.38</v>
      </c>
      <c r="L648">
        <v>0.29335986118065954</v>
      </c>
      <c r="M648">
        <v>0.27692544054371243</v>
      </c>
      <c r="N648">
        <v>0.30157707149913315</v>
      </c>
      <c r="O648">
        <v>0.26870823022523882</v>
      </c>
    </row>
    <row r="649" spans="1:15">
      <c r="A649" s="19">
        <v>42906</v>
      </c>
      <c r="B649">
        <v>700</v>
      </c>
      <c r="C649">
        <v>694</v>
      </c>
      <c r="D649">
        <v>2610</v>
      </c>
      <c r="E649">
        <v>2608</v>
      </c>
      <c r="F649">
        <v>0.26610429447852701</v>
      </c>
      <c r="G649">
        <v>0.28549554314178799</v>
      </c>
      <c r="H649">
        <v>8.04166346387368E-3</v>
      </c>
      <c r="I649">
        <v>-2.4113479444114301</v>
      </c>
      <c r="J649">
        <v>-7.29</v>
      </c>
      <c r="L649">
        <v>0.29353720660566168</v>
      </c>
      <c r="M649">
        <v>0.27745387967791429</v>
      </c>
      <c r="N649">
        <v>0.30157887006953532</v>
      </c>
      <c r="O649">
        <v>0.26941221621404066</v>
      </c>
    </row>
    <row r="650" spans="1:15">
      <c r="A650" s="19">
        <v>42905</v>
      </c>
      <c r="B650">
        <v>694.5</v>
      </c>
      <c r="C650">
        <v>690.5</v>
      </c>
      <c r="D650">
        <v>2578</v>
      </c>
      <c r="E650">
        <v>2600</v>
      </c>
      <c r="F650">
        <v>0.26557692307692299</v>
      </c>
      <c r="G650">
        <v>0.28587700130057597</v>
      </c>
      <c r="H650">
        <v>7.7873111812662103E-3</v>
      </c>
      <c r="I650">
        <v>-2.6068148236439899</v>
      </c>
      <c r="J650">
        <v>-7.64</v>
      </c>
      <c r="L650">
        <v>0.29366431248184216</v>
      </c>
      <c r="M650">
        <v>0.27808969011930978</v>
      </c>
      <c r="N650">
        <v>0.3014516236631084</v>
      </c>
      <c r="O650">
        <v>0.27030237893804354</v>
      </c>
    </row>
    <row r="651" spans="1:15">
      <c r="A651" s="19">
        <v>42902</v>
      </c>
      <c r="B651">
        <v>695.8</v>
      </c>
      <c r="C651">
        <v>695.9</v>
      </c>
      <c r="D651">
        <v>2553</v>
      </c>
      <c r="E651">
        <v>2571</v>
      </c>
      <c r="F651">
        <v>0.270672889926098</v>
      </c>
      <c r="G651">
        <v>0.28624035384918201</v>
      </c>
      <c r="H651">
        <v>7.4605563220013901E-3</v>
      </c>
      <c r="I651">
        <v>-2.08663580183359</v>
      </c>
      <c r="J651">
        <v>-5.75</v>
      </c>
      <c r="L651">
        <v>0.29370091017118338</v>
      </c>
      <c r="M651">
        <v>0.27877979752718063</v>
      </c>
      <c r="N651">
        <v>0.30116146649318476</v>
      </c>
      <c r="O651">
        <v>0.27131924120517925</v>
      </c>
    </row>
    <row r="652" spans="1:15">
      <c r="A652" s="19">
        <v>42901</v>
      </c>
      <c r="B652">
        <v>694</v>
      </c>
      <c r="C652">
        <v>690.5</v>
      </c>
      <c r="D652">
        <v>2515</v>
      </c>
      <c r="E652">
        <v>2525</v>
      </c>
      <c r="F652">
        <v>0.27346534653465299</v>
      </c>
      <c r="G652">
        <v>0.28654929746885299</v>
      </c>
      <c r="H652">
        <v>7.2872477093053802E-3</v>
      </c>
      <c r="I652">
        <v>-1.7954585127512801</v>
      </c>
      <c r="J652">
        <v>-4.78</v>
      </c>
      <c r="L652">
        <v>0.29383654517815838</v>
      </c>
      <c r="M652">
        <v>0.2792620497595476</v>
      </c>
      <c r="N652">
        <v>0.30112379288746377</v>
      </c>
      <c r="O652">
        <v>0.27197480205024221</v>
      </c>
    </row>
    <row r="653" spans="1:15">
      <c r="A653" s="19">
        <v>42900</v>
      </c>
      <c r="B653">
        <v>707.3</v>
      </c>
      <c r="C653">
        <v>703.2</v>
      </c>
      <c r="D653">
        <v>2524</v>
      </c>
      <c r="E653">
        <v>2516</v>
      </c>
      <c r="F653">
        <v>0.27949125596184399</v>
      </c>
      <c r="G653">
        <v>0.28683873243004798</v>
      </c>
      <c r="H653">
        <v>7.1923046150264101E-3</v>
      </c>
      <c r="I653">
        <v>-1.02157470539464</v>
      </c>
      <c r="J653">
        <v>-2.63</v>
      </c>
      <c r="L653">
        <v>0.29403103704507438</v>
      </c>
      <c r="M653">
        <v>0.27964642781502158</v>
      </c>
      <c r="N653">
        <v>0.30122334166010079</v>
      </c>
      <c r="O653">
        <v>0.27245412319999518</v>
      </c>
    </row>
    <row r="654" spans="1:15">
      <c r="A654" s="19">
        <v>42899</v>
      </c>
      <c r="B654">
        <v>698.6</v>
      </c>
      <c r="C654">
        <v>706</v>
      </c>
      <c r="D654">
        <v>2517</v>
      </c>
      <c r="E654">
        <v>2518</v>
      </c>
      <c r="F654">
        <v>0.28038125496425698</v>
      </c>
      <c r="G654">
        <v>0.28707787059610002</v>
      </c>
      <c r="H654">
        <v>7.2420276305840596E-3</v>
      </c>
      <c r="I654">
        <v>-0.92468794285768097</v>
      </c>
      <c r="J654">
        <v>-2.39</v>
      </c>
      <c r="L654">
        <v>0.29431989822668408</v>
      </c>
      <c r="M654">
        <v>0.27983584296551595</v>
      </c>
      <c r="N654">
        <v>0.30156192585726815</v>
      </c>
      <c r="O654">
        <v>0.27259381533493188</v>
      </c>
    </row>
    <row r="655" spans="1:15">
      <c r="A655" s="19">
        <v>42898</v>
      </c>
      <c r="B655">
        <v>688.8</v>
      </c>
      <c r="C655">
        <v>699.5</v>
      </c>
      <c r="D655">
        <v>2496</v>
      </c>
      <c r="E655">
        <v>2506</v>
      </c>
      <c r="F655">
        <v>0.27913008778930498</v>
      </c>
      <c r="G655">
        <v>0.28730772063748</v>
      </c>
      <c r="H655">
        <v>7.29917985219112E-3</v>
      </c>
      <c r="I655">
        <v>-1.1203495480002901</v>
      </c>
      <c r="J655">
        <v>-2.93</v>
      </c>
      <c r="L655">
        <v>0.29460690048967114</v>
      </c>
      <c r="M655">
        <v>0.28000854078528886</v>
      </c>
      <c r="N655">
        <v>0.30190608034186223</v>
      </c>
      <c r="O655">
        <v>0.27270936093309778</v>
      </c>
    </row>
    <row r="656" spans="1:15">
      <c r="A656" s="19">
        <v>42895</v>
      </c>
      <c r="B656">
        <v>673</v>
      </c>
      <c r="C656">
        <v>686.3</v>
      </c>
      <c r="D656">
        <v>2513</v>
      </c>
      <c r="E656">
        <v>2505</v>
      </c>
      <c r="F656">
        <v>0.27397205588822299</v>
      </c>
      <c r="G656">
        <v>0.28761774520275402</v>
      </c>
      <c r="H656">
        <v>7.4377429020226196E-3</v>
      </c>
      <c r="I656">
        <v>-1.83465461152465</v>
      </c>
      <c r="J656">
        <v>-4.9800000000000004</v>
      </c>
      <c r="L656">
        <v>0.29505548810477661</v>
      </c>
      <c r="M656">
        <v>0.28018000230073142</v>
      </c>
      <c r="N656">
        <v>0.30249323100679926</v>
      </c>
      <c r="O656">
        <v>0.27274225939870878</v>
      </c>
    </row>
    <row r="657" spans="1:15">
      <c r="A657" s="19">
        <v>42894</v>
      </c>
      <c r="B657">
        <v>684.6</v>
      </c>
      <c r="C657">
        <v>673.8</v>
      </c>
      <c r="D657">
        <v>2564</v>
      </c>
      <c r="E657">
        <v>2518</v>
      </c>
      <c r="F657">
        <v>0.26759332803812502</v>
      </c>
      <c r="G657">
        <v>0.28800572498316501</v>
      </c>
      <c r="H657">
        <v>7.4746646299055901E-3</v>
      </c>
      <c r="I657">
        <v>-2.7308779665339902</v>
      </c>
      <c r="J657">
        <v>-7.63</v>
      </c>
      <c r="L657">
        <v>0.2954803896130706</v>
      </c>
      <c r="M657">
        <v>0.28053106035325942</v>
      </c>
      <c r="N657">
        <v>0.3029550542429762</v>
      </c>
      <c r="O657">
        <v>0.27305639572335383</v>
      </c>
    </row>
    <row r="658" spans="1:15">
      <c r="A658" s="19">
        <v>42893</v>
      </c>
      <c r="B658">
        <v>675.7</v>
      </c>
      <c r="C658">
        <v>677.9</v>
      </c>
      <c r="D658">
        <v>2546</v>
      </c>
      <c r="E658">
        <v>2551</v>
      </c>
      <c r="F658">
        <v>0.26573892591140702</v>
      </c>
      <c r="G658">
        <v>0.28854029142013399</v>
      </c>
      <c r="H658">
        <v>7.4292247986751199E-3</v>
      </c>
      <c r="I658">
        <v>-3.06914464518474</v>
      </c>
      <c r="J658">
        <v>-8.58</v>
      </c>
      <c r="L658">
        <v>0.29596951621880913</v>
      </c>
      <c r="M658">
        <v>0.28111106662145885</v>
      </c>
      <c r="N658">
        <v>0.30339874101748421</v>
      </c>
      <c r="O658">
        <v>0.27368184182278377</v>
      </c>
    </row>
    <row r="659" spans="1:15">
      <c r="A659" s="19">
        <v>42892</v>
      </c>
      <c r="B659">
        <v>681.8</v>
      </c>
      <c r="C659">
        <v>675.2</v>
      </c>
      <c r="D659">
        <v>2568</v>
      </c>
      <c r="E659">
        <v>2546</v>
      </c>
      <c r="F659">
        <v>0.26520031421838097</v>
      </c>
      <c r="G659">
        <v>0.28905186964184598</v>
      </c>
      <c r="H659">
        <v>7.1575642199671304E-3</v>
      </c>
      <c r="I659">
        <v>-3.33235646799052</v>
      </c>
      <c r="J659">
        <v>-8.99</v>
      </c>
      <c r="L659">
        <v>0.29620943386181309</v>
      </c>
      <c r="M659">
        <v>0.28189430542187888</v>
      </c>
      <c r="N659">
        <v>0.30336699808178025</v>
      </c>
      <c r="O659">
        <v>0.27473674120191172</v>
      </c>
    </row>
    <row r="660" spans="1:15">
      <c r="A660" s="19">
        <v>42891</v>
      </c>
      <c r="B660">
        <v>698</v>
      </c>
      <c r="C660">
        <v>684.5</v>
      </c>
      <c r="D660">
        <v>2518</v>
      </c>
      <c r="E660">
        <v>2569</v>
      </c>
      <c r="F660">
        <v>0.266446087971973</v>
      </c>
      <c r="G660">
        <v>0.28962111379896799</v>
      </c>
      <c r="H660">
        <v>6.9321632848407498E-3</v>
      </c>
      <c r="I660">
        <v>-3.34311597617361</v>
      </c>
      <c r="J660">
        <v>-8.6999999999999993</v>
      </c>
      <c r="L660">
        <v>0.29655327708380874</v>
      </c>
      <c r="M660">
        <v>0.28268895051412724</v>
      </c>
      <c r="N660">
        <v>0.3034854403686495</v>
      </c>
      <c r="O660">
        <v>0.27575678722928648</v>
      </c>
    </row>
    <row r="661" spans="1:15">
      <c r="A661" s="19">
        <v>42888</v>
      </c>
      <c r="B661">
        <v>692</v>
      </c>
      <c r="C661">
        <v>700.8</v>
      </c>
      <c r="D661">
        <v>2505</v>
      </c>
      <c r="E661">
        <v>2558</v>
      </c>
      <c r="F661">
        <v>0.273964034401876</v>
      </c>
      <c r="G661">
        <v>0.29014853334972102</v>
      </c>
      <c r="H661">
        <v>6.6478302244548501E-3</v>
      </c>
      <c r="I661">
        <v>-2.4345535913820799</v>
      </c>
      <c r="J661">
        <v>-5.91</v>
      </c>
      <c r="L661">
        <v>0.29679636357417588</v>
      </c>
      <c r="M661">
        <v>0.28350070312526615</v>
      </c>
      <c r="N661">
        <v>0.30344419379863069</v>
      </c>
      <c r="O661">
        <v>0.27685287290081134</v>
      </c>
    </row>
    <row r="662" spans="1:15">
      <c r="A662" s="19">
        <v>42887</v>
      </c>
      <c r="B662">
        <v>684</v>
      </c>
      <c r="C662">
        <v>686.5</v>
      </c>
      <c r="D662">
        <v>2441</v>
      </c>
      <c r="E662">
        <v>2494</v>
      </c>
      <c r="F662">
        <v>0.27526062550120201</v>
      </c>
      <c r="G662">
        <v>0.29060679066880701</v>
      </c>
      <c r="H662">
        <v>6.7007685762675998E-3</v>
      </c>
      <c r="I662">
        <v>-2.2902096965349199</v>
      </c>
      <c r="J662">
        <v>-5.58</v>
      </c>
      <c r="L662">
        <v>0.29730755924507463</v>
      </c>
      <c r="M662">
        <v>0.2839060220925394</v>
      </c>
      <c r="N662">
        <v>0.30400832782134224</v>
      </c>
      <c r="O662">
        <v>0.27720525351627179</v>
      </c>
    </row>
    <row r="663" spans="1:15">
      <c r="A663" s="19">
        <v>42886</v>
      </c>
      <c r="B663">
        <v>682.1</v>
      </c>
      <c r="C663">
        <v>684</v>
      </c>
      <c r="D663">
        <v>2437</v>
      </c>
      <c r="E663">
        <v>2439</v>
      </c>
      <c r="F663">
        <v>0.28044280442804398</v>
      </c>
      <c r="G663">
        <v>0.29102180401760402</v>
      </c>
      <c r="H663">
        <v>6.7013463284763602E-3</v>
      </c>
      <c r="I663">
        <v>-1.57863794393165</v>
      </c>
      <c r="J663">
        <v>-3.77</v>
      </c>
      <c r="L663">
        <v>0.29772315034608038</v>
      </c>
      <c r="M663">
        <v>0.28432045768912767</v>
      </c>
      <c r="N663">
        <v>0.30442449667455673</v>
      </c>
      <c r="O663">
        <v>0.27761911136065132</v>
      </c>
    </row>
    <row r="664" spans="1:15">
      <c r="A664" s="19">
        <v>42885</v>
      </c>
      <c r="B664">
        <v>681.3</v>
      </c>
      <c r="C664">
        <v>683.3</v>
      </c>
      <c r="D664">
        <v>2435</v>
      </c>
      <c r="E664">
        <v>2439</v>
      </c>
      <c r="F664">
        <v>0.28015580155801501</v>
      </c>
      <c r="G664">
        <v>0.29140712802873803</v>
      </c>
      <c r="H664">
        <v>6.9095931447603499E-3</v>
      </c>
      <c r="I664">
        <v>-1.62836309389004</v>
      </c>
      <c r="J664">
        <v>-4.0199999999999996</v>
      </c>
      <c r="L664">
        <v>0.29831672117349839</v>
      </c>
      <c r="M664">
        <v>0.28449753488397767</v>
      </c>
      <c r="N664">
        <v>0.30522631431825875</v>
      </c>
      <c r="O664">
        <v>0.2775879417392173</v>
      </c>
    </row>
    <row r="665" spans="1:15">
      <c r="A665" s="19">
        <v>42884</v>
      </c>
      <c r="B665">
        <v>685.1</v>
      </c>
      <c r="C665">
        <v>681.4</v>
      </c>
      <c r="D665">
        <v>2426</v>
      </c>
      <c r="E665">
        <v>2433</v>
      </c>
      <c r="F665">
        <v>0.28006576243321002</v>
      </c>
      <c r="G665">
        <v>0.29174872883555097</v>
      </c>
      <c r="H665">
        <v>6.9778718285599403E-3</v>
      </c>
      <c r="I665">
        <v>-1.67428790459063</v>
      </c>
      <c r="J665">
        <v>-4.17</v>
      </c>
      <c r="L665">
        <v>0.29872660066411094</v>
      </c>
      <c r="M665">
        <v>0.28477085700699101</v>
      </c>
      <c r="N665">
        <v>0.30570447249267085</v>
      </c>
      <c r="O665">
        <v>0.2777929851784311</v>
      </c>
    </row>
    <row r="666" spans="1:15">
      <c r="A666" s="19">
        <v>42881</v>
      </c>
      <c r="B666">
        <v>689.9</v>
      </c>
      <c r="C666">
        <v>685</v>
      </c>
      <c r="D666">
        <v>2430</v>
      </c>
      <c r="E666">
        <v>2423</v>
      </c>
      <c r="F666">
        <v>0.28270738753611202</v>
      </c>
      <c r="G666">
        <v>0.29208296974480802</v>
      </c>
      <c r="H666">
        <v>7.0105564365946999E-3</v>
      </c>
      <c r="I666">
        <v>-1.3373520766135101</v>
      </c>
      <c r="J666">
        <v>-3.32</v>
      </c>
      <c r="L666">
        <v>0.29909352618140272</v>
      </c>
      <c r="M666">
        <v>0.28507241330821331</v>
      </c>
      <c r="N666">
        <v>0.30610408261799743</v>
      </c>
      <c r="O666">
        <v>0.27806185687161861</v>
      </c>
    </row>
    <row r="667" spans="1:15">
      <c r="A667" s="19">
        <v>42880</v>
      </c>
      <c r="B667">
        <v>684.6</v>
      </c>
      <c r="C667">
        <v>690.3</v>
      </c>
      <c r="D667">
        <v>2405</v>
      </c>
      <c r="E667">
        <v>2440</v>
      </c>
      <c r="F667">
        <v>0.28290983606557302</v>
      </c>
      <c r="G667">
        <v>0.29235098123408798</v>
      </c>
      <c r="H667">
        <v>7.0312022990390698E-3</v>
      </c>
      <c r="I667">
        <v>-1.3427497555866099</v>
      </c>
      <c r="J667">
        <v>-3.34</v>
      </c>
      <c r="L667">
        <v>0.29938218353312707</v>
      </c>
      <c r="M667">
        <v>0.2853197789350489</v>
      </c>
      <c r="N667">
        <v>0.3064133858321661</v>
      </c>
      <c r="O667">
        <v>0.27828857663600987</v>
      </c>
    </row>
    <row r="668" spans="1:15">
      <c r="A668" s="19">
        <v>42879</v>
      </c>
      <c r="B668">
        <v>686</v>
      </c>
      <c r="C668">
        <v>688.4</v>
      </c>
      <c r="D668">
        <v>2419</v>
      </c>
      <c r="E668">
        <v>2416</v>
      </c>
      <c r="F668">
        <v>0.28493377483443699</v>
      </c>
      <c r="G668">
        <v>0.29243786835138702</v>
      </c>
      <c r="H668">
        <v>6.9538357371964898E-3</v>
      </c>
      <c r="I668">
        <v>-1.07913010898585</v>
      </c>
      <c r="J668">
        <v>-2.63</v>
      </c>
      <c r="L668">
        <v>0.29939170408858351</v>
      </c>
      <c r="M668">
        <v>0.28548403261419053</v>
      </c>
      <c r="N668">
        <v>0.30634553982578</v>
      </c>
      <c r="O668">
        <v>0.27853019687699404</v>
      </c>
    </row>
    <row r="669" spans="1:15">
      <c r="A669" s="19">
        <v>42878</v>
      </c>
      <c r="B669">
        <v>683.8</v>
      </c>
      <c r="C669">
        <v>680.2</v>
      </c>
      <c r="D669">
        <v>2395</v>
      </c>
      <c r="E669">
        <v>2397</v>
      </c>
      <c r="F669">
        <v>0.28377138089278198</v>
      </c>
      <c r="G669">
        <v>0.292587157150696</v>
      </c>
      <c r="H669">
        <v>6.9111884659695004E-3</v>
      </c>
      <c r="I669">
        <v>-1.2755803580415499</v>
      </c>
      <c r="J669">
        <v>-3.11</v>
      </c>
      <c r="L669">
        <v>0.2994983456166655</v>
      </c>
      <c r="M669">
        <v>0.2856759686847265</v>
      </c>
      <c r="N669">
        <v>0.30640953408263499</v>
      </c>
      <c r="O669">
        <v>0.278764780218757</v>
      </c>
    </row>
    <row r="670" spans="1:15">
      <c r="A670" s="19">
        <v>42877</v>
      </c>
      <c r="B670">
        <v>698</v>
      </c>
      <c r="C670">
        <v>685.8</v>
      </c>
      <c r="D670">
        <v>2403</v>
      </c>
      <c r="E670">
        <v>2410</v>
      </c>
      <c r="F670">
        <v>0.28456431535269699</v>
      </c>
      <c r="G670">
        <v>0.29271949071134801</v>
      </c>
      <c r="H670">
        <v>6.8357282393498899E-3</v>
      </c>
      <c r="I670">
        <v>-1.1930221730738599</v>
      </c>
      <c r="J670">
        <v>-2.87</v>
      </c>
      <c r="L670">
        <v>0.29955521895069792</v>
      </c>
      <c r="M670">
        <v>0.28588376247199809</v>
      </c>
      <c r="N670">
        <v>0.30639094719004778</v>
      </c>
      <c r="O670">
        <v>0.27904803423264823</v>
      </c>
    </row>
    <row r="671" spans="1:15">
      <c r="A671" s="19">
        <v>42874</v>
      </c>
      <c r="B671">
        <v>690</v>
      </c>
      <c r="C671">
        <v>688</v>
      </c>
      <c r="D671">
        <v>2410</v>
      </c>
      <c r="E671">
        <v>2395</v>
      </c>
      <c r="F671">
        <v>0.28726513569937301</v>
      </c>
      <c r="G671">
        <v>0.29283990274347999</v>
      </c>
      <c r="H671">
        <v>6.7702399027855104E-3</v>
      </c>
      <c r="I671">
        <v>-0.82342237855016898</v>
      </c>
      <c r="J671">
        <v>-1.94</v>
      </c>
      <c r="L671">
        <v>0.29961014264626551</v>
      </c>
      <c r="M671">
        <v>0.28606966284069446</v>
      </c>
      <c r="N671">
        <v>0.30638038254905098</v>
      </c>
      <c r="O671">
        <v>0.27929942293790899</v>
      </c>
    </row>
    <row r="672" spans="1:15">
      <c r="A672" s="19">
        <v>42873</v>
      </c>
      <c r="B672">
        <v>695.6</v>
      </c>
      <c r="C672">
        <v>691.4</v>
      </c>
      <c r="D672">
        <v>2408</v>
      </c>
      <c r="E672">
        <v>2405</v>
      </c>
      <c r="F672">
        <v>0.28748440748440701</v>
      </c>
      <c r="G672">
        <v>0.29292771054682099</v>
      </c>
      <c r="H672">
        <v>6.7400065140137697E-3</v>
      </c>
      <c r="I672">
        <v>-0.80761094979605297</v>
      </c>
      <c r="J672">
        <v>-1.89</v>
      </c>
      <c r="L672">
        <v>0.29966771706083478</v>
      </c>
      <c r="M672">
        <v>0.28618770403280719</v>
      </c>
      <c r="N672">
        <v>0.30640772357484852</v>
      </c>
      <c r="O672">
        <v>0.27944769751879345</v>
      </c>
    </row>
    <row r="673" spans="1:15">
      <c r="A673" s="19">
        <v>42872</v>
      </c>
      <c r="B673">
        <v>710</v>
      </c>
      <c r="C673">
        <v>708.9</v>
      </c>
      <c r="D673">
        <v>2414</v>
      </c>
      <c r="E673">
        <v>2433</v>
      </c>
      <c r="F673">
        <v>0.29136868064118299</v>
      </c>
      <c r="G673">
        <v>0.29303410751019199</v>
      </c>
      <c r="H673">
        <v>6.7161811469111498E-3</v>
      </c>
      <c r="I673">
        <v>-0.24797229743784099</v>
      </c>
      <c r="J673">
        <v>-0.56999999999999995</v>
      </c>
      <c r="L673">
        <v>0.29975028865710313</v>
      </c>
      <c r="M673">
        <v>0.28631792636328085</v>
      </c>
      <c r="N673">
        <v>0.30646646980401426</v>
      </c>
      <c r="O673">
        <v>0.27960174521636971</v>
      </c>
    </row>
    <row r="674" spans="1:15">
      <c r="A674" s="19">
        <v>42871</v>
      </c>
      <c r="B674">
        <v>716.4</v>
      </c>
      <c r="C674">
        <v>716.5</v>
      </c>
      <c r="D674">
        <v>2434</v>
      </c>
      <c r="E674">
        <v>2438</v>
      </c>
      <c r="F674">
        <v>0.29388843314191898</v>
      </c>
      <c r="G674">
        <v>0.29310169388875001</v>
      </c>
      <c r="H674">
        <v>6.7245813870007703E-3</v>
      </c>
      <c r="I674">
        <v>0.11699453213397901</v>
      </c>
      <c r="J674">
        <v>0.27</v>
      </c>
      <c r="L674">
        <v>0.29982627527575079</v>
      </c>
      <c r="M674">
        <v>0.28637711250174924</v>
      </c>
      <c r="N674">
        <v>0.30655085666275156</v>
      </c>
      <c r="O674">
        <v>0.27965253111474847</v>
      </c>
    </row>
    <row r="675" spans="1:15">
      <c r="A675" s="19">
        <v>42870</v>
      </c>
      <c r="B675">
        <v>712.6</v>
      </c>
      <c r="C675">
        <v>709.8</v>
      </c>
      <c r="D675">
        <v>2361</v>
      </c>
      <c r="E675">
        <v>2427</v>
      </c>
      <c r="F675">
        <v>0.29245982694684702</v>
      </c>
      <c r="G675">
        <v>0.29310689337398599</v>
      </c>
      <c r="H675">
        <v>6.7253384057990896E-3</v>
      </c>
      <c r="I675">
        <v>-9.6213214576717401E-2</v>
      </c>
      <c r="J675">
        <v>-0.22</v>
      </c>
      <c r="L675">
        <v>0.29983223177978507</v>
      </c>
      <c r="M675">
        <v>0.2863815549681869</v>
      </c>
      <c r="N675">
        <v>0.30655757018558416</v>
      </c>
      <c r="O675">
        <v>0.27965621656238782</v>
      </c>
    </row>
    <row r="676" spans="1:15">
      <c r="A676" s="19">
        <v>42867</v>
      </c>
      <c r="B676">
        <v>719</v>
      </c>
      <c r="C676">
        <v>717.2</v>
      </c>
      <c r="D676">
        <v>2414</v>
      </c>
      <c r="E676">
        <v>2388</v>
      </c>
      <c r="F676">
        <v>0.30033500837520899</v>
      </c>
      <c r="G676">
        <v>0.29315220899743799</v>
      </c>
      <c r="H676">
        <v>6.7322723993709496E-3</v>
      </c>
      <c r="I676">
        <v>1.0669204915775501</v>
      </c>
      <c r="J676">
        <v>2.39</v>
      </c>
      <c r="L676">
        <v>0.29988448139680896</v>
      </c>
      <c r="M676">
        <v>0.28641993659806703</v>
      </c>
      <c r="N676">
        <v>0.30661675379617986</v>
      </c>
      <c r="O676">
        <v>0.27968766419869612</v>
      </c>
    </row>
    <row r="677" spans="1:15">
      <c r="A677" s="19">
        <v>42866</v>
      </c>
      <c r="B677">
        <v>722.5</v>
      </c>
      <c r="C677">
        <v>721.7</v>
      </c>
      <c r="D677">
        <v>2446</v>
      </c>
      <c r="E677">
        <v>2439</v>
      </c>
      <c r="F677">
        <v>0.29589995899958998</v>
      </c>
      <c r="G677">
        <v>0.293070289551288</v>
      </c>
      <c r="H677">
        <v>6.6815618416894802E-3</v>
      </c>
      <c r="I677">
        <v>0.42350419188610799</v>
      </c>
      <c r="J677">
        <v>0.96</v>
      </c>
      <c r="L677">
        <v>0.2997518513929775</v>
      </c>
      <c r="M677">
        <v>0.2863887277095985</v>
      </c>
      <c r="N677">
        <v>0.30643341323466694</v>
      </c>
      <c r="O677">
        <v>0.27970716586790906</v>
      </c>
    </row>
    <row r="678" spans="1:15">
      <c r="A678" s="19">
        <v>42865</v>
      </c>
      <c r="B678">
        <v>705</v>
      </c>
      <c r="C678">
        <v>723.7</v>
      </c>
      <c r="D678">
        <v>2444</v>
      </c>
      <c r="E678">
        <v>2446</v>
      </c>
      <c r="F678">
        <v>0.29587080948487299</v>
      </c>
      <c r="G678">
        <v>0.29302291594829999</v>
      </c>
      <c r="H678">
        <v>6.6739224209982403E-3</v>
      </c>
      <c r="I678">
        <v>0.42671960459299801</v>
      </c>
      <c r="J678">
        <v>0.96</v>
      </c>
      <c r="L678">
        <v>0.29969683836929822</v>
      </c>
      <c r="M678">
        <v>0.28634899352730175</v>
      </c>
      <c r="N678">
        <v>0.30637076079029646</v>
      </c>
      <c r="O678">
        <v>0.27967507110630352</v>
      </c>
    </row>
    <row r="679" spans="1:15">
      <c r="A679" s="19">
        <v>42864</v>
      </c>
      <c r="B679">
        <v>703</v>
      </c>
      <c r="C679">
        <v>701</v>
      </c>
      <c r="D679">
        <v>2469</v>
      </c>
      <c r="E679">
        <v>2464</v>
      </c>
      <c r="F679">
        <v>0.284496753246753</v>
      </c>
      <c r="G679">
        <v>0.29294685219646299</v>
      </c>
      <c r="H679">
        <v>6.6735402095498102E-3</v>
      </c>
      <c r="I679">
        <v>-1.26620934082598</v>
      </c>
      <c r="J679">
        <v>-2.97</v>
      </c>
      <c r="L679">
        <v>0.29962039240601279</v>
      </c>
      <c r="M679">
        <v>0.28627331198691319</v>
      </c>
      <c r="N679">
        <v>0.30629393261556259</v>
      </c>
      <c r="O679">
        <v>0.27959977177736339</v>
      </c>
    </row>
    <row r="680" spans="1:15">
      <c r="A680" s="19">
        <v>42863</v>
      </c>
      <c r="B680">
        <v>702.4</v>
      </c>
      <c r="C680">
        <v>701.6</v>
      </c>
      <c r="D680">
        <v>2421</v>
      </c>
      <c r="E680">
        <v>2470</v>
      </c>
      <c r="F680">
        <v>0.28404858299595098</v>
      </c>
      <c r="G680">
        <v>0.292901444979773</v>
      </c>
      <c r="H680">
        <v>6.74211422410201E-3</v>
      </c>
      <c r="I680">
        <v>-1.31306911890842</v>
      </c>
      <c r="J680">
        <v>-3.12</v>
      </c>
      <c r="L680">
        <v>0.29964355920387503</v>
      </c>
      <c r="M680">
        <v>0.28615933075567096</v>
      </c>
      <c r="N680">
        <v>0.30638567342797701</v>
      </c>
      <c r="O680">
        <v>0.27941721653156898</v>
      </c>
    </row>
    <row r="681" spans="1:15">
      <c r="A681" s="19">
        <v>42857</v>
      </c>
      <c r="B681">
        <v>693.1</v>
      </c>
      <c r="C681">
        <v>693</v>
      </c>
      <c r="D681">
        <v>2385</v>
      </c>
      <c r="E681">
        <v>2398</v>
      </c>
      <c r="F681">
        <v>0.28899082568807299</v>
      </c>
      <c r="G681">
        <v>0.29284323636655402</v>
      </c>
      <c r="H681">
        <v>6.8364800742285996E-3</v>
      </c>
      <c r="I681">
        <v>-0.56350792171600805</v>
      </c>
      <c r="J681">
        <v>-1.33</v>
      </c>
      <c r="L681">
        <v>0.29967971644078262</v>
      </c>
      <c r="M681">
        <v>0.28600675629232541</v>
      </c>
      <c r="N681">
        <v>0.30651619651501122</v>
      </c>
      <c r="O681">
        <v>0.27917027621809681</v>
      </c>
    </row>
    <row r="682" spans="1:15">
      <c r="A682" s="19">
        <v>42856</v>
      </c>
      <c r="B682">
        <v>687.3</v>
      </c>
      <c r="C682">
        <v>692.3</v>
      </c>
      <c r="D682">
        <v>2335</v>
      </c>
      <c r="E682">
        <v>2377</v>
      </c>
      <c r="F682">
        <v>0.29124947412704999</v>
      </c>
      <c r="G682">
        <v>0.29268759166856401</v>
      </c>
      <c r="H682">
        <v>7.0519036101908102E-3</v>
      </c>
      <c r="I682">
        <v>-0.20393323859892701</v>
      </c>
      <c r="J682">
        <v>-0.49</v>
      </c>
      <c r="L682">
        <v>0.29973949527875482</v>
      </c>
      <c r="M682">
        <v>0.28563568805837319</v>
      </c>
      <c r="N682">
        <v>0.30679139888894563</v>
      </c>
      <c r="O682">
        <v>0.27858378444818238</v>
      </c>
    </row>
    <row r="683" spans="1:15">
      <c r="A683" s="19">
        <v>42853</v>
      </c>
      <c r="B683">
        <v>680.5</v>
      </c>
      <c r="C683">
        <v>686.4</v>
      </c>
      <c r="D683">
        <v>2328</v>
      </c>
      <c r="E683">
        <v>2331</v>
      </c>
      <c r="F683">
        <v>0.294465894465894</v>
      </c>
      <c r="G683">
        <v>0.29245437973255201</v>
      </c>
      <c r="H683">
        <v>7.3773175751666101E-3</v>
      </c>
      <c r="I683">
        <v>0.272662077082514</v>
      </c>
      <c r="J683">
        <v>0.68</v>
      </c>
      <c r="L683">
        <v>0.29983169730771864</v>
      </c>
      <c r="M683">
        <v>0.28507706215738537</v>
      </c>
      <c r="N683">
        <v>0.30720901488288521</v>
      </c>
      <c r="O683">
        <v>0.2776997445822188</v>
      </c>
    </row>
    <row r="684" spans="1:15">
      <c r="A684" s="19">
        <v>42852</v>
      </c>
      <c r="B684">
        <v>673</v>
      </c>
      <c r="C684">
        <v>676.8</v>
      </c>
      <c r="D684">
        <v>2336</v>
      </c>
      <c r="E684">
        <v>2328</v>
      </c>
      <c r="F684">
        <v>0.29072164948453599</v>
      </c>
      <c r="G684">
        <v>0.29217965832124498</v>
      </c>
      <c r="H684">
        <v>7.6749279772187103E-3</v>
      </c>
      <c r="I684">
        <v>-0.18997036076912899</v>
      </c>
      <c r="J684">
        <v>-0.5</v>
      </c>
      <c r="L684">
        <v>0.29985458629846368</v>
      </c>
      <c r="M684">
        <v>0.28450473034402629</v>
      </c>
      <c r="N684">
        <v>0.30752951427568243</v>
      </c>
      <c r="O684">
        <v>0.27682980236680754</v>
      </c>
    </row>
    <row r="685" spans="1:15">
      <c r="A685" s="19">
        <v>42851</v>
      </c>
      <c r="B685">
        <v>671</v>
      </c>
      <c r="C685">
        <v>673</v>
      </c>
      <c r="D685">
        <v>2342</v>
      </c>
      <c r="E685">
        <v>2339</v>
      </c>
      <c r="F685">
        <v>0.28772979905942703</v>
      </c>
      <c r="G685">
        <v>0.291939586965274</v>
      </c>
      <c r="H685">
        <v>7.9918400079866808E-3</v>
      </c>
      <c r="I685">
        <v>-0.52676078370442103</v>
      </c>
      <c r="J685">
        <v>-1.46</v>
      </c>
      <c r="L685">
        <v>0.2999314269732607</v>
      </c>
      <c r="M685">
        <v>0.28394774695728731</v>
      </c>
      <c r="N685">
        <v>0.30792326698124739</v>
      </c>
      <c r="O685">
        <v>0.27595590694930061</v>
      </c>
    </row>
    <row r="686" spans="1:15">
      <c r="A686" s="19">
        <v>42850</v>
      </c>
      <c r="B686">
        <v>655.8</v>
      </c>
      <c r="C686">
        <v>664.2</v>
      </c>
      <c r="D686">
        <v>2292</v>
      </c>
      <c r="E686">
        <v>2334</v>
      </c>
      <c r="F686">
        <v>0.28457583547557802</v>
      </c>
      <c r="G686">
        <v>0.291704914247015</v>
      </c>
      <c r="H686">
        <v>8.3618554473887403E-3</v>
      </c>
      <c r="I686">
        <v>-0.85257139594096099</v>
      </c>
      <c r="J686">
        <v>-2.5099999999999998</v>
      </c>
      <c r="L686">
        <v>0.30006676969440377</v>
      </c>
      <c r="M686">
        <v>0.28334305879962624</v>
      </c>
      <c r="N686">
        <v>0.30842862514179248</v>
      </c>
      <c r="O686">
        <v>0.27498120335223752</v>
      </c>
    </row>
    <row r="687" spans="1:15">
      <c r="A687" s="19">
        <v>42849</v>
      </c>
      <c r="B687">
        <v>660</v>
      </c>
      <c r="C687">
        <v>655.9</v>
      </c>
      <c r="D687">
        <v>2322</v>
      </c>
      <c r="E687">
        <v>2313</v>
      </c>
      <c r="F687">
        <v>0.28357111975789001</v>
      </c>
      <c r="G687">
        <v>0.29148635154380098</v>
      </c>
      <c r="H687">
        <v>8.75053612448542E-3</v>
      </c>
      <c r="I687">
        <v>-0.904542495832097</v>
      </c>
      <c r="J687">
        <v>-2.79</v>
      </c>
      <c r="L687">
        <v>0.30023688766828638</v>
      </c>
      <c r="M687">
        <v>0.28273581541931558</v>
      </c>
      <c r="N687">
        <v>0.30898742379277183</v>
      </c>
      <c r="O687">
        <v>0.27398527929483013</v>
      </c>
    </row>
    <row r="688" spans="1:15">
      <c r="A688" s="19">
        <v>42846</v>
      </c>
      <c r="B688">
        <v>656.8</v>
      </c>
      <c r="C688">
        <v>656.5</v>
      </c>
      <c r="D688">
        <v>2275</v>
      </c>
      <c r="E688">
        <v>2283</v>
      </c>
      <c r="F688">
        <v>0.28756022777047702</v>
      </c>
      <c r="G688">
        <v>0.29132589967748002</v>
      </c>
      <c r="H688">
        <v>9.0009457944584606E-3</v>
      </c>
      <c r="I688">
        <v>-0.41836402451409699</v>
      </c>
      <c r="J688">
        <v>-1.31</v>
      </c>
      <c r="L688">
        <v>0.3003268454719385</v>
      </c>
      <c r="M688">
        <v>0.28232495388302153</v>
      </c>
      <c r="N688">
        <v>0.30932779126639692</v>
      </c>
      <c r="O688">
        <v>0.27332400808856311</v>
      </c>
    </row>
    <row r="689" spans="1:15">
      <c r="A689" s="19">
        <v>42845</v>
      </c>
      <c r="B689">
        <v>645.6</v>
      </c>
      <c r="C689">
        <v>648.20000000000005</v>
      </c>
      <c r="D689">
        <v>2270</v>
      </c>
      <c r="E689">
        <v>2266</v>
      </c>
      <c r="F689">
        <v>0.28605472197705201</v>
      </c>
      <c r="G689">
        <v>0.29108398861462498</v>
      </c>
      <c r="H689">
        <v>9.33646034608983E-3</v>
      </c>
      <c r="I689">
        <v>-0.53866952261829504</v>
      </c>
      <c r="J689">
        <v>-1.76</v>
      </c>
      <c r="L689">
        <v>0.30042044896071479</v>
      </c>
      <c r="M689">
        <v>0.28174752826853516</v>
      </c>
      <c r="N689">
        <v>0.30975690930680466</v>
      </c>
      <c r="O689">
        <v>0.27241106792244529</v>
      </c>
    </row>
    <row r="690" spans="1:15">
      <c r="A690" s="19">
        <v>42844</v>
      </c>
      <c r="B690">
        <v>649.70000000000005</v>
      </c>
      <c r="C690">
        <v>649.1</v>
      </c>
      <c r="D690">
        <v>2297</v>
      </c>
      <c r="E690">
        <v>2273</v>
      </c>
      <c r="F690">
        <v>0.285569731632204</v>
      </c>
      <c r="G690">
        <v>0.29089178357842799</v>
      </c>
      <c r="H690">
        <v>9.5831392542245208E-3</v>
      </c>
      <c r="I690">
        <v>-0.55535579782772304</v>
      </c>
      <c r="J690">
        <v>-1.86</v>
      </c>
      <c r="L690">
        <v>0.30047492283265254</v>
      </c>
      <c r="M690">
        <v>0.28130864432420344</v>
      </c>
      <c r="N690">
        <v>0.31005806208687703</v>
      </c>
      <c r="O690">
        <v>0.27172550506997895</v>
      </c>
    </row>
    <row r="691" spans="1:15">
      <c r="A691" s="19">
        <v>42843</v>
      </c>
      <c r="B691">
        <v>658.3</v>
      </c>
      <c r="C691">
        <v>654.5</v>
      </c>
      <c r="D691">
        <v>2298</v>
      </c>
      <c r="E691">
        <v>2299</v>
      </c>
      <c r="F691">
        <v>0.28468899521531099</v>
      </c>
      <c r="G691">
        <v>0.29073224408058401</v>
      </c>
      <c r="H691">
        <v>9.7682252204482692E-3</v>
      </c>
      <c r="I691">
        <v>-0.61866395674649799</v>
      </c>
      <c r="J691">
        <v>-2.12</v>
      </c>
      <c r="L691">
        <v>0.3005004693010323</v>
      </c>
      <c r="M691">
        <v>0.28096401886013572</v>
      </c>
      <c r="N691">
        <v>0.31026869452148054</v>
      </c>
      <c r="O691">
        <v>0.27119579363968749</v>
      </c>
    </row>
    <row r="692" spans="1:15">
      <c r="A692" s="19">
        <v>42842</v>
      </c>
      <c r="B692">
        <v>650</v>
      </c>
      <c r="C692">
        <v>654.79999999999995</v>
      </c>
      <c r="D692">
        <v>2258</v>
      </c>
      <c r="E692">
        <v>2289</v>
      </c>
      <c r="F692">
        <v>0.28606378331148902</v>
      </c>
      <c r="G692">
        <v>0.29061680458537598</v>
      </c>
      <c r="H692">
        <v>9.8893694266232301E-3</v>
      </c>
      <c r="I692">
        <v>-0.46039550930614698</v>
      </c>
      <c r="J692">
        <v>-1.59</v>
      </c>
      <c r="L692">
        <v>0.30050617401199919</v>
      </c>
      <c r="M692">
        <v>0.28072743515875276</v>
      </c>
      <c r="N692">
        <v>0.31039554343862241</v>
      </c>
      <c r="O692">
        <v>0.27083806573212954</v>
      </c>
    </row>
    <row r="693" spans="1:15">
      <c r="A693" s="19">
        <v>42839</v>
      </c>
      <c r="B693">
        <v>658</v>
      </c>
      <c r="C693">
        <v>654.9</v>
      </c>
      <c r="D693">
        <v>2290</v>
      </c>
      <c r="E693">
        <v>2280</v>
      </c>
      <c r="F693">
        <v>0.28723684210526301</v>
      </c>
      <c r="G693">
        <v>0.29050675145150201</v>
      </c>
      <c r="H693">
        <v>9.98489065559581E-3</v>
      </c>
      <c r="I693">
        <v>-0.32748574411341502</v>
      </c>
      <c r="J693">
        <v>-1.1399999999999999</v>
      </c>
      <c r="L693">
        <v>0.30049164210709783</v>
      </c>
      <c r="M693">
        <v>0.28052186079590619</v>
      </c>
      <c r="N693">
        <v>0.3104765327626936</v>
      </c>
      <c r="O693">
        <v>0.27053697014031042</v>
      </c>
    </row>
    <row r="694" spans="1:15">
      <c r="A694" s="19">
        <v>42838</v>
      </c>
      <c r="B694">
        <v>665.8</v>
      </c>
      <c r="C694">
        <v>659.5</v>
      </c>
      <c r="D694">
        <v>2302</v>
      </c>
      <c r="E694">
        <v>2295</v>
      </c>
      <c r="F694">
        <v>0.28736383442265701</v>
      </c>
      <c r="G694">
        <v>0.29032198361619199</v>
      </c>
      <c r="H694">
        <v>1.01701861766015E-2</v>
      </c>
      <c r="I694">
        <v>-0.29086480248909502</v>
      </c>
      <c r="J694">
        <v>-1.03</v>
      </c>
      <c r="L694">
        <v>0.30049216979279347</v>
      </c>
      <c r="M694">
        <v>0.28015179743959051</v>
      </c>
      <c r="N694">
        <v>0.31066235596939501</v>
      </c>
      <c r="O694">
        <v>0.26998161126298897</v>
      </c>
    </row>
    <row r="695" spans="1:15">
      <c r="A695" s="19">
        <v>42837</v>
      </c>
      <c r="B695">
        <v>685.6</v>
      </c>
      <c r="C695">
        <v>675.8</v>
      </c>
      <c r="D695">
        <v>2308</v>
      </c>
      <c r="E695">
        <v>2316</v>
      </c>
      <c r="F695">
        <v>0.29179620034542297</v>
      </c>
      <c r="G695">
        <v>0.29018886560691098</v>
      </c>
      <c r="H695">
        <v>1.02728556232215E-2</v>
      </c>
      <c r="I695">
        <v>0.156464258572653</v>
      </c>
      <c r="J695">
        <v>0.55000000000000004</v>
      </c>
      <c r="L695">
        <v>0.30046172123013248</v>
      </c>
      <c r="M695">
        <v>0.27991600998368948</v>
      </c>
      <c r="N695">
        <v>0.31073457685335398</v>
      </c>
      <c r="O695">
        <v>0.26964315436046798</v>
      </c>
    </row>
    <row r="696" spans="1:15">
      <c r="A696" s="19">
        <v>42836</v>
      </c>
      <c r="B696">
        <v>688.1</v>
      </c>
      <c r="C696">
        <v>689.9</v>
      </c>
      <c r="D696">
        <v>2329</v>
      </c>
      <c r="E696">
        <v>2329</v>
      </c>
      <c r="F696">
        <v>0.29622155431515601</v>
      </c>
      <c r="G696">
        <v>0.28996369626083901</v>
      </c>
      <c r="H696">
        <v>1.0419194257617099E-2</v>
      </c>
      <c r="I696">
        <v>0.60060863629088201</v>
      </c>
      <c r="J696">
        <v>2.11</v>
      </c>
      <c r="L696">
        <v>0.30038289051845612</v>
      </c>
      <c r="M696">
        <v>0.2795445020032219</v>
      </c>
      <c r="N696">
        <v>0.31080208477607318</v>
      </c>
      <c r="O696">
        <v>0.26912530774560484</v>
      </c>
    </row>
    <row r="697" spans="1:15">
      <c r="A697" s="19">
        <v>42835</v>
      </c>
      <c r="B697">
        <v>686.1</v>
      </c>
      <c r="C697">
        <v>690.3</v>
      </c>
      <c r="D697">
        <v>2351</v>
      </c>
      <c r="E697">
        <v>2337</v>
      </c>
      <c r="F697">
        <v>0.29537869062901101</v>
      </c>
      <c r="G697">
        <v>0.28960299564904202</v>
      </c>
      <c r="H697">
        <v>1.0661751612210399E-2</v>
      </c>
      <c r="I697">
        <v>0.54172102202744898</v>
      </c>
      <c r="J697">
        <v>1.96</v>
      </c>
      <c r="L697">
        <v>0.30026474726125241</v>
      </c>
      <c r="M697">
        <v>0.27894124403683163</v>
      </c>
      <c r="N697">
        <v>0.3109264988734628</v>
      </c>
      <c r="O697">
        <v>0.26827949242462124</v>
      </c>
    </row>
    <row r="698" spans="1:15">
      <c r="A698" s="19">
        <v>42832</v>
      </c>
      <c r="B698">
        <v>680</v>
      </c>
      <c r="C698">
        <v>682.3</v>
      </c>
      <c r="D698">
        <v>2334</v>
      </c>
      <c r="E698">
        <v>2332</v>
      </c>
      <c r="F698">
        <v>0.29258147512864402</v>
      </c>
      <c r="G698">
        <v>0.28934738679009497</v>
      </c>
      <c r="H698">
        <v>1.07496588598284E-2</v>
      </c>
      <c r="I698">
        <v>0.30085497416435603</v>
      </c>
      <c r="J698">
        <v>1.1100000000000001</v>
      </c>
      <c r="L698">
        <v>0.3000970456499234</v>
      </c>
      <c r="M698">
        <v>0.27859772793026655</v>
      </c>
      <c r="N698">
        <v>0.31084670450975177</v>
      </c>
      <c r="O698">
        <v>0.26784806907043818</v>
      </c>
    </row>
    <row r="699" spans="1:15">
      <c r="A699" s="19">
        <v>42831</v>
      </c>
      <c r="B699">
        <v>675.2</v>
      </c>
      <c r="C699">
        <v>677.5</v>
      </c>
      <c r="D699">
        <v>2345</v>
      </c>
      <c r="E699">
        <v>2306</v>
      </c>
      <c r="F699">
        <v>0.29379878577623503</v>
      </c>
      <c r="G699">
        <v>0.28910931007173302</v>
      </c>
      <c r="H699">
        <v>1.0872423928854701E-2</v>
      </c>
      <c r="I699">
        <v>0.431318327466645</v>
      </c>
      <c r="J699">
        <v>1.6</v>
      </c>
      <c r="L699">
        <v>0.2999817340005877</v>
      </c>
      <c r="M699">
        <v>0.27823688614287834</v>
      </c>
      <c r="N699">
        <v>0.31085415792944243</v>
      </c>
      <c r="O699">
        <v>0.2673644622140236</v>
      </c>
    </row>
    <row r="700" spans="1:15">
      <c r="A700" s="19">
        <v>42830</v>
      </c>
      <c r="B700">
        <v>677.1</v>
      </c>
      <c r="C700">
        <v>679.8</v>
      </c>
      <c r="D700">
        <v>2373</v>
      </c>
      <c r="E700">
        <v>2346</v>
      </c>
      <c r="F700">
        <v>0.28976982097186699</v>
      </c>
      <c r="G700">
        <v>0.28886467052367898</v>
      </c>
      <c r="H700">
        <v>1.09701380703146E-2</v>
      </c>
      <c r="I700">
        <v>8.2510397078509198E-2</v>
      </c>
      <c r="J700">
        <v>0.31</v>
      </c>
      <c r="L700">
        <v>0.29983480859399358</v>
      </c>
      <c r="M700">
        <v>0.27789453245336437</v>
      </c>
      <c r="N700">
        <v>0.31080494666430819</v>
      </c>
      <c r="O700">
        <v>0.26692439438304977</v>
      </c>
    </row>
    <row r="701" spans="1:15">
      <c r="A701" s="19">
        <v>42829</v>
      </c>
      <c r="B701">
        <v>678.7</v>
      </c>
      <c r="C701">
        <v>672.6</v>
      </c>
      <c r="D701">
        <v>2384</v>
      </c>
      <c r="E701">
        <v>2364</v>
      </c>
      <c r="F701">
        <v>0.28451776649746102</v>
      </c>
      <c r="G701">
        <v>0.28875013813714301</v>
      </c>
      <c r="H701">
        <v>1.1004876128317E-2</v>
      </c>
      <c r="I701">
        <v>-0.38459057515345602</v>
      </c>
      <c r="J701">
        <v>-1.49</v>
      </c>
      <c r="L701">
        <v>0.29975501426546003</v>
      </c>
      <c r="M701">
        <v>0.27774526200882599</v>
      </c>
      <c r="N701">
        <v>0.31075989039377699</v>
      </c>
      <c r="O701">
        <v>0.26674038588050902</v>
      </c>
    </row>
    <row r="702" spans="1:15">
      <c r="A702" s="19">
        <v>42828</v>
      </c>
      <c r="B702">
        <v>687.1</v>
      </c>
      <c r="C702">
        <v>680.6</v>
      </c>
      <c r="D702">
        <v>2390</v>
      </c>
      <c r="E702">
        <v>2388</v>
      </c>
      <c r="F702">
        <v>0.28500837520937999</v>
      </c>
      <c r="G702">
        <v>0.28871839409979599</v>
      </c>
      <c r="H702">
        <v>1.1020461530059899E-2</v>
      </c>
      <c r="I702">
        <v>-0.33664823204510502</v>
      </c>
      <c r="J702">
        <v>-1.3</v>
      </c>
      <c r="L702">
        <v>0.29973885562985592</v>
      </c>
      <c r="M702">
        <v>0.27769793256973607</v>
      </c>
      <c r="N702">
        <v>0.31075931715991578</v>
      </c>
      <c r="O702">
        <v>0.26667747103967621</v>
      </c>
    </row>
    <row r="703" spans="1:15">
      <c r="A703" s="19">
        <v>42825</v>
      </c>
      <c r="B703">
        <v>708.1</v>
      </c>
      <c r="C703">
        <v>685.5</v>
      </c>
      <c r="D703">
        <v>2403</v>
      </c>
      <c r="E703">
        <v>2375</v>
      </c>
      <c r="F703">
        <v>0.28863157894736802</v>
      </c>
      <c r="G703">
        <v>0.28872445475263903</v>
      </c>
      <c r="H703">
        <v>1.1018544377294701E-2</v>
      </c>
      <c r="I703">
        <v>-8.4290448983446401E-3</v>
      </c>
      <c r="J703">
        <v>-0.03</v>
      </c>
      <c r="L703">
        <v>0.29974299912993374</v>
      </c>
      <c r="M703">
        <v>0.27770591037534431</v>
      </c>
      <c r="N703">
        <v>0.3107615435072284</v>
      </c>
      <c r="O703">
        <v>0.26668736599804965</v>
      </c>
    </row>
    <row r="704" spans="1:15">
      <c r="A704" s="19">
        <v>42824</v>
      </c>
      <c r="B704">
        <v>693.7</v>
      </c>
      <c r="C704">
        <v>705</v>
      </c>
      <c r="D704">
        <v>2413</v>
      </c>
      <c r="E704">
        <v>2395</v>
      </c>
      <c r="F704">
        <v>0.294363256784968</v>
      </c>
      <c r="L704">
        <v>0</v>
      </c>
      <c r="M704">
        <v>0</v>
      </c>
      <c r="N704">
        <v>0</v>
      </c>
      <c r="O704">
        <v>0</v>
      </c>
    </row>
    <row r="705" spans="1:15">
      <c r="A705" s="19">
        <v>42823</v>
      </c>
      <c r="B705">
        <v>699.7</v>
      </c>
      <c r="C705">
        <v>696.9</v>
      </c>
      <c r="D705">
        <v>2440</v>
      </c>
      <c r="E705">
        <v>2420</v>
      </c>
      <c r="F705">
        <v>0.28797520661157</v>
      </c>
      <c r="L705">
        <v>0</v>
      </c>
      <c r="M705">
        <v>0</v>
      </c>
      <c r="N705">
        <v>0</v>
      </c>
      <c r="O705">
        <v>0</v>
      </c>
    </row>
    <row r="706" spans="1:15">
      <c r="A706" s="19">
        <v>42822</v>
      </c>
      <c r="B706">
        <v>698.9</v>
      </c>
      <c r="C706">
        <v>702.2</v>
      </c>
      <c r="D706">
        <v>2434</v>
      </c>
      <c r="E706">
        <v>2436</v>
      </c>
      <c r="F706">
        <v>0.288259441707717</v>
      </c>
      <c r="L706">
        <v>0</v>
      </c>
      <c r="M706">
        <v>0</v>
      </c>
      <c r="N706">
        <v>0</v>
      </c>
      <c r="O706">
        <v>0</v>
      </c>
    </row>
    <row r="707" spans="1:15">
      <c r="A707" s="19">
        <v>42821</v>
      </c>
      <c r="B707">
        <v>691.8</v>
      </c>
      <c r="C707">
        <v>692.6</v>
      </c>
      <c r="D707">
        <v>2396</v>
      </c>
      <c r="E707">
        <v>2402</v>
      </c>
      <c r="F707">
        <v>0.28834304746044898</v>
      </c>
      <c r="L707">
        <v>0</v>
      </c>
      <c r="M707">
        <v>0</v>
      </c>
      <c r="N707">
        <v>0</v>
      </c>
      <c r="O707">
        <v>0</v>
      </c>
    </row>
    <row r="708" spans="1:15">
      <c r="A708" s="19">
        <v>42818</v>
      </c>
      <c r="B708">
        <v>700.1</v>
      </c>
      <c r="C708">
        <v>698.5</v>
      </c>
      <c r="D708">
        <v>2428</v>
      </c>
      <c r="E708">
        <v>2433</v>
      </c>
      <c r="F708">
        <v>0.28709412248253102</v>
      </c>
      <c r="L708">
        <v>0</v>
      </c>
      <c r="M708">
        <v>0</v>
      </c>
      <c r="N708">
        <v>0</v>
      </c>
      <c r="O708">
        <v>0</v>
      </c>
    </row>
    <row r="709" spans="1:15">
      <c r="A709" s="19">
        <v>42817</v>
      </c>
      <c r="B709">
        <v>702</v>
      </c>
      <c r="C709">
        <v>701.9</v>
      </c>
      <c r="D709">
        <v>2441</v>
      </c>
      <c r="E709">
        <v>2431</v>
      </c>
      <c r="F709">
        <v>0.28872891814068202</v>
      </c>
      <c r="L709">
        <v>0</v>
      </c>
      <c r="M709">
        <v>0</v>
      </c>
      <c r="N709">
        <v>0</v>
      </c>
      <c r="O709">
        <v>0</v>
      </c>
    </row>
    <row r="710" spans="1:15">
      <c r="A710" s="19">
        <v>42816</v>
      </c>
      <c r="B710">
        <v>710</v>
      </c>
      <c r="C710">
        <v>702.5</v>
      </c>
      <c r="D710">
        <v>2476</v>
      </c>
      <c r="E710">
        <v>2441</v>
      </c>
      <c r="F710">
        <v>0.287791888570258</v>
      </c>
      <c r="L710">
        <v>0</v>
      </c>
      <c r="M710">
        <v>0</v>
      </c>
      <c r="N710">
        <v>0</v>
      </c>
      <c r="O710">
        <v>0</v>
      </c>
    </row>
    <row r="711" spans="1:15">
      <c r="A711" s="19">
        <v>42815</v>
      </c>
      <c r="B711">
        <v>718.4</v>
      </c>
      <c r="C711">
        <v>721.1</v>
      </c>
      <c r="D711">
        <v>2485</v>
      </c>
      <c r="E711">
        <v>2512</v>
      </c>
      <c r="F711">
        <v>0.28706210191082798</v>
      </c>
      <c r="L711">
        <v>0</v>
      </c>
      <c r="M711">
        <v>0</v>
      </c>
      <c r="N711">
        <v>0</v>
      </c>
      <c r="O711">
        <v>0</v>
      </c>
    </row>
    <row r="712" spans="1:15">
      <c r="A712" s="19">
        <v>42811</v>
      </c>
      <c r="B712">
        <v>720.9</v>
      </c>
      <c r="C712">
        <v>723</v>
      </c>
      <c r="D712">
        <v>2503</v>
      </c>
      <c r="E712">
        <v>2508</v>
      </c>
      <c r="F712">
        <v>0.28827751196172202</v>
      </c>
      <c r="L712">
        <v>0</v>
      </c>
      <c r="M712">
        <v>0</v>
      </c>
      <c r="N712">
        <v>0</v>
      </c>
      <c r="O712">
        <v>0</v>
      </c>
    </row>
    <row r="713" spans="1:15">
      <c r="A713" s="19">
        <v>42810</v>
      </c>
      <c r="B713">
        <v>722.7</v>
      </c>
      <c r="C713">
        <v>723.2</v>
      </c>
      <c r="D713">
        <v>2478</v>
      </c>
      <c r="E713">
        <v>2521</v>
      </c>
      <c r="F713">
        <v>0.286870289567631</v>
      </c>
      <c r="L713">
        <v>0</v>
      </c>
      <c r="M713">
        <v>0</v>
      </c>
      <c r="N713">
        <v>0</v>
      </c>
      <c r="O713">
        <v>0</v>
      </c>
    </row>
    <row r="714" spans="1:15">
      <c r="A714" s="19">
        <v>42809</v>
      </c>
      <c r="B714">
        <v>725.5</v>
      </c>
      <c r="C714">
        <v>724</v>
      </c>
      <c r="D714">
        <v>2495</v>
      </c>
      <c r="E714">
        <v>2504</v>
      </c>
      <c r="F714">
        <v>0.28913738019169299</v>
      </c>
      <c r="L714">
        <v>0</v>
      </c>
      <c r="M714">
        <v>0</v>
      </c>
      <c r="N714">
        <v>0</v>
      </c>
      <c r="O714">
        <v>0</v>
      </c>
    </row>
    <row r="715" spans="1:15">
      <c r="A715" s="19">
        <v>42808</v>
      </c>
      <c r="B715">
        <v>728.2</v>
      </c>
      <c r="C715">
        <v>726.6</v>
      </c>
      <c r="D715">
        <v>2522</v>
      </c>
      <c r="E715">
        <v>2508</v>
      </c>
      <c r="F715">
        <v>0.28971291866028698</v>
      </c>
      <c r="L715">
        <v>0</v>
      </c>
      <c r="M715">
        <v>0</v>
      </c>
      <c r="N715">
        <v>0</v>
      </c>
      <c r="O715">
        <v>0</v>
      </c>
    </row>
    <row r="716" spans="1:15">
      <c r="A716" s="19">
        <v>42807</v>
      </c>
      <c r="B716">
        <v>723</v>
      </c>
      <c r="C716">
        <v>726.6</v>
      </c>
      <c r="D716">
        <v>2514</v>
      </c>
      <c r="E716">
        <v>2526</v>
      </c>
      <c r="F716">
        <v>0.28764845605700701</v>
      </c>
      <c r="L716">
        <v>0</v>
      </c>
      <c r="M716">
        <v>0</v>
      </c>
      <c r="N716">
        <v>0</v>
      </c>
      <c r="O716">
        <v>0</v>
      </c>
    </row>
    <row r="717" spans="1:15">
      <c r="A717" s="19">
        <v>42804</v>
      </c>
      <c r="B717">
        <v>733</v>
      </c>
      <c r="C717">
        <v>725.7</v>
      </c>
      <c r="D717">
        <v>2513</v>
      </c>
      <c r="E717">
        <v>2518</v>
      </c>
      <c r="F717">
        <v>0.288204924543288</v>
      </c>
      <c r="L717">
        <v>0</v>
      </c>
      <c r="M717">
        <v>0</v>
      </c>
      <c r="N717">
        <v>0</v>
      </c>
      <c r="O717">
        <v>0</v>
      </c>
    </row>
    <row r="718" spans="1:15">
      <c r="A718" s="19">
        <v>42803</v>
      </c>
      <c r="B718">
        <v>726.5</v>
      </c>
      <c r="C718">
        <v>729.5</v>
      </c>
      <c r="D718">
        <v>2517</v>
      </c>
      <c r="E718">
        <v>2483</v>
      </c>
      <c r="F718">
        <v>0.29379782521143699</v>
      </c>
      <c r="L718">
        <v>0</v>
      </c>
      <c r="M718">
        <v>0</v>
      </c>
      <c r="N718">
        <v>0</v>
      </c>
      <c r="O718">
        <v>0</v>
      </c>
    </row>
    <row r="719" spans="1:15">
      <c r="A719" s="19">
        <v>42802</v>
      </c>
      <c r="B719">
        <v>725</v>
      </c>
      <c r="C719">
        <v>724.7</v>
      </c>
      <c r="D719">
        <v>2518</v>
      </c>
      <c r="E719">
        <v>2502</v>
      </c>
      <c r="F719">
        <v>0.28964828137490001</v>
      </c>
      <c r="L719">
        <v>0</v>
      </c>
      <c r="M719">
        <v>0</v>
      </c>
      <c r="N719">
        <v>0</v>
      </c>
      <c r="O719">
        <v>0</v>
      </c>
    </row>
    <row r="720" spans="1:15">
      <c r="A720" s="19">
        <v>42801</v>
      </c>
      <c r="B720">
        <v>731.9</v>
      </c>
      <c r="C720">
        <v>729.3</v>
      </c>
      <c r="D720">
        <v>2493</v>
      </c>
      <c r="E720">
        <v>2518</v>
      </c>
      <c r="F720">
        <v>0.28963463065925299</v>
      </c>
      <c r="L720">
        <v>0</v>
      </c>
      <c r="M720">
        <v>0</v>
      </c>
      <c r="N720">
        <v>0</v>
      </c>
      <c r="O720">
        <v>0</v>
      </c>
    </row>
    <row r="721" spans="1:15">
      <c r="A721" s="19">
        <v>42800</v>
      </c>
      <c r="B721">
        <v>728</v>
      </c>
      <c r="C721">
        <v>730.3</v>
      </c>
      <c r="D721">
        <v>2480</v>
      </c>
      <c r="E721">
        <v>2477</v>
      </c>
      <c r="F721">
        <v>0.29483245861929702</v>
      </c>
      <c r="L721">
        <v>0</v>
      </c>
      <c r="M721">
        <v>0</v>
      </c>
      <c r="N721">
        <v>0</v>
      </c>
      <c r="O721">
        <v>0</v>
      </c>
    </row>
    <row r="722" spans="1:15">
      <c r="A722" s="19">
        <v>42797</v>
      </c>
      <c r="B722">
        <v>738</v>
      </c>
      <c r="C722">
        <v>729.4</v>
      </c>
      <c r="D722">
        <v>2513</v>
      </c>
      <c r="E722">
        <v>2506</v>
      </c>
      <c r="F722">
        <v>0.29106145251396598</v>
      </c>
      <c r="L722">
        <v>0</v>
      </c>
      <c r="M722">
        <v>0</v>
      </c>
      <c r="N722">
        <v>0</v>
      </c>
      <c r="O722">
        <v>0</v>
      </c>
    </row>
    <row r="723" spans="1:15">
      <c r="A723" s="19">
        <v>42796</v>
      </c>
      <c r="B723">
        <v>744</v>
      </c>
      <c r="C723">
        <v>740.1</v>
      </c>
      <c r="D723">
        <v>2525</v>
      </c>
      <c r="E723">
        <v>2513</v>
      </c>
      <c r="F723">
        <v>0.29450855551134097</v>
      </c>
      <c r="L723">
        <v>0</v>
      </c>
      <c r="M723">
        <v>0</v>
      </c>
      <c r="N723">
        <v>0</v>
      </c>
      <c r="O723">
        <v>0</v>
      </c>
    </row>
    <row r="724" spans="1:15">
      <c r="A724" s="19">
        <v>42795</v>
      </c>
      <c r="B724">
        <v>734.1</v>
      </c>
      <c r="C724">
        <v>735.9</v>
      </c>
      <c r="D724">
        <v>2473</v>
      </c>
      <c r="E724">
        <v>2497</v>
      </c>
      <c r="F724">
        <v>0.294713656387665</v>
      </c>
      <c r="L724">
        <v>0</v>
      </c>
      <c r="M724">
        <v>0</v>
      </c>
      <c r="N724">
        <v>0</v>
      </c>
      <c r="O724">
        <v>0</v>
      </c>
    </row>
    <row r="725" spans="1:15">
      <c r="A725" s="19">
        <v>42794</v>
      </c>
      <c r="B725">
        <v>730.6</v>
      </c>
      <c r="C725">
        <v>726.8</v>
      </c>
      <c r="D725">
        <v>2481</v>
      </c>
      <c r="E725">
        <v>2482</v>
      </c>
      <c r="F725">
        <v>0.29282836422240099</v>
      </c>
      <c r="L725">
        <v>0</v>
      </c>
      <c r="M725">
        <v>0</v>
      </c>
      <c r="N725">
        <v>0</v>
      </c>
      <c r="O725">
        <v>0</v>
      </c>
    </row>
    <row r="726" spans="1:15">
      <c r="A726" s="19">
        <v>42793</v>
      </c>
      <c r="B726">
        <v>726.2</v>
      </c>
      <c r="C726">
        <v>725.5</v>
      </c>
      <c r="D726">
        <v>2470</v>
      </c>
      <c r="E726">
        <v>2469</v>
      </c>
      <c r="F726">
        <v>0.29384366140137702</v>
      </c>
      <c r="L726">
        <v>0</v>
      </c>
      <c r="M726">
        <v>0</v>
      </c>
      <c r="N726">
        <v>0</v>
      </c>
      <c r="O726">
        <v>0</v>
      </c>
    </row>
    <row r="727" spans="1:15">
      <c r="A727" s="19">
        <v>42790</v>
      </c>
      <c r="B727">
        <v>737</v>
      </c>
      <c r="C727">
        <v>733.8</v>
      </c>
      <c r="D727">
        <v>2466</v>
      </c>
      <c r="E727">
        <v>2486</v>
      </c>
      <c r="F727">
        <v>0.29517296862429598</v>
      </c>
      <c r="L727">
        <v>0</v>
      </c>
      <c r="M727">
        <v>0</v>
      </c>
      <c r="N727">
        <v>0</v>
      </c>
      <c r="O727">
        <v>0</v>
      </c>
    </row>
    <row r="728" spans="1:15">
      <c r="A728" s="19">
        <v>42789</v>
      </c>
      <c r="B728">
        <v>740</v>
      </c>
      <c r="C728">
        <v>739.7</v>
      </c>
      <c r="D728">
        <v>2490</v>
      </c>
      <c r="E728">
        <v>2487</v>
      </c>
      <c r="F728">
        <v>0.29742661841576101</v>
      </c>
      <c r="L728">
        <v>0</v>
      </c>
      <c r="M728">
        <v>0</v>
      </c>
      <c r="N728">
        <v>0</v>
      </c>
      <c r="O728">
        <v>0</v>
      </c>
    </row>
    <row r="729" spans="1:15">
      <c r="A729" s="19">
        <v>42788</v>
      </c>
      <c r="B729">
        <v>737.8</v>
      </c>
      <c r="C729">
        <v>737.8</v>
      </c>
      <c r="D729">
        <v>2443</v>
      </c>
      <c r="E729">
        <v>2479</v>
      </c>
      <c r="F729">
        <v>0.297620008067769</v>
      </c>
      <c r="L729">
        <v>0</v>
      </c>
      <c r="M729">
        <v>0</v>
      </c>
      <c r="N729">
        <v>0</v>
      </c>
      <c r="O729">
        <v>0</v>
      </c>
    </row>
    <row r="730" spans="1:15">
      <c r="A730" s="19">
        <v>42787</v>
      </c>
      <c r="B730">
        <v>730.8</v>
      </c>
      <c r="C730">
        <v>736.3</v>
      </c>
      <c r="D730">
        <v>2400</v>
      </c>
      <c r="E730">
        <v>2435</v>
      </c>
      <c r="F730">
        <v>0.30238193018480403</v>
      </c>
      <c r="L730">
        <v>0</v>
      </c>
      <c r="M730">
        <v>0</v>
      </c>
      <c r="N730">
        <v>0</v>
      </c>
      <c r="O730">
        <v>0</v>
      </c>
    </row>
    <row r="731" spans="1:15">
      <c r="A731" s="19">
        <v>42786</v>
      </c>
      <c r="B731">
        <v>725</v>
      </c>
      <c r="C731">
        <v>730.4</v>
      </c>
      <c r="D731">
        <v>2377</v>
      </c>
      <c r="E731">
        <v>2410</v>
      </c>
      <c r="F731">
        <v>0.30307053941908701</v>
      </c>
      <c r="L731">
        <v>0</v>
      </c>
      <c r="M731">
        <v>0</v>
      </c>
      <c r="N731">
        <v>0</v>
      </c>
      <c r="O731">
        <v>0</v>
      </c>
    </row>
    <row r="732" spans="1:15">
      <c r="A732" s="19">
        <v>42783</v>
      </c>
      <c r="B732">
        <v>725.6</v>
      </c>
      <c r="C732">
        <v>728.6</v>
      </c>
      <c r="D732">
        <v>2372</v>
      </c>
      <c r="E732">
        <v>2368</v>
      </c>
      <c r="F732">
        <v>0.30768581081080998</v>
      </c>
      <c r="L732">
        <v>0</v>
      </c>
      <c r="M732">
        <v>0</v>
      </c>
      <c r="N732">
        <v>0</v>
      </c>
      <c r="O732">
        <v>0</v>
      </c>
    </row>
    <row r="733" spans="1:15">
      <c r="A733" s="19">
        <v>42782</v>
      </c>
      <c r="B733">
        <v>725.5</v>
      </c>
      <c r="C733">
        <v>725.6</v>
      </c>
      <c r="D733">
        <v>2374</v>
      </c>
      <c r="E733">
        <v>2386</v>
      </c>
      <c r="F733">
        <v>0.304107292539815</v>
      </c>
      <c r="L733">
        <v>0</v>
      </c>
      <c r="M733">
        <v>0</v>
      </c>
      <c r="N733">
        <v>0</v>
      </c>
      <c r="O733">
        <v>0</v>
      </c>
    </row>
    <row r="734" spans="1:15">
      <c r="A734" s="19">
        <v>42781</v>
      </c>
      <c r="B734">
        <v>726.3</v>
      </c>
      <c r="C734">
        <v>729.4</v>
      </c>
      <c r="D734">
        <v>2370</v>
      </c>
      <c r="E734">
        <v>2369</v>
      </c>
      <c r="F734">
        <v>0.30789362600253201</v>
      </c>
      <c r="L734">
        <v>0</v>
      </c>
      <c r="M734">
        <v>0</v>
      </c>
      <c r="N734">
        <v>0</v>
      </c>
      <c r="O734">
        <v>0</v>
      </c>
    </row>
    <row r="735" spans="1:15">
      <c r="A735" s="19">
        <v>42780</v>
      </c>
      <c r="B735">
        <v>723.8</v>
      </c>
      <c r="C735">
        <v>718.8</v>
      </c>
      <c r="D735">
        <v>2351</v>
      </c>
      <c r="E735">
        <v>2349</v>
      </c>
      <c r="F735">
        <v>0.30600255427841599</v>
      </c>
      <c r="L735">
        <v>0</v>
      </c>
      <c r="M735">
        <v>0</v>
      </c>
      <c r="N735">
        <v>0</v>
      </c>
      <c r="O735">
        <v>0</v>
      </c>
    </row>
    <row r="736" spans="1:15">
      <c r="A736" s="19">
        <v>42779</v>
      </c>
      <c r="B736">
        <v>722</v>
      </c>
      <c r="C736">
        <v>721.5</v>
      </c>
      <c r="D736">
        <v>2343</v>
      </c>
      <c r="E736">
        <v>2340</v>
      </c>
      <c r="F736">
        <v>0.30833333333333302</v>
      </c>
      <c r="L736">
        <v>0</v>
      </c>
      <c r="M736">
        <v>0</v>
      </c>
      <c r="N736">
        <v>0</v>
      </c>
      <c r="O736">
        <v>0</v>
      </c>
    </row>
    <row r="737" spans="1:15">
      <c r="A737" s="19">
        <v>42776</v>
      </c>
      <c r="B737">
        <v>713</v>
      </c>
      <c r="C737">
        <v>714.8</v>
      </c>
      <c r="D737">
        <v>2325</v>
      </c>
      <c r="E737">
        <v>2333</v>
      </c>
      <c r="F737">
        <v>0.30638662666095101</v>
      </c>
      <c r="L737">
        <v>0</v>
      </c>
      <c r="M737">
        <v>0</v>
      </c>
      <c r="N737">
        <v>0</v>
      </c>
      <c r="O737">
        <v>0</v>
      </c>
    </row>
    <row r="738" spans="1:15">
      <c r="A738" s="19">
        <v>42775</v>
      </c>
      <c r="B738">
        <v>708.7</v>
      </c>
      <c r="C738">
        <v>705.3</v>
      </c>
      <c r="D738">
        <v>2315</v>
      </c>
      <c r="E738">
        <v>2280</v>
      </c>
      <c r="F738">
        <v>0.30934210526315697</v>
      </c>
      <c r="L738">
        <v>0</v>
      </c>
      <c r="M738">
        <v>0</v>
      </c>
      <c r="N738">
        <v>0</v>
      </c>
      <c r="O738">
        <v>0</v>
      </c>
    </row>
    <row r="739" spans="1:15">
      <c r="A739" s="19">
        <v>42774</v>
      </c>
      <c r="B739">
        <v>699</v>
      </c>
      <c r="C739">
        <v>709.4</v>
      </c>
      <c r="D739">
        <v>2282</v>
      </c>
      <c r="E739">
        <v>2320</v>
      </c>
      <c r="F739">
        <v>0.30577586206896501</v>
      </c>
      <c r="L739">
        <v>0</v>
      </c>
      <c r="M739">
        <v>0</v>
      </c>
      <c r="N739">
        <v>0</v>
      </c>
      <c r="O739">
        <v>0</v>
      </c>
    </row>
    <row r="740" spans="1:15">
      <c r="A740" s="19">
        <v>42773</v>
      </c>
      <c r="B740">
        <v>696</v>
      </c>
      <c r="C740">
        <v>695.4</v>
      </c>
      <c r="D740">
        <v>2260</v>
      </c>
      <c r="E740">
        <v>2279</v>
      </c>
      <c r="F740">
        <v>0.30513383062746802</v>
      </c>
      <c r="L740">
        <v>0</v>
      </c>
      <c r="M740">
        <v>0</v>
      </c>
      <c r="N740">
        <v>0</v>
      </c>
      <c r="O740">
        <v>0</v>
      </c>
    </row>
    <row r="741" spans="1:15">
      <c r="A741" s="19">
        <v>42772</v>
      </c>
      <c r="B741">
        <v>682.7</v>
      </c>
      <c r="C741">
        <v>690.1</v>
      </c>
      <c r="D741">
        <v>2400</v>
      </c>
      <c r="E741">
        <v>2279</v>
      </c>
      <c r="F741">
        <v>0.30280824923211902</v>
      </c>
      <c r="L741">
        <v>0</v>
      </c>
      <c r="M741">
        <v>0</v>
      </c>
      <c r="N741">
        <v>0</v>
      </c>
      <c r="O741">
        <v>0</v>
      </c>
    </row>
    <row r="742" spans="1:15">
      <c r="A742" s="19">
        <v>42769</v>
      </c>
      <c r="B742">
        <v>683.2</v>
      </c>
      <c r="C742">
        <v>676.1</v>
      </c>
      <c r="D742">
        <v>2290</v>
      </c>
      <c r="E742">
        <v>2336</v>
      </c>
      <c r="F742">
        <v>0.28942636986301301</v>
      </c>
      <c r="L742">
        <v>0</v>
      </c>
      <c r="M742">
        <v>0</v>
      </c>
      <c r="N742">
        <v>0</v>
      </c>
      <c r="O742">
        <v>0</v>
      </c>
    </row>
    <row r="743" spans="1:15">
      <c r="A743" s="19">
        <v>42768</v>
      </c>
      <c r="B743">
        <v>689</v>
      </c>
      <c r="C743">
        <v>681.1</v>
      </c>
      <c r="D743">
        <v>2341</v>
      </c>
      <c r="E743">
        <v>2300</v>
      </c>
      <c r="F743">
        <v>0.29613043478260798</v>
      </c>
      <c r="L743">
        <v>0</v>
      </c>
      <c r="M743">
        <v>0</v>
      </c>
      <c r="N743">
        <v>0</v>
      </c>
      <c r="O743">
        <v>0</v>
      </c>
    </row>
    <row r="744" spans="1:15">
      <c r="A744" s="19">
        <v>42767</v>
      </c>
      <c r="B744">
        <v>679</v>
      </c>
      <c r="C744">
        <v>684.9</v>
      </c>
      <c r="D744">
        <v>2312</v>
      </c>
      <c r="E744">
        <v>2332</v>
      </c>
      <c r="F744">
        <v>0.29369639794168001</v>
      </c>
      <c r="L744">
        <v>0</v>
      </c>
      <c r="M744">
        <v>0</v>
      </c>
      <c r="N744">
        <v>0</v>
      </c>
      <c r="O744">
        <v>0</v>
      </c>
    </row>
    <row r="745" spans="1:15">
      <c r="A745" s="19">
        <v>42766</v>
      </c>
      <c r="B745">
        <v>683.5</v>
      </c>
      <c r="C745">
        <v>687.6</v>
      </c>
      <c r="D745">
        <v>2320</v>
      </c>
      <c r="E745">
        <v>2342</v>
      </c>
      <c r="F745">
        <v>0.29359521776259601</v>
      </c>
      <c r="L745">
        <v>0</v>
      </c>
      <c r="M745">
        <v>0</v>
      </c>
      <c r="N745">
        <v>0</v>
      </c>
      <c r="O745">
        <v>0</v>
      </c>
    </row>
    <row r="746" spans="1:15">
      <c r="A746" s="19">
        <v>42765</v>
      </c>
      <c r="B746">
        <v>697</v>
      </c>
      <c r="C746">
        <v>692.9</v>
      </c>
      <c r="D746">
        <v>2346</v>
      </c>
      <c r="E746">
        <v>2358</v>
      </c>
      <c r="F746">
        <v>0.29385072094995701</v>
      </c>
      <c r="L746">
        <v>0</v>
      </c>
      <c r="M746">
        <v>0</v>
      </c>
      <c r="N746">
        <v>0</v>
      </c>
      <c r="O746">
        <v>0</v>
      </c>
    </row>
    <row r="747" spans="1:15">
      <c r="A747" s="19">
        <v>42762</v>
      </c>
      <c r="B747">
        <v>700</v>
      </c>
      <c r="C747">
        <v>697</v>
      </c>
      <c r="D747">
        <v>2360</v>
      </c>
      <c r="E747">
        <v>2359</v>
      </c>
      <c r="F747">
        <v>0.29546417973717598</v>
      </c>
      <c r="L747">
        <v>0</v>
      </c>
      <c r="M747">
        <v>0</v>
      </c>
      <c r="N747">
        <v>0</v>
      </c>
      <c r="O747">
        <v>0</v>
      </c>
    </row>
    <row r="748" spans="1:15">
      <c r="A748" s="19">
        <v>42761</v>
      </c>
      <c r="B748">
        <v>694</v>
      </c>
      <c r="C748">
        <v>699</v>
      </c>
      <c r="D748">
        <v>2360</v>
      </c>
      <c r="E748">
        <v>2358</v>
      </c>
      <c r="F748">
        <v>0.296437659033078</v>
      </c>
      <c r="L748">
        <v>0</v>
      </c>
      <c r="M748">
        <v>0</v>
      </c>
      <c r="N748">
        <v>0</v>
      </c>
      <c r="O748">
        <v>0</v>
      </c>
    </row>
    <row r="749" spans="1:15">
      <c r="A749" s="19">
        <v>42760</v>
      </c>
      <c r="B749">
        <v>695</v>
      </c>
      <c r="C749">
        <v>689.2</v>
      </c>
      <c r="D749">
        <v>2340</v>
      </c>
      <c r="E749">
        <v>2342</v>
      </c>
      <c r="F749">
        <v>0.29427839453458499</v>
      </c>
      <c r="L749">
        <v>0</v>
      </c>
      <c r="M749">
        <v>0</v>
      </c>
      <c r="N749">
        <v>0</v>
      </c>
      <c r="O749">
        <v>0</v>
      </c>
    </row>
    <row r="750" spans="1:15">
      <c r="A750" s="19">
        <v>42759</v>
      </c>
      <c r="B750">
        <v>684.6</v>
      </c>
      <c r="C750">
        <v>685.8</v>
      </c>
      <c r="D750">
        <v>2297</v>
      </c>
      <c r="E750">
        <v>2318</v>
      </c>
      <c r="F750">
        <v>0.29585849870578002</v>
      </c>
      <c r="L750">
        <v>0</v>
      </c>
      <c r="M750">
        <v>0</v>
      </c>
      <c r="N750">
        <v>0</v>
      </c>
      <c r="O750">
        <v>0</v>
      </c>
    </row>
    <row r="751" spans="1:15">
      <c r="A751" s="19">
        <v>42758</v>
      </c>
      <c r="B751">
        <v>685</v>
      </c>
      <c r="C751">
        <v>683.7</v>
      </c>
      <c r="D751">
        <v>2343</v>
      </c>
      <c r="E751">
        <v>2324</v>
      </c>
      <c r="F751">
        <v>0.29419104991394102</v>
      </c>
      <c r="L751">
        <v>0</v>
      </c>
      <c r="M751">
        <v>0</v>
      </c>
      <c r="N751">
        <v>0</v>
      </c>
      <c r="O751">
        <v>0</v>
      </c>
    </row>
    <row r="752" spans="1:15">
      <c r="A752" s="19">
        <v>42755</v>
      </c>
      <c r="B752">
        <v>682</v>
      </c>
      <c r="C752">
        <v>687.6</v>
      </c>
      <c r="D752">
        <v>2331</v>
      </c>
      <c r="E752">
        <v>2352</v>
      </c>
      <c r="F752">
        <v>0.29234693877550999</v>
      </c>
      <c r="L752">
        <v>0</v>
      </c>
      <c r="M752">
        <v>0</v>
      </c>
      <c r="N752">
        <v>0</v>
      </c>
      <c r="O752">
        <v>0</v>
      </c>
    </row>
    <row r="753" spans="1:15">
      <c r="A753" s="19">
        <v>42754</v>
      </c>
      <c r="B753">
        <v>678.7</v>
      </c>
      <c r="C753">
        <v>681.6</v>
      </c>
      <c r="D753">
        <v>2367</v>
      </c>
      <c r="E753">
        <v>2349</v>
      </c>
      <c r="F753">
        <v>0.29016602809706199</v>
      </c>
      <c r="L753">
        <v>0</v>
      </c>
      <c r="M753">
        <v>0</v>
      </c>
      <c r="N753">
        <v>0</v>
      </c>
      <c r="O753">
        <v>0</v>
      </c>
    </row>
    <row r="754" spans="1:15">
      <c r="A754" s="19">
        <v>42753</v>
      </c>
      <c r="B754">
        <v>664.2</v>
      </c>
      <c r="C754">
        <v>674.9</v>
      </c>
      <c r="D754">
        <v>2399</v>
      </c>
      <c r="E754">
        <v>2401</v>
      </c>
      <c r="F754">
        <v>0.28109121199500198</v>
      </c>
      <c r="L754">
        <v>0</v>
      </c>
      <c r="M754">
        <v>0</v>
      </c>
      <c r="N754">
        <v>0</v>
      </c>
      <c r="O754">
        <v>0</v>
      </c>
    </row>
    <row r="755" spans="1:15">
      <c r="A755" s="19">
        <v>42752</v>
      </c>
      <c r="B755">
        <v>675.3</v>
      </c>
      <c r="C755">
        <v>670.4</v>
      </c>
      <c r="D755">
        <v>2441</v>
      </c>
      <c r="E755">
        <v>2397</v>
      </c>
      <c r="F755">
        <v>0.27968293700458902</v>
      </c>
      <c r="L755">
        <v>0</v>
      </c>
      <c r="M755">
        <v>0</v>
      </c>
      <c r="N755">
        <v>0</v>
      </c>
      <c r="O755">
        <v>0</v>
      </c>
    </row>
    <row r="756" spans="1:15">
      <c r="A756" s="19">
        <v>42751</v>
      </c>
      <c r="B756">
        <v>678</v>
      </c>
      <c r="C756">
        <v>676.1</v>
      </c>
      <c r="D756">
        <v>2459</v>
      </c>
      <c r="E756">
        <v>2438</v>
      </c>
      <c r="F756">
        <v>0.27731747333880202</v>
      </c>
      <c r="L756">
        <v>0</v>
      </c>
      <c r="M756">
        <v>0</v>
      </c>
      <c r="N756">
        <v>0</v>
      </c>
      <c r="O756">
        <v>0</v>
      </c>
    </row>
    <row r="757" spans="1:15">
      <c r="A757" s="19">
        <v>42748</v>
      </c>
      <c r="B757">
        <v>677</v>
      </c>
      <c r="C757">
        <v>678.1</v>
      </c>
      <c r="D757">
        <v>2461</v>
      </c>
      <c r="E757">
        <v>2477</v>
      </c>
      <c r="F757">
        <v>0.27375857892611999</v>
      </c>
      <c r="L757">
        <v>0</v>
      </c>
      <c r="M757">
        <v>0</v>
      </c>
      <c r="N757">
        <v>0</v>
      </c>
      <c r="O757">
        <v>0</v>
      </c>
    </row>
    <row r="758" spans="1:15">
      <c r="A758" s="19">
        <v>42747</v>
      </c>
      <c r="B758">
        <v>677.4</v>
      </c>
      <c r="C758">
        <v>673.7</v>
      </c>
      <c r="D758">
        <v>2500</v>
      </c>
      <c r="E758">
        <v>2460</v>
      </c>
      <c r="F758">
        <v>0.27386178861788602</v>
      </c>
      <c r="L758">
        <v>0</v>
      </c>
      <c r="M758">
        <v>0</v>
      </c>
      <c r="N758">
        <v>0</v>
      </c>
      <c r="O758">
        <v>0</v>
      </c>
    </row>
    <row r="759" spans="1:15">
      <c r="A759" s="19">
        <v>42746</v>
      </c>
      <c r="B759">
        <v>671</v>
      </c>
      <c r="C759">
        <v>677.7</v>
      </c>
      <c r="D759">
        <v>2487</v>
      </c>
      <c r="E759">
        <v>2485</v>
      </c>
      <c r="F759">
        <v>0.27271629778672002</v>
      </c>
      <c r="L759">
        <v>0</v>
      </c>
      <c r="M759">
        <v>0</v>
      </c>
      <c r="N759">
        <v>0</v>
      </c>
      <c r="O759">
        <v>0</v>
      </c>
    </row>
    <row r="760" spans="1:15">
      <c r="A760" s="19">
        <v>42745</v>
      </c>
      <c r="B760">
        <v>669.8</v>
      </c>
      <c r="C760">
        <v>668.3</v>
      </c>
      <c r="D760">
        <v>2506</v>
      </c>
      <c r="E760">
        <v>2474</v>
      </c>
      <c r="F760">
        <v>0.270129345189975</v>
      </c>
      <c r="L760">
        <v>0</v>
      </c>
      <c r="M760">
        <v>0</v>
      </c>
      <c r="N760">
        <v>0</v>
      </c>
      <c r="O760">
        <v>0</v>
      </c>
    </row>
    <row r="761" spans="1:15">
      <c r="A761" s="19">
        <v>42741</v>
      </c>
      <c r="B761">
        <v>673.4</v>
      </c>
      <c r="C761">
        <v>671.8</v>
      </c>
      <c r="D761">
        <v>2477</v>
      </c>
      <c r="E761">
        <v>2505</v>
      </c>
      <c r="F761">
        <v>0.26818363273453</v>
      </c>
      <c r="L761">
        <v>0</v>
      </c>
      <c r="M761">
        <v>0</v>
      </c>
      <c r="N761">
        <v>0</v>
      </c>
      <c r="O761">
        <v>0</v>
      </c>
    </row>
    <row r="762" spans="1:15">
      <c r="A762" s="19">
        <v>42740</v>
      </c>
      <c r="B762">
        <v>680.9</v>
      </c>
      <c r="C762">
        <v>678.3</v>
      </c>
      <c r="D762">
        <v>2515</v>
      </c>
      <c r="E762">
        <v>2498</v>
      </c>
      <c r="F762">
        <v>0.27153722978382699</v>
      </c>
      <c r="L762">
        <v>0</v>
      </c>
      <c r="M762">
        <v>0</v>
      </c>
      <c r="N762">
        <v>0</v>
      </c>
      <c r="O762">
        <v>0</v>
      </c>
    </row>
    <row r="763" spans="1:15">
      <c r="A763" s="19">
        <v>42739</v>
      </c>
      <c r="B763">
        <v>669.8</v>
      </c>
      <c r="C763">
        <v>679.2</v>
      </c>
      <c r="D763">
        <v>2452</v>
      </c>
      <c r="E763">
        <v>2521</v>
      </c>
      <c r="F763">
        <v>0.26941689805632602</v>
      </c>
      <c r="L763">
        <v>0</v>
      </c>
      <c r="M763">
        <v>0</v>
      </c>
      <c r="N763">
        <v>0</v>
      </c>
      <c r="O763">
        <v>0</v>
      </c>
    </row>
    <row r="764" spans="1:15">
      <c r="A764" s="19">
        <v>42734</v>
      </c>
      <c r="B764">
        <v>662</v>
      </c>
      <c r="C764">
        <v>662.8</v>
      </c>
      <c r="D764">
        <v>2426</v>
      </c>
      <c r="E764">
        <v>2440</v>
      </c>
      <c r="F764">
        <v>0.27163934426229502</v>
      </c>
      <c r="L764">
        <v>0</v>
      </c>
      <c r="M764">
        <v>0</v>
      </c>
      <c r="N764">
        <v>0</v>
      </c>
      <c r="O764">
        <v>0</v>
      </c>
    </row>
    <row r="765" spans="1:15">
      <c r="A765" s="19">
        <v>42733</v>
      </c>
      <c r="B765">
        <v>670</v>
      </c>
      <c r="C765">
        <v>666.5</v>
      </c>
      <c r="D765">
        <v>2453</v>
      </c>
      <c r="E765">
        <v>2436</v>
      </c>
      <c r="F765">
        <v>0.27360426929392401</v>
      </c>
      <c r="L765">
        <v>0</v>
      </c>
      <c r="M765">
        <v>0</v>
      </c>
      <c r="N765">
        <v>0</v>
      </c>
      <c r="O765">
        <v>0</v>
      </c>
    </row>
    <row r="766" spans="1:15">
      <c r="A766" s="19">
        <v>42732</v>
      </c>
      <c r="B766">
        <v>672.8</v>
      </c>
      <c r="C766">
        <v>676</v>
      </c>
      <c r="D766">
        <v>2437</v>
      </c>
      <c r="E766">
        <v>2449</v>
      </c>
      <c r="F766">
        <v>0.27603103307472399</v>
      </c>
      <c r="L766">
        <v>0</v>
      </c>
      <c r="M766">
        <v>0</v>
      </c>
      <c r="N766">
        <v>0</v>
      </c>
      <c r="O766">
        <v>0</v>
      </c>
    </row>
    <row r="767" spans="1:15">
      <c r="A767" s="19">
        <v>42731</v>
      </c>
      <c r="B767">
        <v>674.5</v>
      </c>
      <c r="C767">
        <v>674.8</v>
      </c>
      <c r="D767">
        <v>2459</v>
      </c>
      <c r="E767">
        <v>2429</v>
      </c>
      <c r="F767">
        <v>0.27780979827089303</v>
      </c>
      <c r="L767">
        <v>0</v>
      </c>
      <c r="M767">
        <v>0</v>
      </c>
      <c r="N767">
        <v>0</v>
      </c>
      <c r="O767">
        <v>0</v>
      </c>
    </row>
    <row r="768" spans="1:15">
      <c r="A768" s="19">
        <v>42730</v>
      </c>
      <c r="B768">
        <v>682</v>
      </c>
      <c r="C768">
        <v>674.7</v>
      </c>
      <c r="D768">
        <v>2472</v>
      </c>
      <c r="E768">
        <v>2468</v>
      </c>
      <c r="F768">
        <v>0.27337925445705002</v>
      </c>
      <c r="L768">
        <v>0</v>
      </c>
      <c r="M768">
        <v>0</v>
      </c>
      <c r="N768">
        <v>0</v>
      </c>
      <c r="O768">
        <v>0</v>
      </c>
    </row>
    <row r="769" spans="1:15">
      <c r="A769" s="19">
        <v>42726</v>
      </c>
      <c r="B769">
        <v>678</v>
      </c>
      <c r="C769">
        <v>681.8</v>
      </c>
      <c r="D769">
        <v>2453</v>
      </c>
      <c r="E769">
        <v>2458</v>
      </c>
      <c r="F769">
        <v>0.27737998372660699</v>
      </c>
      <c r="L769">
        <v>0</v>
      </c>
      <c r="M769">
        <v>0</v>
      </c>
      <c r="N769">
        <v>0</v>
      </c>
      <c r="O769">
        <v>0</v>
      </c>
    </row>
    <row r="770" spans="1:15">
      <c r="A770" s="19">
        <v>42725</v>
      </c>
      <c r="B770">
        <v>674</v>
      </c>
      <c r="C770">
        <v>676</v>
      </c>
      <c r="D770">
        <v>2491</v>
      </c>
      <c r="E770">
        <v>2459</v>
      </c>
      <c r="F770">
        <v>0.27490849938999501</v>
      </c>
      <c r="L770">
        <v>0</v>
      </c>
      <c r="M770">
        <v>0</v>
      </c>
      <c r="N770">
        <v>0</v>
      </c>
      <c r="O770">
        <v>0</v>
      </c>
    </row>
    <row r="771" spans="1:15">
      <c r="A771" s="19">
        <v>42724</v>
      </c>
      <c r="B771">
        <v>670.1</v>
      </c>
      <c r="C771">
        <v>670.5</v>
      </c>
      <c r="D771">
        <v>2417</v>
      </c>
      <c r="E771">
        <v>2491</v>
      </c>
      <c r="F771">
        <v>0.26916900843034902</v>
      </c>
      <c r="L771">
        <v>0</v>
      </c>
      <c r="M771">
        <v>0</v>
      </c>
      <c r="N771">
        <v>0</v>
      </c>
      <c r="O771">
        <v>0</v>
      </c>
    </row>
    <row r="772" spans="1:15">
      <c r="A772" s="19">
        <v>42723</v>
      </c>
      <c r="B772">
        <v>673.3</v>
      </c>
      <c r="C772">
        <v>674.5</v>
      </c>
      <c r="D772">
        <v>2465</v>
      </c>
      <c r="E772">
        <v>2442</v>
      </c>
      <c r="F772">
        <v>0.27620802620802598</v>
      </c>
      <c r="L772">
        <v>0</v>
      </c>
      <c r="M772">
        <v>0</v>
      </c>
      <c r="N772">
        <v>0</v>
      </c>
      <c r="O772">
        <v>0</v>
      </c>
    </row>
    <row r="773" spans="1:15">
      <c r="A773" s="19">
        <v>42720</v>
      </c>
      <c r="B773">
        <v>679.1</v>
      </c>
      <c r="C773">
        <v>676.1</v>
      </c>
      <c r="D773">
        <v>2468</v>
      </c>
      <c r="E773">
        <v>2461</v>
      </c>
      <c r="F773">
        <v>0.274725721251523</v>
      </c>
      <c r="L773">
        <v>0</v>
      </c>
      <c r="M773">
        <v>0</v>
      </c>
      <c r="N773">
        <v>0</v>
      </c>
      <c r="O773">
        <v>0</v>
      </c>
    </row>
    <row r="774" spans="1:15">
      <c r="A774" s="19">
        <v>42719</v>
      </c>
      <c r="B774">
        <v>677</v>
      </c>
      <c r="C774">
        <v>672.1</v>
      </c>
      <c r="D774">
        <v>2416</v>
      </c>
      <c r="E774">
        <v>2440</v>
      </c>
      <c r="F774">
        <v>0.27545081967213098</v>
      </c>
      <c r="L774">
        <v>0</v>
      </c>
      <c r="M774">
        <v>0</v>
      </c>
      <c r="N774">
        <v>0</v>
      </c>
      <c r="O774">
        <v>0</v>
      </c>
    </row>
    <row r="775" spans="1:15">
      <c r="A775" s="19">
        <v>42718</v>
      </c>
      <c r="B775">
        <v>680</v>
      </c>
      <c r="C775">
        <v>676.8</v>
      </c>
      <c r="D775">
        <v>2425</v>
      </c>
      <c r="E775">
        <v>2407</v>
      </c>
      <c r="F775">
        <v>0.281179891981719</v>
      </c>
      <c r="L775">
        <v>0</v>
      </c>
      <c r="M775">
        <v>0</v>
      </c>
      <c r="N775">
        <v>0</v>
      </c>
      <c r="O775">
        <v>0</v>
      </c>
    </row>
    <row r="776" spans="1:15">
      <c r="A776" s="19">
        <v>42717</v>
      </c>
      <c r="B776">
        <v>675.1</v>
      </c>
      <c r="C776">
        <v>683.9</v>
      </c>
      <c r="D776">
        <v>2394</v>
      </c>
      <c r="E776">
        <v>2424</v>
      </c>
      <c r="F776">
        <v>0.28213696369636898</v>
      </c>
      <c r="L776">
        <v>0</v>
      </c>
      <c r="M776">
        <v>0</v>
      </c>
      <c r="N776">
        <v>0</v>
      </c>
      <c r="O776">
        <v>0</v>
      </c>
    </row>
    <row r="777" spans="1:15">
      <c r="A777" s="19">
        <v>42716</v>
      </c>
      <c r="B777">
        <v>689.9</v>
      </c>
      <c r="C777">
        <v>681.4</v>
      </c>
      <c r="D777">
        <v>2423</v>
      </c>
      <c r="E777">
        <v>2387</v>
      </c>
      <c r="F777">
        <v>0.285462924172601</v>
      </c>
      <c r="L777">
        <v>0</v>
      </c>
      <c r="M777">
        <v>0</v>
      </c>
      <c r="N777">
        <v>0</v>
      </c>
      <c r="O777">
        <v>0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L777"/>
  <sheetViews>
    <sheetView showGridLines="0" tabSelected="1" zoomScale="130" zoomScaleNormal="130" workbookViewId="0">
      <selection activeCell="B39" sqref="B39"/>
    </sheetView>
  </sheetViews>
  <sheetFormatPr defaultRowHeight="14.25"/>
  <cols>
    <col min="1" max="1" width="10.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3"/>
      <c r="G1" s="13"/>
      <c r="H1" s="13"/>
      <c r="I1" s="13"/>
      <c r="J1" s="13"/>
    </row>
    <row r="2" spans="3:11">
      <c r="C2" s="246" t="s">
        <v>166</v>
      </c>
      <c r="D2" s="247"/>
      <c r="E2">
        <v>8804</v>
      </c>
      <c r="G2" s="1" t="s">
        <v>28</v>
      </c>
    </row>
    <row r="3" spans="3:11">
      <c r="C3" s="246" t="s">
        <v>31</v>
      </c>
      <c r="D3" s="247"/>
      <c r="E3">
        <v>5711</v>
      </c>
    </row>
    <row r="4" spans="3:11">
      <c r="C4" s="246" t="s">
        <v>23</v>
      </c>
      <c r="D4" s="247"/>
    </row>
    <row r="5" spans="3:11">
      <c r="C5" s="246" t="s">
        <v>24</v>
      </c>
      <c r="D5" s="247"/>
    </row>
    <row r="6" spans="3:11">
      <c r="C6" s="246" t="s">
        <v>26</v>
      </c>
      <c r="D6" s="247"/>
    </row>
    <row r="7" spans="3:11">
      <c r="C7" s="246" t="s">
        <v>25</v>
      </c>
      <c r="D7" s="247"/>
    </row>
    <row r="8" spans="3:11">
      <c r="C8" s="246" t="s">
        <v>27</v>
      </c>
      <c r="D8" s="247"/>
      <c r="K8" s="1" t="s">
        <v>37</v>
      </c>
    </row>
    <row r="9" spans="3:11">
      <c r="C9" s="246" t="s">
        <v>20</v>
      </c>
      <c r="D9" s="247"/>
      <c r="K9" s="1" t="s">
        <v>38</v>
      </c>
    </row>
    <row r="10" spans="3:11">
      <c r="C10" s="246" t="s">
        <v>9</v>
      </c>
      <c r="D10" s="247"/>
      <c r="K10" s="1" t="s">
        <v>39</v>
      </c>
    </row>
    <row r="11" spans="3:11">
      <c r="K11" s="1" t="s">
        <v>22</v>
      </c>
    </row>
    <row r="16" spans="3:11">
      <c r="C16" s="14" t="s">
        <v>29</v>
      </c>
      <c r="D16" s="14" t="s">
        <v>30</v>
      </c>
      <c r="E16" s="1"/>
    </row>
    <row r="17" spans="2:8">
      <c r="C17">
        <v>333</v>
      </c>
      <c r="D17">
        <v>222</v>
      </c>
    </row>
    <row r="18" spans="2:8">
      <c r="B18" s="3"/>
      <c r="C18" s="15" t="s">
        <v>32</v>
      </c>
      <c r="D18" s="15" t="s">
        <v>33</v>
      </c>
      <c r="E18" s="15" t="s">
        <v>34</v>
      </c>
      <c r="F18" s="15" t="s">
        <v>35</v>
      </c>
      <c r="G18" s="15" t="s">
        <v>36</v>
      </c>
      <c r="H18" s="15" t="s">
        <v>0</v>
      </c>
    </row>
    <row r="19" spans="2:8">
      <c r="B19" s="16">
        <v>43737</v>
      </c>
      <c r="C19" s="3"/>
      <c r="D19" s="3"/>
      <c r="E19" s="3"/>
      <c r="F19" s="3"/>
      <c r="G19" s="3"/>
      <c r="H19" s="3"/>
    </row>
    <row r="20" spans="2:8">
      <c r="B20" s="16">
        <v>43737</v>
      </c>
      <c r="C20" s="3"/>
      <c r="D20" s="3"/>
      <c r="E20" s="3"/>
      <c r="F20" s="3"/>
      <c r="G20" s="3"/>
      <c r="H20" s="3"/>
    </row>
    <row r="21" spans="2:8">
      <c r="B21" s="17"/>
      <c r="C21" s="3"/>
      <c r="D21" s="3"/>
      <c r="E21" s="3"/>
      <c r="F21" s="3"/>
      <c r="G21" s="3"/>
      <c r="H21" s="3"/>
    </row>
    <row r="22" spans="2:8">
      <c r="B22" s="17"/>
      <c r="C22" s="3"/>
      <c r="D22" s="3"/>
      <c r="E22" s="3"/>
      <c r="F22" s="3"/>
      <c r="G22" s="3"/>
      <c r="H22" s="3"/>
    </row>
    <row r="23" spans="2:8">
      <c r="B23" s="17"/>
      <c r="C23" s="3"/>
      <c r="D23" s="3"/>
      <c r="E23" s="3"/>
      <c r="F23" s="3"/>
      <c r="G23" s="3"/>
      <c r="H23" s="3"/>
    </row>
    <row r="24" spans="2:8">
      <c r="B24" s="17"/>
      <c r="C24" s="3"/>
      <c r="D24" s="3"/>
      <c r="E24" s="3"/>
      <c r="F24" s="3"/>
      <c r="G24" s="3"/>
      <c r="H24" s="3"/>
    </row>
    <row r="25" spans="2:8">
      <c r="B25" s="17"/>
      <c r="C25" s="3"/>
      <c r="D25" s="3"/>
      <c r="E25" s="3"/>
      <c r="F25" s="3"/>
      <c r="G25" s="3"/>
      <c r="H25" s="3"/>
    </row>
    <row r="26" spans="2:8">
      <c r="B26" s="17"/>
      <c r="C26" s="3"/>
      <c r="D26" s="3"/>
      <c r="E26" s="3"/>
      <c r="F26" s="3"/>
      <c r="G26" s="3"/>
      <c r="H26" s="3"/>
    </row>
    <row r="41" spans="1:12">
      <c r="A41" s="112" t="s">
        <v>1265</v>
      </c>
      <c r="B41" s="112" t="s">
        <v>1332</v>
      </c>
      <c r="C41" s="112" t="s">
        <v>1333</v>
      </c>
      <c r="D41" s="112" t="s">
        <v>1330</v>
      </c>
      <c r="E41" s="112" t="s">
        <v>1331</v>
      </c>
      <c r="F41" s="112" t="s">
        <v>1266</v>
      </c>
      <c r="G41" s="112" t="s">
        <v>1267</v>
      </c>
      <c r="H41" s="112" t="s">
        <v>1268</v>
      </c>
      <c r="I41" s="112" t="s">
        <v>1269</v>
      </c>
      <c r="J41" s="112" t="s">
        <v>1270</v>
      </c>
      <c r="L41" s="112" t="s">
        <v>1343</v>
      </c>
    </row>
    <row r="42" spans="1:12">
      <c r="A42" s="19">
        <v>43812</v>
      </c>
      <c r="B42">
        <v>834.9</v>
      </c>
      <c r="C42">
        <v>837.7</v>
      </c>
      <c r="D42">
        <v>2740</v>
      </c>
      <c r="E42">
        <v>2739</v>
      </c>
      <c r="F42">
        <v>0.30584154801022201</v>
      </c>
      <c r="G42">
        <v>0.29324587384511103</v>
      </c>
      <c r="H42">
        <v>5.8338032359577597E-3</v>
      </c>
      <c r="I42">
        <v>2.1590845038233999</v>
      </c>
      <c r="J42">
        <v>4.12</v>
      </c>
      <c r="L42">
        <v>824.29526239067047</v>
      </c>
    </row>
    <row r="43" spans="1:12">
      <c r="A43" s="19">
        <v>43811</v>
      </c>
      <c r="B43">
        <v>824</v>
      </c>
      <c r="C43">
        <v>814.9</v>
      </c>
      <c r="D43">
        <v>2726</v>
      </c>
      <c r="E43">
        <v>2711</v>
      </c>
      <c r="F43">
        <v>0.30059018812246402</v>
      </c>
      <c r="G43">
        <v>0.29292682808662301</v>
      </c>
      <c r="H43">
        <v>5.7903835680543202E-3</v>
      </c>
      <c r="I43">
        <v>1.32346328110613</v>
      </c>
      <c r="J43">
        <v>2.5499999999999998</v>
      </c>
      <c r="L43">
        <v>815.86873177842563</v>
      </c>
    </row>
    <row r="44" spans="1:12">
      <c r="A44" s="19">
        <v>43810</v>
      </c>
      <c r="B44">
        <v>827.2</v>
      </c>
      <c r="C44">
        <v>823.4</v>
      </c>
      <c r="D44">
        <v>2733</v>
      </c>
      <c r="E44">
        <v>2721</v>
      </c>
      <c r="F44">
        <v>0.30260933480338098</v>
      </c>
      <c r="G44">
        <v>0.29273520541025699</v>
      </c>
      <c r="H44">
        <v>5.7713793197452096E-3</v>
      </c>
      <c r="I44">
        <v>1.7108786038967101</v>
      </c>
      <c r="J44">
        <v>3.26</v>
      </c>
      <c r="L44">
        <v>818.87820699708448</v>
      </c>
    </row>
    <row r="45" spans="1:12">
      <c r="A45" s="19">
        <v>43809</v>
      </c>
      <c r="B45">
        <v>835</v>
      </c>
      <c r="C45">
        <v>829.2</v>
      </c>
      <c r="D45">
        <v>2751</v>
      </c>
      <c r="E45">
        <v>2752</v>
      </c>
      <c r="F45">
        <v>0.301308139534883</v>
      </c>
      <c r="G45">
        <v>0.29248613858188699</v>
      </c>
      <c r="H45">
        <v>5.7428843067083299E-3</v>
      </c>
      <c r="I45">
        <v>1.53616205409038</v>
      </c>
      <c r="J45">
        <v>2.93</v>
      </c>
      <c r="L45">
        <v>828.20758017492699</v>
      </c>
    </row>
    <row r="46" spans="1:12">
      <c r="A46" s="19">
        <v>43808</v>
      </c>
      <c r="B46">
        <v>830.7</v>
      </c>
      <c r="C46">
        <v>831</v>
      </c>
      <c r="D46">
        <v>2752</v>
      </c>
      <c r="E46">
        <v>2751</v>
      </c>
      <c r="F46">
        <v>0.30207197382769901</v>
      </c>
      <c r="G46">
        <v>0.29220181039522702</v>
      </c>
      <c r="H46">
        <v>5.8263521524913901E-3</v>
      </c>
      <c r="I46">
        <v>1.6940554182346701</v>
      </c>
      <c r="J46">
        <v>3.27</v>
      </c>
      <c r="L46">
        <v>827.90663265306114</v>
      </c>
    </row>
    <row r="47" spans="1:12">
      <c r="A47" s="19">
        <v>43805</v>
      </c>
      <c r="B47">
        <v>826.6</v>
      </c>
      <c r="C47">
        <v>824.9</v>
      </c>
      <c r="D47">
        <v>2724</v>
      </c>
      <c r="E47">
        <v>2724</v>
      </c>
      <c r="F47">
        <v>0.302826725403817</v>
      </c>
      <c r="G47">
        <v>0.29192539884914798</v>
      </c>
      <c r="H47">
        <v>5.8432672798392898E-3</v>
      </c>
      <c r="I47">
        <v>1.86562175450746</v>
      </c>
      <c r="J47">
        <v>3.6</v>
      </c>
      <c r="L47">
        <v>819.78104956268214</v>
      </c>
    </row>
    <row r="48" spans="1:12">
      <c r="A48" s="19">
        <v>43804</v>
      </c>
      <c r="B48">
        <v>819.2</v>
      </c>
      <c r="C48">
        <v>826.1</v>
      </c>
      <c r="D48">
        <v>2725</v>
      </c>
      <c r="E48">
        <v>2730</v>
      </c>
      <c r="F48">
        <v>0.302600732600732</v>
      </c>
      <c r="G48">
        <v>0.29161618786747201</v>
      </c>
      <c r="H48">
        <v>5.8717457915459003E-3</v>
      </c>
      <c r="I48">
        <v>1.87074596265314</v>
      </c>
      <c r="J48">
        <v>3.63</v>
      </c>
      <c r="L48">
        <v>821.58673469387747</v>
      </c>
    </row>
    <row r="49" spans="1:12">
      <c r="A49" s="19">
        <v>43803</v>
      </c>
      <c r="B49">
        <v>809</v>
      </c>
      <c r="C49">
        <v>813.2</v>
      </c>
      <c r="D49">
        <v>2670</v>
      </c>
      <c r="E49">
        <v>2706</v>
      </c>
      <c r="F49">
        <v>0.30051736881005098</v>
      </c>
      <c r="G49">
        <v>0.29132865755151699</v>
      </c>
      <c r="H49">
        <v>5.8547819700548601E-3</v>
      </c>
      <c r="I49">
        <v>1.5694369671716599</v>
      </c>
      <c r="J49">
        <v>3.06</v>
      </c>
      <c r="L49">
        <v>814.36399416909615</v>
      </c>
    </row>
    <row r="50" spans="1:12">
      <c r="A50" s="19">
        <v>43802</v>
      </c>
      <c r="B50">
        <v>814.4</v>
      </c>
      <c r="C50">
        <v>815.2</v>
      </c>
      <c r="D50">
        <v>2687</v>
      </c>
      <c r="E50">
        <v>2685</v>
      </c>
      <c r="F50">
        <v>0.30361266294227102</v>
      </c>
      <c r="G50">
        <v>0.29101670794290002</v>
      </c>
      <c r="H50">
        <v>5.9788603822714097E-3</v>
      </c>
      <c r="I50">
        <v>2.1067484761345101</v>
      </c>
      <c r="J50">
        <v>4.1500000000000004</v>
      </c>
      <c r="L50">
        <v>808.04409620991248</v>
      </c>
    </row>
    <row r="51" spans="1:12">
      <c r="A51" s="19">
        <v>43801</v>
      </c>
      <c r="B51">
        <v>810.7</v>
      </c>
      <c r="C51">
        <v>825.2</v>
      </c>
      <c r="D51">
        <v>2706</v>
      </c>
      <c r="E51">
        <v>2730</v>
      </c>
      <c r="F51">
        <v>0.30227106227106199</v>
      </c>
      <c r="G51">
        <v>0.290654339707899</v>
      </c>
      <c r="H51">
        <v>6.0278535234965401E-3</v>
      </c>
      <c r="I51">
        <v>1.9271739961630401</v>
      </c>
      <c r="J51">
        <v>3.84</v>
      </c>
      <c r="L51">
        <v>821.58673469387747</v>
      </c>
    </row>
    <row r="52" spans="1:12">
      <c r="A52" s="19">
        <v>43798</v>
      </c>
      <c r="B52">
        <v>812</v>
      </c>
      <c r="C52">
        <v>808.2</v>
      </c>
      <c r="D52">
        <v>2724</v>
      </c>
      <c r="E52">
        <v>2715</v>
      </c>
      <c r="F52">
        <v>0.29767955801104901</v>
      </c>
      <c r="G52">
        <v>0.29033560276697801</v>
      </c>
      <c r="H52">
        <v>6.0371814988195898E-3</v>
      </c>
      <c r="I52">
        <v>1.2164542751459899</v>
      </c>
      <c r="J52">
        <v>2.4700000000000002</v>
      </c>
      <c r="L52">
        <v>817.07252186588914</v>
      </c>
    </row>
    <row r="53" spans="1:12">
      <c r="A53" s="19">
        <v>43797</v>
      </c>
      <c r="B53">
        <v>808.9</v>
      </c>
      <c r="C53">
        <v>811.6</v>
      </c>
      <c r="D53">
        <v>2738</v>
      </c>
      <c r="E53">
        <v>2727</v>
      </c>
      <c r="F53">
        <v>0.29761642830949703</v>
      </c>
      <c r="G53">
        <v>0.290063152162989</v>
      </c>
      <c r="H53">
        <v>6.1594481007064099E-3</v>
      </c>
      <c r="I53">
        <v>1.2262910609868001</v>
      </c>
      <c r="J53">
        <v>2.54</v>
      </c>
      <c r="L53">
        <v>820.68389212827981</v>
      </c>
    </row>
    <row r="54" spans="1:12">
      <c r="A54" s="19">
        <v>43796</v>
      </c>
      <c r="B54">
        <v>806.3</v>
      </c>
      <c r="C54">
        <v>809.7</v>
      </c>
      <c r="D54">
        <v>2749</v>
      </c>
      <c r="E54">
        <v>2741</v>
      </c>
      <c r="F54">
        <v>0.29540313754104303</v>
      </c>
      <c r="G54">
        <v>0.28985750572121399</v>
      </c>
      <c r="H54">
        <v>6.1613055553055001E-3</v>
      </c>
      <c r="I54">
        <v>0.90007414338571601</v>
      </c>
      <c r="J54">
        <v>1.88</v>
      </c>
      <c r="L54">
        <v>824.89715743440229</v>
      </c>
    </row>
    <row r="55" spans="1:12">
      <c r="A55" s="19">
        <v>43795</v>
      </c>
      <c r="B55">
        <v>809.9</v>
      </c>
      <c r="C55">
        <v>804.8</v>
      </c>
      <c r="D55">
        <v>2766</v>
      </c>
      <c r="E55">
        <v>2725</v>
      </c>
      <c r="F55">
        <v>0.29533944954128399</v>
      </c>
      <c r="G55">
        <v>0.28980797321836999</v>
      </c>
      <c r="H55">
        <v>6.1313835952478404E-3</v>
      </c>
      <c r="I55">
        <v>0.90215792846519705</v>
      </c>
      <c r="J55">
        <v>1.87</v>
      </c>
      <c r="L55">
        <v>820.08199708454799</v>
      </c>
    </row>
    <row r="56" spans="1:12">
      <c r="A56" s="19">
        <v>43794</v>
      </c>
      <c r="B56">
        <v>806.7</v>
      </c>
      <c r="C56">
        <v>805.2</v>
      </c>
      <c r="D56">
        <v>2743</v>
      </c>
      <c r="E56">
        <v>2758</v>
      </c>
      <c r="F56">
        <v>0.29195068890500298</v>
      </c>
      <c r="G56">
        <v>0.289641910919468</v>
      </c>
      <c r="H56">
        <v>6.1479590344840299E-3</v>
      </c>
      <c r="I56">
        <v>0.375535681449013</v>
      </c>
      <c r="J56">
        <v>0.79</v>
      </c>
      <c r="L56">
        <v>830.01326530612232</v>
      </c>
    </row>
    <row r="57" spans="1:12">
      <c r="A57" s="19">
        <v>43791</v>
      </c>
      <c r="B57">
        <v>798</v>
      </c>
      <c r="C57">
        <v>796.9</v>
      </c>
      <c r="D57">
        <v>2719</v>
      </c>
      <c r="E57">
        <v>2715</v>
      </c>
      <c r="F57">
        <v>0.29351749539594801</v>
      </c>
      <c r="G57">
        <v>0.28950596596804301</v>
      </c>
      <c r="H57">
        <v>6.2078388408545598E-3</v>
      </c>
      <c r="I57">
        <v>0.64620386107711802</v>
      </c>
      <c r="J57">
        <v>1.37</v>
      </c>
      <c r="L57">
        <v>817.07252186588914</v>
      </c>
    </row>
    <row r="58" spans="1:12">
      <c r="A58" s="19">
        <v>43790</v>
      </c>
      <c r="B58">
        <v>794.1</v>
      </c>
      <c r="C58">
        <v>797.4</v>
      </c>
      <c r="D58">
        <v>2689</v>
      </c>
      <c r="E58">
        <v>2707</v>
      </c>
      <c r="F58">
        <v>0.29456963428149202</v>
      </c>
      <c r="G58">
        <v>0.28933795447931898</v>
      </c>
      <c r="H58">
        <v>6.2672289472260698E-3</v>
      </c>
      <c r="I58">
        <v>0.83476762158001305</v>
      </c>
      <c r="J58">
        <v>1.78</v>
      </c>
      <c r="L58">
        <v>814.664941690962</v>
      </c>
    </row>
    <row r="59" spans="1:12">
      <c r="A59" s="19">
        <v>43789</v>
      </c>
      <c r="B59">
        <v>798.5</v>
      </c>
      <c r="C59">
        <v>793.8</v>
      </c>
      <c r="D59">
        <v>2731</v>
      </c>
      <c r="E59">
        <v>2694</v>
      </c>
      <c r="F59">
        <v>0.29465478841870801</v>
      </c>
      <c r="G59">
        <v>0.28911261460260002</v>
      </c>
      <c r="H59">
        <v>6.3779246590546399E-3</v>
      </c>
      <c r="I59">
        <v>0.86896194489220902</v>
      </c>
      <c r="J59">
        <v>1.88</v>
      </c>
      <c r="L59">
        <v>810.75262390670548</v>
      </c>
    </row>
    <row r="60" spans="1:12">
      <c r="A60" s="19">
        <v>43788</v>
      </c>
      <c r="B60">
        <v>808</v>
      </c>
      <c r="C60">
        <v>805</v>
      </c>
      <c r="D60">
        <v>2724</v>
      </c>
      <c r="E60">
        <v>2745</v>
      </c>
      <c r="F60">
        <v>0.29326047358834201</v>
      </c>
      <c r="G60">
        <v>0.288850295329175</v>
      </c>
      <c r="H60">
        <v>6.5469327649552E-3</v>
      </c>
      <c r="I60">
        <v>0.67362510315880797</v>
      </c>
      <c r="J60">
        <v>1.5</v>
      </c>
      <c r="L60">
        <v>826.10094752186581</v>
      </c>
    </row>
    <row r="61" spans="1:12">
      <c r="A61" s="19">
        <v>43787</v>
      </c>
      <c r="B61">
        <v>810</v>
      </c>
      <c r="C61">
        <v>810.6</v>
      </c>
      <c r="D61">
        <v>2755</v>
      </c>
      <c r="E61">
        <v>2743</v>
      </c>
      <c r="F61">
        <v>0.29551585854903301</v>
      </c>
      <c r="G61">
        <v>0.28863608937726398</v>
      </c>
      <c r="H61">
        <v>6.6609598266586202E-3</v>
      </c>
      <c r="I61">
        <v>1.03284952181136</v>
      </c>
      <c r="J61">
        <v>2.33</v>
      </c>
      <c r="L61">
        <v>825.49905247813399</v>
      </c>
    </row>
    <row r="62" spans="1:12">
      <c r="A62" s="19">
        <v>43784</v>
      </c>
      <c r="B62">
        <v>799.9</v>
      </c>
      <c r="C62">
        <v>811</v>
      </c>
      <c r="D62">
        <v>2724</v>
      </c>
      <c r="E62">
        <v>2754</v>
      </c>
      <c r="F62">
        <v>0.29448075526506901</v>
      </c>
      <c r="G62">
        <v>0.28837736227474497</v>
      </c>
      <c r="H62">
        <v>6.7647586157610204E-3</v>
      </c>
      <c r="I62">
        <v>0.90223366966910301</v>
      </c>
      <c r="J62">
        <v>2.0699999999999998</v>
      </c>
      <c r="L62">
        <v>828.8094752186588</v>
      </c>
    </row>
    <row r="63" spans="1:12">
      <c r="A63" s="19">
        <v>43783</v>
      </c>
      <c r="B63">
        <v>802</v>
      </c>
      <c r="C63">
        <v>793.8</v>
      </c>
      <c r="D63">
        <v>2740</v>
      </c>
      <c r="E63">
        <v>2705</v>
      </c>
      <c r="F63">
        <v>0.29345656192236502</v>
      </c>
      <c r="G63">
        <v>0.28817377549150902</v>
      </c>
      <c r="H63">
        <v>6.80763833005784E-3</v>
      </c>
      <c r="I63">
        <v>0.77600867947567298</v>
      </c>
      <c r="J63">
        <v>1.8</v>
      </c>
      <c r="L63">
        <v>814.06304664723029</v>
      </c>
    </row>
    <row r="64" spans="1:12">
      <c r="A64" s="19">
        <v>43782</v>
      </c>
      <c r="B64">
        <v>814</v>
      </c>
      <c r="C64">
        <v>804.7</v>
      </c>
      <c r="D64">
        <v>2761</v>
      </c>
      <c r="E64">
        <v>2744</v>
      </c>
      <c r="F64">
        <v>0.29325801749271102</v>
      </c>
      <c r="G64">
        <v>0.28802737647273102</v>
      </c>
      <c r="H64">
        <v>6.8105189165604697E-3</v>
      </c>
      <c r="I64">
        <v>0.76802385898388903</v>
      </c>
      <c r="J64">
        <v>1.78</v>
      </c>
      <c r="L64">
        <v>825.8</v>
      </c>
    </row>
    <row r="65" spans="1:12">
      <c r="A65" s="19">
        <v>43781</v>
      </c>
      <c r="B65">
        <v>801</v>
      </c>
      <c r="C65">
        <v>815.9</v>
      </c>
      <c r="D65">
        <v>2718</v>
      </c>
      <c r="E65">
        <v>2764</v>
      </c>
      <c r="F65">
        <v>0.29518813314037601</v>
      </c>
      <c r="G65">
        <v>0.28785641128163197</v>
      </c>
      <c r="H65">
        <v>6.8379533469986103E-3</v>
      </c>
      <c r="I65">
        <v>1.0722099854574201</v>
      </c>
      <c r="J65">
        <v>2.48</v>
      </c>
      <c r="L65">
        <v>831.81895043731765</v>
      </c>
    </row>
    <row r="66" spans="1:12">
      <c r="A66" s="19">
        <v>43780</v>
      </c>
      <c r="B66">
        <v>803.2</v>
      </c>
      <c r="C66">
        <v>806.1</v>
      </c>
      <c r="D66">
        <v>2706</v>
      </c>
      <c r="E66">
        <v>2725</v>
      </c>
      <c r="F66">
        <v>0.295816513761467</v>
      </c>
      <c r="G66">
        <v>0.287673228033406</v>
      </c>
      <c r="H66">
        <v>6.8230975594114097E-3</v>
      </c>
      <c r="I66">
        <v>1.1934880979136799</v>
      </c>
      <c r="J66">
        <v>2.75</v>
      </c>
      <c r="L66">
        <v>820.08199708454799</v>
      </c>
    </row>
    <row r="67" spans="1:12">
      <c r="A67" s="19">
        <v>43777</v>
      </c>
      <c r="B67">
        <v>796.9</v>
      </c>
      <c r="C67">
        <v>800.2</v>
      </c>
      <c r="D67">
        <v>2716</v>
      </c>
      <c r="E67">
        <v>2706</v>
      </c>
      <c r="F67">
        <v>0.29571322985957099</v>
      </c>
      <c r="G67">
        <v>0.28743173158532798</v>
      </c>
      <c r="H67">
        <v>6.8510751488620198E-3</v>
      </c>
      <c r="I67">
        <v>1.2087881236594</v>
      </c>
      <c r="J67">
        <v>2.8</v>
      </c>
      <c r="L67">
        <v>814.36399416909615</v>
      </c>
    </row>
    <row r="68" spans="1:12">
      <c r="A68" s="19">
        <v>43776</v>
      </c>
      <c r="B68">
        <v>784</v>
      </c>
      <c r="C68">
        <v>785.8</v>
      </c>
      <c r="D68">
        <v>2731</v>
      </c>
      <c r="E68">
        <v>2656</v>
      </c>
      <c r="F68">
        <v>0.29585843373493897</v>
      </c>
      <c r="G68">
        <v>0.28722810027738099</v>
      </c>
      <c r="H68">
        <v>6.8288321514961602E-3</v>
      </c>
      <c r="I68">
        <v>1.2638081103907799</v>
      </c>
      <c r="J68">
        <v>2.92</v>
      </c>
      <c r="L68">
        <v>799.31661807580167</v>
      </c>
    </row>
    <row r="69" spans="1:12">
      <c r="A69" s="19">
        <v>43775</v>
      </c>
      <c r="B69">
        <v>770</v>
      </c>
      <c r="C69">
        <v>784.8</v>
      </c>
      <c r="D69">
        <v>2721</v>
      </c>
      <c r="E69">
        <v>2713</v>
      </c>
      <c r="F69">
        <v>0.28927386656837401</v>
      </c>
      <c r="G69">
        <v>0.28696368996614002</v>
      </c>
      <c r="H69">
        <v>6.8733251327984402E-3</v>
      </c>
      <c r="I69">
        <v>0.33610756913131101</v>
      </c>
      <c r="J69">
        <v>0.8</v>
      </c>
      <c r="L69">
        <v>816.47062682215733</v>
      </c>
    </row>
    <row r="70" spans="1:12">
      <c r="A70" s="19">
        <v>43774</v>
      </c>
      <c r="B70">
        <v>769</v>
      </c>
      <c r="C70">
        <v>768.5</v>
      </c>
      <c r="D70">
        <v>2648</v>
      </c>
      <c r="E70">
        <v>2699</v>
      </c>
      <c r="F70">
        <v>0.28473508706928402</v>
      </c>
      <c r="G70">
        <v>0.28680500191554498</v>
      </c>
      <c r="H70">
        <v>6.95506031216189E-3</v>
      </c>
      <c r="I70">
        <v>-0.29761278168078398</v>
      </c>
      <c r="J70">
        <v>-0.73</v>
      </c>
      <c r="L70">
        <v>812.25736151603496</v>
      </c>
    </row>
    <row r="71" spans="1:12">
      <c r="A71" s="19">
        <v>43770</v>
      </c>
      <c r="B71">
        <v>758.8</v>
      </c>
      <c r="C71">
        <v>756.1</v>
      </c>
      <c r="D71">
        <v>2609</v>
      </c>
      <c r="E71">
        <v>2622</v>
      </c>
      <c r="F71">
        <v>0.28836765827612498</v>
      </c>
      <c r="G71">
        <v>0.28675789207460001</v>
      </c>
      <c r="H71">
        <v>6.98083960642142E-3</v>
      </c>
      <c r="I71">
        <v>0.23059779228326599</v>
      </c>
      <c r="J71">
        <v>0.56000000000000005</v>
      </c>
      <c r="L71">
        <v>789.08440233236149</v>
      </c>
    </row>
    <row r="72" spans="1:12">
      <c r="A72" s="19">
        <v>43769</v>
      </c>
      <c r="B72">
        <v>762</v>
      </c>
      <c r="C72">
        <v>765.8</v>
      </c>
      <c r="D72">
        <v>2651</v>
      </c>
      <c r="E72">
        <v>2652</v>
      </c>
      <c r="F72">
        <v>0.28876319758672597</v>
      </c>
      <c r="G72">
        <v>0.286646219898335</v>
      </c>
      <c r="H72">
        <v>7.0210696739893396E-3</v>
      </c>
      <c r="I72">
        <v>0.301517829431933</v>
      </c>
      <c r="J72">
        <v>0.73</v>
      </c>
      <c r="L72">
        <v>798.11282798833815</v>
      </c>
    </row>
    <row r="73" spans="1:12">
      <c r="A73" s="19">
        <v>43768</v>
      </c>
      <c r="B73">
        <v>765</v>
      </c>
      <c r="C73">
        <v>766.7</v>
      </c>
      <c r="D73">
        <v>2621</v>
      </c>
      <c r="E73">
        <v>2629</v>
      </c>
      <c r="F73">
        <v>0.291631799163179</v>
      </c>
      <c r="G73">
        <v>0.28659703895538702</v>
      </c>
      <c r="H73">
        <v>7.01898696894544E-3</v>
      </c>
      <c r="I73">
        <v>0.71730582063588999</v>
      </c>
      <c r="J73">
        <v>1.73</v>
      </c>
      <c r="L73">
        <v>791.19103498542268</v>
      </c>
    </row>
    <row r="74" spans="1:12">
      <c r="A74" s="19">
        <v>43767</v>
      </c>
      <c r="B74">
        <v>759</v>
      </c>
      <c r="C74">
        <v>761.9</v>
      </c>
      <c r="D74">
        <v>2630</v>
      </c>
      <c r="E74">
        <v>2627</v>
      </c>
      <c r="F74">
        <v>0.29002664636467401</v>
      </c>
      <c r="G74">
        <v>0.28653497398101502</v>
      </c>
      <c r="H74">
        <v>6.9947313072722802E-3</v>
      </c>
      <c r="I74">
        <v>0.49918606309133201</v>
      </c>
      <c r="J74">
        <v>1.2</v>
      </c>
      <c r="L74">
        <v>790.58913994169086</v>
      </c>
    </row>
    <row r="75" spans="1:12">
      <c r="A75" s="19">
        <v>43766</v>
      </c>
      <c r="B75">
        <v>755</v>
      </c>
      <c r="C75">
        <v>753.8</v>
      </c>
      <c r="D75">
        <v>2598</v>
      </c>
      <c r="E75">
        <v>2595</v>
      </c>
      <c r="F75">
        <v>0.29048169556839998</v>
      </c>
      <c r="G75">
        <v>0.28645853874773197</v>
      </c>
      <c r="H75">
        <v>6.9874763682024697E-3</v>
      </c>
      <c r="I75">
        <v>0.57576678741638299</v>
      </c>
      <c r="J75">
        <v>1.38</v>
      </c>
      <c r="L75">
        <v>780.95881924198238</v>
      </c>
    </row>
    <row r="76" spans="1:12">
      <c r="A76" s="19">
        <v>43763</v>
      </c>
      <c r="B76">
        <v>751.9</v>
      </c>
      <c r="C76">
        <v>753.1</v>
      </c>
      <c r="D76">
        <v>2595</v>
      </c>
      <c r="E76">
        <v>2594</v>
      </c>
      <c r="F76">
        <v>0.29032382420971398</v>
      </c>
      <c r="G76">
        <v>0.28632917638725602</v>
      </c>
      <c r="H76">
        <v>7.00159251693536E-3</v>
      </c>
      <c r="I76">
        <v>0.57053417673136897</v>
      </c>
      <c r="J76">
        <v>1.38</v>
      </c>
      <c r="L76">
        <v>780.65787172011653</v>
      </c>
    </row>
    <row r="77" spans="1:12">
      <c r="A77" s="19">
        <v>43762</v>
      </c>
      <c r="B77">
        <v>753.7</v>
      </c>
      <c r="C77">
        <v>752.5</v>
      </c>
      <c r="D77">
        <v>2619</v>
      </c>
      <c r="E77">
        <v>2593</v>
      </c>
      <c r="F77">
        <v>0.29020439645198598</v>
      </c>
      <c r="G77">
        <v>0.28620841462582303</v>
      </c>
      <c r="H77">
        <v>7.0097552155777999E-3</v>
      </c>
      <c r="I77">
        <v>0.57006010955733699</v>
      </c>
      <c r="J77">
        <v>1.38</v>
      </c>
      <c r="L77">
        <v>780.35692419825068</v>
      </c>
    </row>
    <row r="78" spans="1:12">
      <c r="A78" s="19">
        <v>43761</v>
      </c>
      <c r="B78">
        <v>745.9</v>
      </c>
      <c r="C78">
        <v>748.6</v>
      </c>
      <c r="D78">
        <v>2585</v>
      </c>
      <c r="E78">
        <v>2555</v>
      </c>
      <c r="F78">
        <v>0.29299412915851197</v>
      </c>
      <c r="G78">
        <v>0.28610862102002399</v>
      </c>
      <c r="H78">
        <v>7.0054314521063102E-3</v>
      </c>
      <c r="I78">
        <v>0.98288138076320797</v>
      </c>
      <c r="J78">
        <v>2.35</v>
      </c>
      <c r="L78">
        <v>768.92091836734687</v>
      </c>
    </row>
    <row r="79" spans="1:12">
      <c r="A79" s="19">
        <v>43759</v>
      </c>
      <c r="B79">
        <v>734.7</v>
      </c>
      <c r="C79">
        <v>741.7</v>
      </c>
      <c r="D79">
        <v>2581</v>
      </c>
      <c r="E79">
        <v>2574</v>
      </c>
      <c r="F79">
        <v>0.288150738150738</v>
      </c>
      <c r="G79">
        <v>0.28603343843951901</v>
      </c>
      <c r="H79">
        <v>6.96125049116354E-3</v>
      </c>
      <c r="I79">
        <v>0.30415508160580801</v>
      </c>
      <c r="J79">
        <v>0.73</v>
      </c>
      <c r="L79">
        <v>774.63892128279872</v>
      </c>
    </row>
    <row r="80" spans="1:12">
      <c r="A80" s="19">
        <v>43756</v>
      </c>
      <c r="B80">
        <v>733.2</v>
      </c>
      <c r="C80">
        <v>733.7</v>
      </c>
      <c r="D80">
        <v>2590</v>
      </c>
      <c r="E80">
        <v>2568</v>
      </c>
      <c r="F80">
        <v>0.285708722741433</v>
      </c>
      <c r="G80">
        <v>0.286051433801777</v>
      </c>
      <c r="H80">
        <v>6.9684413750847798E-3</v>
      </c>
      <c r="I80">
        <v>-4.9180446802607601E-2</v>
      </c>
      <c r="J80">
        <v>-0.12</v>
      </c>
      <c r="L80">
        <v>772.83323615160339</v>
      </c>
    </row>
    <row r="81" spans="1:12">
      <c r="A81" s="19">
        <v>43755</v>
      </c>
      <c r="B81">
        <v>736.5</v>
      </c>
      <c r="C81">
        <v>731.6</v>
      </c>
      <c r="D81">
        <v>2605</v>
      </c>
      <c r="E81">
        <v>2573</v>
      </c>
      <c r="F81">
        <v>0.28433734939758998</v>
      </c>
      <c r="G81">
        <v>0.28608772310805097</v>
      </c>
      <c r="H81">
        <v>6.9736470603420303E-3</v>
      </c>
      <c r="I81">
        <v>-0.25099832201361699</v>
      </c>
      <c r="J81">
        <v>-0.62</v>
      </c>
      <c r="L81">
        <v>774.33797376093287</v>
      </c>
    </row>
    <row r="82" spans="1:12">
      <c r="A82" s="19">
        <v>43754</v>
      </c>
      <c r="B82">
        <v>749.5</v>
      </c>
      <c r="C82">
        <v>736</v>
      </c>
      <c r="D82">
        <v>2592</v>
      </c>
      <c r="E82">
        <v>2590</v>
      </c>
      <c r="F82">
        <v>0.28416988416988398</v>
      </c>
      <c r="G82">
        <v>0.28613521659638103</v>
      </c>
      <c r="H82">
        <v>6.9736939523852102E-3</v>
      </c>
      <c r="I82">
        <v>-0.28182085992250799</v>
      </c>
      <c r="J82">
        <v>-0.69</v>
      </c>
      <c r="L82">
        <v>779.45408163265301</v>
      </c>
    </row>
    <row r="83" spans="1:12">
      <c r="A83" s="19">
        <v>43753</v>
      </c>
      <c r="B83">
        <v>744</v>
      </c>
      <c r="C83">
        <v>746.1</v>
      </c>
      <c r="D83">
        <v>2578</v>
      </c>
      <c r="E83">
        <v>2563</v>
      </c>
      <c r="F83">
        <v>0.29110417479516099</v>
      </c>
      <c r="G83">
        <v>0.286236118748316</v>
      </c>
      <c r="H83">
        <v>6.9992290200385403E-3</v>
      </c>
      <c r="I83">
        <v>0.69551318193877198</v>
      </c>
      <c r="J83">
        <v>1.67</v>
      </c>
      <c r="L83">
        <v>771.32849854227402</v>
      </c>
    </row>
    <row r="84" spans="1:12">
      <c r="A84" s="19">
        <v>43749</v>
      </c>
      <c r="B84">
        <v>727.3</v>
      </c>
      <c r="C84">
        <v>734.5</v>
      </c>
      <c r="D84">
        <v>2500</v>
      </c>
      <c r="E84">
        <v>2504</v>
      </c>
      <c r="F84">
        <v>0.29333067092651699</v>
      </c>
      <c r="G84">
        <v>0.28620764359679302</v>
      </c>
      <c r="H84">
        <v>6.9836932451711803E-3</v>
      </c>
      <c r="I84">
        <v>1.0199513466101</v>
      </c>
      <c r="J84">
        <v>2.4300000000000002</v>
      </c>
      <c r="L84">
        <v>753.57259475218655</v>
      </c>
    </row>
    <row r="85" spans="1:12">
      <c r="A85" s="19">
        <v>43748</v>
      </c>
      <c r="B85">
        <v>709.8</v>
      </c>
      <c r="C85">
        <v>717.2</v>
      </c>
      <c r="D85">
        <v>2491</v>
      </c>
      <c r="E85">
        <v>2484</v>
      </c>
      <c r="F85">
        <v>0.28872785829307501</v>
      </c>
      <c r="G85">
        <v>0.28615630068260001</v>
      </c>
      <c r="H85">
        <v>6.9451859873354404E-3</v>
      </c>
      <c r="I85">
        <v>0.37026475823175597</v>
      </c>
      <c r="J85">
        <v>0.89</v>
      </c>
      <c r="L85">
        <v>747.55364431486873</v>
      </c>
    </row>
    <row r="86" spans="1:12">
      <c r="A86" s="19">
        <v>43747</v>
      </c>
      <c r="B86">
        <v>714.1</v>
      </c>
      <c r="C86">
        <v>711.2</v>
      </c>
      <c r="D86">
        <v>2435</v>
      </c>
      <c r="E86">
        <v>2483</v>
      </c>
      <c r="F86">
        <v>0.28642770841723703</v>
      </c>
      <c r="G86">
        <v>0.28616415481454599</v>
      </c>
      <c r="H86">
        <v>6.9484219770390102E-3</v>
      </c>
      <c r="I86">
        <v>3.7929993826168303E-2</v>
      </c>
      <c r="J86">
        <v>0.09</v>
      </c>
      <c r="L86">
        <v>747.25269679300288</v>
      </c>
    </row>
    <row r="87" spans="1:12">
      <c r="A87" s="19">
        <v>43746</v>
      </c>
      <c r="B87">
        <v>710.4</v>
      </c>
      <c r="C87">
        <v>722.7</v>
      </c>
      <c r="D87">
        <v>2468</v>
      </c>
      <c r="E87">
        <v>2461</v>
      </c>
      <c r="F87">
        <v>0.293661113368549</v>
      </c>
      <c r="G87">
        <v>0.28611200750409299</v>
      </c>
      <c r="H87">
        <v>6.9609131624370603E-3</v>
      </c>
      <c r="I87">
        <v>1.0844993592496599</v>
      </c>
      <c r="J87">
        <v>2.57</v>
      </c>
      <c r="L87">
        <v>740.63185131195326</v>
      </c>
    </row>
    <row r="88" spans="1:12">
      <c r="A88" s="19">
        <v>43745</v>
      </c>
      <c r="B88">
        <v>698.5</v>
      </c>
      <c r="C88">
        <v>694.6</v>
      </c>
      <c r="D88">
        <v>2426</v>
      </c>
      <c r="E88">
        <v>2420</v>
      </c>
      <c r="F88">
        <v>0.28702479338842901</v>
      </c>
      <c r="G88">
        <v>0.28599639603799698</v>
      </c>
      <c r="H88">
        <v>6.9063644909934697E-3</v>
      </c>
      <c r="I88">
        <v>0.14890574509551399</v>
      </c>
      <c r="J88">
        <v>0.36</v>
      </c>
      <c r="L88">
        <v>728.29300291545178</v>
      </c>
    </row>
    <row r="89" spans="1:12">
      <c r="A89" s="19">
        <v>43742</v>
      </c>
      <c r="B89">
        <v>694.9</v>
      </c>
      <c r="C89">
        <v>694.1</v>
      </c>
      <c r="D89">
        <v>2410</v>
      </c>
      <c r="E89">
        <v>2423</v>
      </c>
      <c r="F89">
        <v>0.28646306231943802</v>
      </c>
      <c r="G89">
        <v>0.28587257339599198</v>
      </c>
      <c r="H89">
        <v>6.9697750453176699E-3</v>
      </c>
      <c r="I89">
        <v>8.4721374736861796E-2</v>
      </c>
      <c r="J89">
        <v>0.21</v>
      </c>
      <c r="L89">
        <v>729.19584548104945</v>
      </c>
    </row>
    <row r="90" spans="1:12">
      <c r="A90" s="19">
        <v>43741</v>
      </c>
      <c r="B90">
        <v>700</v>
      </c>
      <c r="C90">
        <v>699.6</v>
      </c>
      <c r="D90">
        <v>2417</v>
      </c>
      <c r="E90">
        <v>2416</v>
      </c>
      <c r="F90">
        <v>0.28956953642384098</v>
      </c>
      <c r="G90">
        <v>0.285785458424207</v>
      </c>
      <c r="H90">
        <v>7.0026045644033799E-3</v>
      </c>
      <c r="I90">
        <v>0.54038150588563505</v>
      </c>
      <c r="J90">
        <v>1.31</v>
      </c>
      <c r="L90">
        <v>727.08921282798826</v>
      </c>
    </row>
    <row r="91" spans="1:12">
      <c r="A91" s="19">
        <v>43740</v>
      </c>
      <c r="B91">
        <v>714.3</v>
      </c>
      <c r="C91">
        <v>712.7</v>
      </c>
      <c r="D91">
        <v>2481</v>
      </c>
      <c r="E91">
        <v>2497</v>
      </c>
      <c r="F91">
        <v>0.28542250700840999</v>
      </c>
      <c r="G91">
        <v>0.28562495812481897</v>
      </c>
      <c r="H91">
        <v>7.0518114689331101E-3</v>
      </c>
      <c r="I91">
        <v>-2.87090937273114E-2</v>
      </c>
      <c r="J91">
        <v>-7.0000000000000007E-2</v>
      </c>
      <c r="L91">
        <v>751.46596209912525</v>
      </c>
    </row>
    <row r="92" spans="1:12">
      <c r="A92" s="19">
        <v>43739</v>
      </c>
      <c r="B92">
        <v>718.4</v>
      </c>
      <c r="C92">
        <v>729.3</v>
      </c>
      <c r="D92">
        <v>2462</v>
      </c>
      <c r="E92">
        <v>2496</v>
      </c>
      <c r="F92">
        <v>0.29218749999999999</v>
      </c>
      <c r="G92">
        <v>0.28554067886470602</v>
      </c>
      <c r="H92">
        <v>7.0913885372802504E-3</v>
      </c>
      <c r="I92">
        <v>0.93730883597055303</v>
      </c>
      <c r="J92">
        <v>2.27</v>
      </c>
      <c r="L92">
        <v>751.1650145772594</v>
      </c>
    </row>
    <row r="93" spans="1:12">
      <c r="A93" s="19">
        <v>43738</v>
      </c>
      <c r="B93">
        <v>724</v>
      </c>
      <c r="C93">
        <v>717.7</v>
      </c>
      <c r="D93">
        <v>2478</v>
      </c>
      <c r="E93">
        <v>2460</v>
      </c>
      <c r="F93">
        <v>0.29174796747967402</v>
      </c>
      <c r="G93">
        <v>0.28538782359986098</v>
      </c>
      <c r="H93">
        <v>7.0699913963151598E-3</v>
      </c>
      <c r="I93">
        <v>0.89959711734985104</v>
      </c>
      <c r="J93">
        <v>2.1800000000000002</v>
      </c>
      <c r="L93">
        <v>740.3309037900874</v>
      </c>
    </row>
    <row r="94" spans="1:12">
      <c r="A94" s="19">
        <v>43735</v>
      </c>
      <c r="B94">
        <v>736</v>
      </c>
      <c r="C94">
        <v>727.9</v>
      </c>
      <c r="D94">
        <v>2543</v>
      </c>
      <c r="E94">
        <v>2500</v>
      </c>
      <c r="F94">
        <v>0.29115999999999997</v>
      </c>
      <c r="G94">
        <v>0.28520772724334198</v>
      </c>
      <c r="H94">
        <v>7.07771633292229E-3</v>
      </c>
      <c r="I94">
        <v>0.84098775320655506</v>
      </c>
      <c r="J94">
        <v>2.04</v>
      </c>
      <c r="L94">
        <v>752.36880466472292</v>
      </c>
    </row>
    <row r="95" spans="1:12">
      <c r="A95" s="19">
        <v>43734</v>
      </c>
      <c r="B95">
        <v>755.2</v>
      </c>
      <c r="C95">
        <v>755.9</v>
      </c>
      <c r="D95">
        <v>2629</v>
      </c>
      <c r="E95">
        <v>2592</v>
      </c>
      <c r="F95">
        <v>0.29162808641975302</v>
      </c>
      <c r="G95">
        <v>0.28494632780787899</v>
      </c>
      <c r="H95">
        <v>7.2137800224544597E-3</v>
      </c>
      <c r="I95">
        <v>0.92624928831701903</v>
      </c>
      <c r="J95">
        <v>2.29</v>
      </c>
      <c r="L95">
        <v>780.05597667638472</v>
      </c>
    </row>
    <row r="96" spans="1:12">
      <c r="A96" s="19">
        <v>43733</v>
      </c>
      <c r="B96">
        <v>743.1</v>
      </c>
      <c r="C96">
        <v>752.9</v>
      </c>
      <c r="D96">
        <v>2515</v>
      </c>
      <c r="E96">
        <v>2536</v>
      </c>
      <c r="F96">
        <v>0.29688485804416398</v>
      </c>
      <c r="G96">
        <v>0.28476201060151801</v>
      </c>
      <c r="H96">
        <v>7.2173045979791002E-3</v>
      </c>
      <c r="I96">
        <v>1.6796918126525799</v>
      </c>
      <c r="J96">
        <v>4.08</v>
      </c>
      <c r="L96">
        <v>763.20291545189502</v>
      </c>
    </row>
    <row r="97" spans="1:12">
      <c r="A97" s="19">
        <v>43732</v>
      </c>
      <c r="B97">
        <v>751</v>
      </c>
      <c r="C97">
        <v>752.9</v>
      </c>
      <c r="D97">
        <v>2511</v>
      </c>
      <c r="E97">
        <v>2500</v>
      </c>
      <c r="F97">
        <v>0.30115999999999998</v>
      </c>
      <c r="G97">
        <v>0.28448524908774198</v>
      </c>
      <c r="H97">
        <v>7.1447451787004998E-3</v>
      </c>
      <c r="I97">
        <v>2.3338482332395598</v>
      </c>
      <c r="J97">
        <v>5.54</v>
      </c>
      <c r="L97">
        <v>752.36880466472292</v>
      </c>
    </row>
    <row r="98" spans="1:12">
      <c r="A98" s="19">
        <v>43728</v>
      </c>
      <c r="B98">
        <v>758</v>
      </c>
      <c r="C98">
        <v>754</v>
      </c>
      <c r="D98">
        <v>2582</v>
      </c>
      <c r="E98">
        <v>2515</v>
      </c>
      <c r="F98">
        <v>0.29980119284294199</v>
      </c>
      <c r="G98">
        <v>0.28413354134256702</v>
      </c>
      <c r="H98">
        <v>6.96216795203614E-3</v>
      </c>
      <c r="I98">
        <v>2.25039838284754</v>
      </c>
      <c r="J98">
        <v>5.23</v>
      </c>
      <c r="L98">
        <v>756.88301749271125</v>
      </c>
    </row>
    <row r="99" spans="1:12">
      <c r="A99" s="19">
        <v>43727</v>
      </c>
      <c r="B99">
        <v>755</v>
      </c>
      <c r="C99">
        <v>753.2</v>
      </c>
      <c r="D99">
        <v>2525</v>
      </c>
      <c r="E99">
        <v>2564</v>
      </c>
      <c r="F99">
        <v>0.29375975039001501</v>
      </c>
      <c r="G99">
        <v>0.28387477564308</v>
      </c>
      <c r="H99">
        <v>6.7318866484680504E-3</v>
      </c>
      <c r="I99">
        <v>1.46838104429228</v>
      </c>
      <c r="J99">
        <v>3.36</v>
      </c>
      <c r="L99">
        <v>771.62944606413987</v>
      </c>
    </row>
    <row r="100" spans="1:12">
      <c r="A100" s="19">
        <v>43726</v>
      </c>
      <c r="B100">
        <v>763.2</v>
      </c>
      <c r="C100">
        <v>753.8</v>
      </c>
      <c r="D100">
        <v>2529</v>
      </c>
      <c r="E100">
        <v>2492</v>
      </c>
      <c r="F100">
        <v>0.30248796147672502</v>
      </c>
      <c r="G100">
        <v>0.28360673032843398</v>
      </c>
      <c r="H100">
        <v>6.7331886225831597E-3</v>
      </c>
      <c r="I100">
        <v>2.80420350693332</v>
      </c>
      <c r="J100">
        <v>6.24</v>
      </c>
      <c r="L100">
        <v>749.96122448979588</v>
      </c>
    </row>
    <row r="101" spans="1:12">
      <c r="A101" s="19">
        <v>43725</v>
      </c>
      <c r="B101">
        <v>753.9</v>
      </c>
      <c r="C101">
        <v>766.7</v>
      </c>
      <c r="D101">
        <v>2543</v>
      </c>
      <c r="E101">
        <v>2529</v>
      </c>
      <c r="F101">
        <v>0.30316330565440802</v>
      </c>
      <c r="G101">
        <v>0.28326711243375402</v>
      </c>
      <c r="H101">
        <v>6.4067311750070997E-3</v>
      </c>
      <c r="I101">
        <v>3.1055139785277501</v>
      </c>
      <c r="J101">
        <v>6.56</v>
      </c>
      <c r="L101">
        <v>761.09628279883373</v>
      </c>
    </row>
    <row r="102" spans="1:12">
      <c r="A102" s="19">
        <v>43721</v>
      </c>
      <c r="B102">
        <v>754.7</v>
      </c>
      <c r="C102">
        <v>748.8</v>
      </c>
      <c r="D102">
        <v>2512</v>
      </c>
      <c r="E102">
        <v>2519</v>
      </c>
      <c r="F102">
        <v>0.29726081778483499</v>
      </c>
      <c r="G102">
        <v>0.28293656045732501</v>
      </c>
      <c r="H102">
        <v>5.99819418148288E-3</v>
      </c>
      <c r="I102">
        <v>2.3880949656032602</v>
      </c>
      <c r="J102">
        <v>4.82</v>
      </c>
      <c r="L102">
        <v>758.08680758017488</v>
      </c>
    </row>
    <row r="103" spans="1:12">
      <c r="A103" s="19">
        <v>43720</v>
      </c>
      <c r="B103">
        <v>750</v>
      </c>
      <c r="C103">
        <v>747.5</v>
      </c>
      <c r="D103">
        <v>2494</v>
      </c>
      <c r="E103">
        <v>2494</v>
      </c>
      <c r="F103">
        <v>0.29971932638331999</v>
      </c>
      <c r="G103">
        <v>0.28262032949500099</v>
      </c>
      <c r="H103">
        <v>5.8582365668910603E-3</v>
      </c>
      <c r="I103">
        <v>2.91879590267096</v>
      </c>
      <c r="J103">
        <v>5.71</v>
      </c>
      <c r="L103">
        <v>750.56311953352758</v>
      </c>
    </row>
    <row r="104" spans="1:12">
      <c r="A104" s="19">
        <v>43719</v>
      </c>
      <c r="B104">
        <v>733.9</v>
      </c>
      <c r="C104">
        <v>740.5</v>
      </c>
      <c r="D104">
        <v>2431</v>
      </c>
      <c r="E104">
        <v>2467</v>
      </c>
      <c r="F104">
        <v>0.30016214025131699</v>
      </c>
      <c r="G104">
        <v>0.28230997179662498</v>
      </c>
      <c r="H104">
        <v>5.5527601880244496E-3</v>
      </c>
      <c r="I104">
        <v>3.21500800506259</v>
      </c>
      <c r="J104">
        <v>5.95</v>
      </c>
      <c r="L104">
        <v>742.43753644314859</v>
      </c>
    </row>
    <row r="105" spans="1:12">
      <c r="A105" s="19">
        <v>43718</v>
      </c>
      <c r="B105">
        <v>711</v>
      </c>
      <c r="C105">
        <v>725.4</v>
      </c>
      <c r="D105">
        <v>2448</v>
      </c>
      <c r="E105">
        <v>2423</v>
      </c>
      <c r="F105">
        <v>0.29938093272802302</v>
      </c>
      <c r="G105">
        <v>0.281975925296027</v>
      </c>
      <c r="H105">
        <v>5.2118787094994398E-3</v>
      </c>
      <c r="I105">
        <v>3.33948819650624</v>
      </c>
      <c r="J105">
        <v>5.81</v>
      </c>
      <c r="L105">
        <v>729.19584548104945</v>
      </c>
    </row>
    <row r="106" spans="1:12">
      <c r="A106" s="19">
        <v>43717</v>
      </c>
      <c r="B106">
        <v>695.9</v>
      </c>
      <c r="C106">
        <v>701.4</v>
      </c>
      <c r="D106">
        <v>2408</v>
      </c>
      <c r="E106">
        <v>2428</v>
      </c>
      <c r="F106">
        <v>0.28887973640856601</v>
      </c>
      <c r="G106">
        <v>0.28167214544751301</v>
      </c>
      <c r="H106">
        <v>4.8392128669090496E-3</v>
      </c>
      <c r="I106">
        <v>1.48941391074973</v>
      </c>
      <c r="J106">
        <v>2.5</v>
      </c>
      <c r="L106">
        <v>730.70058309037893</v>
      </c>
    </row>
    <row r="107" spans="1:12">
      <c r="A107" s="19">
        <v>43714</v>
      </c>
      <c r="B107">
        <v>693.5</v>
      </c>
      <c r="C107">
        <v>695.7</v>
      </c>
      <c r="D107">
        <v>2444</v>
      </c>
      <c r="E107">
        <v>2407</v>
      </c>
      <c r="F107">
        <v>0.28903199002908098</v>
      </c>
      <c r="G107">
        <v>0.281557384353672</v>
      </c>
      <c r="H107">
        <v>4.7684659133487798E-3</v>
      </c>
      <c r="I107">
        <v>1.5675074145932999</v>
      </c>
      <c r="J107">
        <v>2.59</v>
      </c>
      <c r="L107">
        <v>724.38068513119526</v>
      </c>
    </row>
    <row r="108" spans="1:12">
      <c r="A108" s="19">
        <v>43713</v>
      </c>
      <c r="B108">
        <v>675.4</v>
      </c>
      <c r="C108">
        <v>685</v>
      </c>
      <c r="D108">
        <v>2360</v>
      </c>
      <c r="E108">
        <v>2414</v>
      </c>
      <c r="F108">
        <v>0.28376139188069499</v>
      </c>
      <c r="G108">
        <v>0.28142953568608697</v>
      </c>
      <c r="H108">
        <v>4.6943137163551196E-3</v>
      </c>
      <c r="I108">
        <v>0.49674059628440198</v>
      </c>
      <c r="J108">
        <v>0.82</v>
      </c>
      <c r="L108">
        <v>726.48731778425645</v>
      </c>
    </row>
    <row r="109" spans="1:12">
      <c r="A109" s="19">
        <v>43712</v>
      </c>
      <c r="B109">
        <v>674.9</v>
      </c>
      <c r="C109">
        <v>670.3</v>
      </c>
      <c r="D109">
        <v>2331</v>
      </c>
      <c r="E109">
        <v>2328</v>
      </c>
      <c r="F109">
        <v>0.28792955326460401</v>
      </c>
      <c r="G109">
        <v>0.281281654741878</v>
      </c>
      <c r="H109">
        <v>4.7922016158316602E-3</v>
      </c>
      <c r="I109">
        <v>1.3872326449630601</v>
      </c>
      <c r="J109">
        <v>2.31</v>
      </c>
      <c r="L109">
        <v>700.60583090378998</v>
      </c>
    </row>
    <row r="110" spans="1:12">
      <c r="A110" s="19">
        <v>43711</v>
      </c>
      <c r="B110">
        <v>670.6</v>
      </c>
      <c r="C110">
        <v>677.3</v>
      </c>
      <c r="D110">
        <v>2332</v>
      </c>
      <c r="E110">
        <v>2347</v>
      </c>
      <c r="F110">
        <v>0.28858116744780499</v>
      </c>
      <c r="G110">
        <v>0.28102348771427199</v>
      </c>
      <c r="H110">
        <v>4.9461880039563099E-3</v>
      </c>
      <c r="I110">
        <v>1.52798068481997</v>
      </c>
      <c r="J110">
        <v>2.62</v>
      </c>
      <c r="L110">
        <v>706.32383381924194</v>
      </c>
    </row>
    <row r="111" spans="1:12">
      <c r="A111" s="19">
        <v>43710</v>
      </c>
      <c r="B111">
        <v>673.8</v>
      </c>
      <c r="C111">
        <v>671.7</v>
      </c>
      <c r="D111">
        <v>2362</v>
      </c>
      <c r="E111">
        <v>2331</v>
      </c>
      <c r="F111">
        <v>0.28815958815958798</v>
      </c>
      <c r="G111">
        <v>0.28084564424313202</v>
      </c>
      <c r="H111">
        <v>4.9109166142517801E-3</v>
      </c>
      <c r="I111">
        <v>1.48932358069983</v>
      </c>
      <c r="J111">
        <v>2.54</v>
      </c>
      <c r="L111">
        <v>701.50867346938765</v>
      </c>
    </row>
    <row r="112" spans="1:12">
      <c r="A112" s="19">
        <v>43707</v>
      </c>
      <c r="B112">
        <v>671.6</v>
      </c>
      <c r="C112">
        <v>678.1</v>
      </c>
      <c r="D112">
        <v>2360</v>
      </c>
      <c r="E112">
        <v>2368</v>
      </c>
      <c r="F112">
        <v>0.28635979729729699</v>
      </c>
      <c r="G112">
        <v>0.28067490004880302</v>
      </c>
      <c r="H112">
        <v>4.8761501188696E-3</v>
      </c>
      <c r="I112">
        <v>1.1658577176479199</v>
      </c>
      <c r="J112">
        <v>1.99</v>
      </c>
      <c r="L112">
        <v>712.6437317784256</v>
      </c>
    </row>
    <row r="113" spans="1:12">
      <c r="A113" s="19">
        <v>43706</v>
      </c>
      <c r="B113">
        <v>666.3</v>
      </c>
      <c r="C113">
        <v>668.5</v>
      </c>
      <c r="D113">
        <v>2313</v>
      </c>
      <c r="E113">
        <v>2328</v>
      </c>
      <c r="F113">
        <v>0.28715635738831602</v>
      </c>
      <c r="G113">
        <v>0.28057798153938401</v>
      </c>
      <c r="H113">
        <v>4.8342520682453103E-3</v>
      </c>
      <c r="I113">
        <v>1.3607846169508899</v>
      </c>
      <c r="J113">
        <v>2.29</v>
      </c>
      <c r="L113">
        <v>700.60583090378998</v>
      </c>
    </row>
    <row r="114" spans="1:12">
      <c r="A114" s="19">
        <v>43705</v>
      </c>
      <c r="B114">
        <v>666.6</v>
      </c>
      <c r="C114">
        <v>664.3</v>
      </c>
      <c r="D114">
        <v>2354</v>
      </c>
      <c r="E114">
        <v>2317</v>
      </c>
      <c r="F114">
        <v>0.28670694864048302</v>
      </c>
      <c r="G114">
        <v>0.28044347754646798</v>
      </c>
      <c r="H114">
        <v>4.7894796592461101E-3</v>
      </c>
      <c r="I114">
        <v>1.3077560694767201</v>
      </c>
      <c r="J114">
        <v>2.1800000000000002</v>
      </c>
      <c r="L114">
        <v>697.29540816326528</v>
      </c>
    </row>
    <row r="115" spans="1:12">
      <c r="A115" s="19">
        <v>43704</v>
      </c>
      <c r="B115">
        <v>671</v>
      </c>
      <c r="C115">
        <v>666.1</v>
      </c>
      <c r="D115">
        <v>2368</v>
      </c>
      <c r="E115">
        <v>2347</v>
      </c>
      <c r="F115">
        <v>0.28380911802300801</v>
      </c>
      <c r="G115">
        <v>0.28037372629684398</v>
      </c>
      <c r="H115">
        <v>4.7355435865097497E-3</v>
      </c>
      <c r="I115">
        <v>0.72544823279626502</v>
      </c>
      <c r="J115">
        <v>1.21</v>
      </c>
      <c r="L115">
        <v>706.32383381924194</v>
      </c>
    </row>
    <row r="116" spans="1:12">
      <c r="A116" s="19">
        <v>43703</v>
      </c>
      <c r="B116">
        <v>659.4</v>
      </c>
      <c r="C116">
        <v>664.3</v>
      </c>
      <c r="D116">
        <v>2304</v>
      </c>
      <c r="E116">
        <v>2338</v>
      </c>
      <c r="F116">
        <v>0.28413173652694601</v>
      </c>
      <c r="G116">
        <v>0.28050514016815198</v>
      </c>
      <c r="H116">
        <v>4.9604677324259303E-3</v>
      </c>
      <c r="I116">
        <v>0.73109967737264803</v>
      </c>
      <c r="J116">
        <v>1.28</v>
      </c>
      <c r="L116">
        <v>703.61530612244894</v>
      </c>
    </row>
    <row r="117" spans="1:12">
      <c r="A117" s="19">
        <v>43700</v>
      </c>
      <c r="B117">
        <v>675.1</v>
      </c>
      <c r="C117">
        <v>674.9</v>
      </c>
      <c r="D117">
        <v>2384</v>
      </c>
      <c r="E117">
        <v>2394</v>
      </c>
      <c r="F117">
        <v>0.281913116123642</v>
      </c>
      <c r="G117">
        <v>0.28065983979269199</v>
      </c>
      <c r="H117">
        <v>5.2439748643774101E-3</v>
      </c>
      <c r="I117">
        <v>0.23899358089282299</v>
      </c>
      <c r="J117">
        <v>0.44</v>
      </c>
      <c r="L117">
        <v>720.46836734693875</v>
      </c>
    </row>
    <row r="118" spans="1:12">
      <c r="A118" s="19">
        <v>43699</v>
      </c>
      <c r="B118">
        <v>669.7</v>
      </c>
      <c r="C118">
        <v>681.2</v>
      </c>
      <c r="D118">
        <v>2389</v>
      </c>
      <c r="E118">
        <v>2380</v>
      </c>
      <c r="F118">
        <v>0.28621848739495798</v>
      </c>
      <c r="G118">
        <v>0.280879800576121</v>
      </c>
      <c r="H118">
        <v>5.6241389463339104E-3</v>
      </c>
      <c r="I118">
        <v>0.949245185757149</v>
      </c>
      <c r="J118">
        <v>1.87</v>
      </c>
      <c r="L118">
        <v>716.25510204081627</v>
      </c>
    </row>
    <row r="119" spans="1:12">
      <c r="A119" s="19">
        <v>43698</v>
      </c>
      <c r="B119">
        <v>670.1</v>
      </c>
      <c r="C119">
        <v>674.9</v>
      </c>
      <c r="D119">
        <v>2391</v>
      </c>
      <c r="E119">
        <v>2377</v>
      </c>
      <c r="F119">
        <v>0.28392932267564103</v>
      </c>
      <c r="G119">
        <v>0.28105269715623399</v>
      </c>
      <c r="H119">
        <v>5.9740370858335301E-3</v>
      </c>
      <c r="I119">
        <v>0.48152120217475802</v>
      </c>
      <c r="J119">
        <v>1.01</v>
      </c>
      <c r="L119">
        <v>715.3522594752186</v>
      </c>
    </row>
    <row r="120" spans="1:12">
      <c r="A120" s="19">
        <v>43697</v>
      </c>
      <c r="B120">
        <v>674.5</v>
      </c>
      <c r="C120">
        <v>679.8</v>
      </c>
      <c r="D120">
        <v>2411</v>
      </c>
      <c r="E120">
        <v>2428</v>
      </c>
      <c r="F120">
        <v>0.27998352553542</v>
      </c>
      <c r="G120">
        <v>0.28131792177759601</v>
      </c>
      <c r="H120">
        <v>6.5131011288601E-3</v>
      </c>
      <c r="I120">
        <v>-0.20487878443399099</v>
      </c>
      <c r="J120">
        <v>-0.48</v>
      </c>
      <c r="L120">
        <v>730.70058309037893</v>
      </c>
    </row>
    <row r="121" spans="1:12">
      <c r="A121" s="19">
        <v>43696</v>
      </c>
      <c r="B121">
        <v>665.9</v>
      </c>
      <c r="C121">
        <v>675.5</v>
      </c>
      <c r="D121">
        <v>2408</v>
      </c>
      <c r="E121">
        <v>2401</v>
      </c>
      <c r="F121">
        <v>0.28134110787172001</v>
      </c>
      <c r="G121">
        <v>0.28152528429426699</v>
      </c>
      <c r="H121">
        <v>6.7118567158729603E-3</v>
      </c>
      <c r="I121">
        <v>-2.7440458034730001E-2</v>
      </c>
      <c r="J121">
        <v>-7.0000000000000007E-2</v>
      </c>
      <c r="L121">
        <v>722.57499999999993</v>
      </c>
    </row>
    <row r="122" spans="1:12">
      <c r="A122" s="19">
        <v>43693</v>
      </c>
      <c r="B122">
        <v>656.3</v>
      </c>
      <c r="C122">
        <v>660.5</v>
      </c>
      <c r="D122">
        <v>2337</v>
      </c>
      <c r="E122">
        <v>2362</v>
      </c>
      <c r="F122">
        <v>0.27963590177815401</v>
      </c>
      <c r="G122">
        <v>0.28175945626993498</v>
      </c>
      <c r="H122">
        <v>7.0014758951867598E-3</v>
      </c>
      <c r="I122">
        <v>-0.303300978760984</v>
      </c>
      <c r="J122">
        <v>-0.76</v>
      </c>
      <c r="L122">
        <v>710.83804664723027</v>
      </c>
    </row>
    <row r="123" spans="1:12">
      <c r="A123" s="19">
        <v>43692</v>
      </c>
      <c r="B123">
        <v>641.29999999999995</v>
      </c>
      <c r="C123">
        <v>656.5</v>
      </c>
      <c r="D123">
        <v>2320</v>
      </c>
      <c r="E123">
        <v>2336</v>
      </c>
      <c r="F123">
        <v>0.28103595890410898</v>
      </c>
      <c r="G123">
        <v>0.282050789367574</v>
      </c>
      <c r="H123">
        <v>7.3528286634726298E-3</v>
      </c>
      <c r="I123">
        <v>-0.13801905496670799</v>
      </c>
      <c r="J123">
        <v>-0.36</v>
      </c>
      <c r="L123">
        <v>703.01341107871713</v>
      </c>
    </row>
    <row r="124" spans="1:12">
      <c r="A124" s="19">
        <v>43691</v>
      </c>
      <c r="B124">
        <v>650.5</v>
      </c>
      <c r="C124">
        <v>656.5</v>
      </c>
      <c r="D124">
        <v>2360</v>
      </c>
      <c r="E124">
        <v>2369</v>
      </c>
      <c r="F124">
        <v>0.27712114816378203</v>
      </c>
      <c r="G124">
        <v>0.28237155152200599</v>
      </c>
      <c r="H124">
        <v>7.8119645135950799E-3</v>
      </c>
      <c r="I124">
        <v>-0.67209769694764898</v>
      </c>
      <c r="J124">
        <v>-1.89</v>
      </c>
      <c r="L124">
        <v>712.94467930029145</v>
      </c>
    </row>
    <row r="125" spans="1:12">
      <c r="A125" s="19">
        <v>43690</v>
      </c>
      <c r="B125">
        <v>650</v>
      </c>
      <c r="C125">
        <v>640.5</v>
      </c>
      <c r="D125">
        <v>2317</v>
      </c>
      <c r="E125">
        <v>2317</v>
      </c>
      <c r="F125">
        <v>0.27643504531722002</v>
      </c>
      <c r="G125">
        <v>0.282708094943314</v>
      </c>
      <c r="H125">
        <v>8.1162898697825607E-3</v>
      </c>
      <c r="I125">
        <v>-0.77289620340556398</v>
      </c>
      <c r="J125">
        <v>-2.27</v>
      </c>
      <c r="L125">
        <v>697.29540816326528</v>
      </c>
    </row>
    <row r="126" spans="1:12">
      <c r="A126" s="19">
        <v>43686</v>
      </c>
      <c r="B126">
        <v>658.9</v>
      </c>
      <c r="C126">
        <v>657.5</v>
      </c>
      <c r="D126">
        <v>2384</v>
      </c>
      <c r="E126">
        <v>2362</v>
      </c>
      <c r="F126">
        <v>0.27836579170194697</v>
      </c>
      <c r="G126">
        <v>0.28303495416944302</v>
      </c>
      <c r="H126">
        <v>8.3474120260134295E-3</v>
      </c>
      <c r="I126">
        <v>-0.55935449848945595</v>
      </c>
      <c r="J126">
        <v>-1.68</v>
      </c>
      <c r="L126">
        <v>710.83804664723027</v>
      </c>
    </row>
    <row r="127" spans="1:12">
      <c r="A127" s="19">
        <v>43685</v>
      </c>
      <c r="B127">
        <v>659.3</v>
      </c>
      <c r="C127">
        <v>654.29999999999995</v>
      </c>
      <c r="D127">
        <v>2350</v>
      </c>
      <c r="E127">
        <v>2360</v>
      </c>
      <c r="F127">
        <v>0.27724576271186402</v>
      </c>
      <c r="G127">
        <v>0.28329666436626499</v>
      </c>
      <c r="H127">
        <v>8.5031627928808997E-3</v>
      </c>
      <c r="I127">
        <v>-0.71160599906034305</v>
      </c>
      <c r="J127">
        <v>-2.1800000000000002</v>
      </c>
      <c r="L127">
        <v>710.23615160349846</v>
      </c>
    </row>
    <row r="128" spans="1:12">
      <c r="A128" s="19">
        <v>43684</v>
      </c>
      <c r="B128">
        <v>673.9</v>
      </c>
      <c r="C128">
        <v>664</v>
      </c>
      <c r="D128">
        <v>2320</v>
      </c>
      <c r="E128">
        <v>2353</v>
      </c>
      <c r="F128">
        <v>0.28219294517637</v>
      </c>
      <c r="G128">
        <v>0.28352345424619202</v>
      </c>
      <c r="H128">
        <v>8.5653546941214694E-3</v>
      </c>
      <c r="I128">
        <v>-0.15533613228363999</v>
      </c>
      <c r="J128">
        <v>-0.47</v>
      </c>
      <c r="L128">
        <v>708.12951895043727</v>
      </c>
    </row>
    <row r="129" spans="1:12">
      <c r="A129" s="19">
        <v>43683</v>
      </c>
      <c r="B129">
        <v>654</v>
      </c>
      <c r="C129">
        <v>677.3</v>
      </c>
      <c r="D129">
        <v>2282</v>
      </c>
      <c r="E129">
        <v>2322</v>
      </c>
      <c r="F129">
        <v>0.29168819982773397</v>
      </c>
      <c r="G129">
        <v>0.28368219151676399</v>
      </c>
      <c r="H129">
        <v>8.6491337623337602E-3</v>
      </c>
      <c r="I129">
        <v>0.92564279047643006</v>
      </c>
      <c r="J129">
        <v>2.74</v>
      </c>
      <c r="L129">
        <v>698.80014577259465</v>
      </c>
    </row>
    <row r="130" spans="1:12">
      <c r="A130" s="19">
        <v>43682</v>
      </c>
      <c r="B130">
        <v>678</v>
      </c>
      <c r="C130">
        <v>672.7</v>
      </c>
      <c r="D130">
        <v>2390</v>
      </c>
      <c r="E130">
        <v>2378</v>
      </c>
      <c r="F130">
        <v>0.28288477712363302</v>
      </c>
      <c r="G130">
        <v>0.28374877218069999</v>
      </c>
      <c r="H130">
        <v>8.7293554408291608E-3</v>
      </c>
      <c r="I130">
        <v>-9.8975813612261695E-2</v>
      </c>
      <c r="J130">
        <v>-0.31</v>
      </c>
      <c r="L130">
        <v>715.65320699708445</v>
      </c>
    </row>
    <row r="131" spans="1:12">
      <c r="A131" s="19">
        <v>43679</v>
      </c>
      <c r="B131">
        <v>697.3</v>
      </c>
      <c r="C131">
        <v>687.2</v>
      </c>
      <c r="D131">
        <v>2481</v>
      </c>
      <c r="E131">
        <v>2439</v>
      </c>
      <c r="F131">
        <v>0.281754817548175</v>
      </c>
      <c r="G131">
        <v>0.28390759355359102</v>
      </c>
      <c r="H131">
        <v>8.8200792262945905E-3</v>
      </c>
      <c r="I131">
        <v>-0.24407671974171999</v>
      </c>
      <c r="J131">
        <v>-0.76</v>
      </c>
      <c r="L131">
        <v>734.01100583090374</v>
      </c>
    </row>
    <row r="132" spans="1:12">
      <c r="A132" s="19">
        <v>43678</v>
      </c>
      <c r="B132">
        <v>703</v>
      </c>
      <c r="C132">
        <v>711</v>
      </c>
      <c r="D132">
        <v>2511</v>
      </c>
      <c r="E132">
        <v>2531</v>
      </c>
      <c r="F132">
        <v>0.28091663374160403</v>
      </c>
      <c r="G132">
        <v>0.28412166924663201</v>
      </c>
      <c r="H132">
        <v>8.9589834971071595E-3</v>
      </c>
      <c r="I132">
        <v>-0.35774544132860198</v>
      </c>
      <c r="J132">
        <v>-1.1399999999999999</v>
      </c>
      <c r="L132">
        <v>761.69817784256554</v>
      </c>
    </row>
    <row r="133" spans="1:12">
      <c r="A133" s="19">
        <v>43677</v>
      </c>
      <c r="B133">
        <v>711</v>
      </c>
      <c r="C133">
        <v>710</v>
      </c>
      <c r="D133">
        <v>2580</v>
      </c>
      <c r="E133">
        <v>2557</v>
      </c>
      <c r="F133">
        <v>0.27766914352757099</v>
      </c>
      <c r="G133">
        <v>0.284351745113541</v>
      </c>
      <c r="H133">
        <v>9.0942710313893105E-3</v>
      </c>
      <c r="I133">
        <v>-0.73481443019509696</v>
      </c>
      <c r="J133">
        <v>-2.41</v>
      </c>
      <c r="L133">
        <v>769.52281341107869</v>
      </c>
    </row>
    <row r="134" spans="1:12">
      <c r="A134" s="19">
        <v>43676</v>
      </c>
      <c r="B134">
        <v>718.4</v>
      </c>
      <c r="C134">
        <v>717.7</v>
      </c>
      <c r="D134">
        <v>2605</v>
      </c>
      <c r="E134">
        <v>2610</v>
      </c>
      <c r="F134">
        <v>0.27498084291187702</v>
      </c>
      <c r="G134">
        <v>0.28464206044600199</v>
      </c>
      <c r="H134">
        <v>9.2229379059747402E-3</v>
      </c>
      <c r="I134">
        <v>-1.0475206092264699</v>
      </c>
      <c r="J134">
        <v>-3.51</v>
      </c>
      <c r="L134">
        <v>785.47303206997071</v>
      </c>
    </row>
    <row r="135" spans="1:12">
      <c r="A135" s="19">
        <v>43675</v>
      </c>
      <c r="B135">
        <v>713.6</v>
      </c>
      <c r="C135">
        <v>713.5</v>
      </c>
      <c r="D135">
        <v>2587</v>
      </c>
      <c r="E135">
        <v>2574</v>
      </c>
      <c r="F135">
        <v>0.27719502719502698</v>
      </c>
      <c r="G135">
        <v>0.28493127050895201</v>
      </c>
      <c r="H135">
        <v>9.2554785415389206E-3</v>
      </c>
      <c r="I135">
        <v>-0.83585557237309505</v>
      </c>
      <c r="J135">
        <v>-2.79</v>
      </c>
      <c r="L135">
        <v>774.63892128279872</v>
      </c>
    </row>
    <row r="136" spans="1:12">
      <c r="A136" s="19">
        <v>43672</v>
      </c>
      <c r="B136">
        <v>714.6</v>
      </c>
      <c r="C136">
        <v>714.3</v>
      </c>
      <c r="D136">
        <v>2586</v>
      </c>
      <c r="E136">
        <v>2587</v>
      </c>
      <c r="F136">
        <v>0.27611132586006898</v>
      </c>
      <c r="G136">
        <v>0.28516112531023502</v>
      </c>
      <c r="H136">
        <v>9.2745413196280001E-3</v>
      </c>
      <c r="I136">
        <v>-0.97576787231661299</v>
      </c>
      <c r="J136">
        <v>-3.28</v>
      </c>
      <c r="L136">
        <v>778.55123906705535</v>
      </c>
    </row>
    <row r="137" spans="1:12">
      <c r="A137" s="19">
        <v>43671</v>
      </c>
      <c r="B137">
        <v>722.6</v>
      </c>
      <c r="C137">
        <v>722.6</v>
      </c>
      <c r="D137">
        <v>2569</v>
      </c>
      <c r="E137">
        <v>2588</v>
      </c>
      <c r="F137">
        <v>0.27921174652241099</v>
      </c>
      <c r="G137">
        <v>0.28534011175455498</v>
      </c>
      <c r="H137">
        <v>9.22757870382147E-3</v>
      </c>
      <c r="I137">
        <v>-0.664135785653724</v>
      </c>
      <c r="J137">
        <v>-2.19</v>
      </c>
      <c r="L137">
        <v>778.8521865889212</v>
      </c>
    </row>
    <row r="138" spans="1:12">
      <c r="A138" s="19">
        <v>43670</v>
      </c>
      <c r="B138">
        <v>726.8</v>
      </c>
      <c r="C138">
        <v>725.4</v>
      </c>
      <c r="D138">
        <v>2588</v>
      </c>
      <c r="E138">
        <v>2568</v>
      </c>
      <c r="F138">
        <v>0.28247663551401803</v>
      </c>
      <c r="G138">
        <v>0.28547922140644499</v>
      </c>
      <c r="H138">
        <v>9.21277319136048E-3</v>
      </c>
      <c r="I138">
        <v>-0.325915533798528</v>
      </c>
      <c r="J138">
        <v>-1.06</v>
      </c>
      <c r="L138">
        <v>772.83323615160339</v>
      </c>
    </row>
    <row r="139" spans="1:12">
      <c r="A139" s="19">
        <v>43669</v>
      </c>
      <c r="B139">
        <v>715.4</v>
      </c>
      <c r="C139">
        <v>721</v>
      </c>
      <c r="D139">
        <v>2532</v>
      </c>
      <c r="E139">
        <v>2571</v>
      </c>
      <c r="F139">
        <v>0.28043562816024797</v>
      </c>
      <c r="G139">
        <v>0.28554716859183998</v>
      </c>
      <c r="H139">
        <v>9.2091693455535802E-3</v>
      </c>
      <c r="I139">
        <v>-0.55504902123004896</v>
      </c>
      <c r="J139">
        <v>-1.82</v>
      </c>
      <c r="L139">
        <v>773.73607871720105</v>
      </c>
    </row>
    <row r="140" spans="1:12">
      <c r="A140" s="19">
        <v>43668</v>
      </c>
      <c r="B140">
        <v>715.9</v>
      </c>
      <c r="C140">
        <v>714.6</v>
      </c>
      <c r="D140">
        <v>2565</v>
      </c>
      <c r="E140">
        <v>2539</v>
      </c>
      <c r="F140">
        <v>0.28144938952343401</v>
      </c>
      <c r="G140">
        <v>0.28570264314878702</v>
      </c>
      <c r="H140">
        <v>9.2199850362529798E-3</v>
      </c>
      <c r="I140">
        <v>-0.461308083324314</v>
      </c>
      <c r="J140">
        <v>-1.51</v>
      </c>
      <c r="L140">
        <v>764.10575801749269</v>
      </c>
    </row>
    <row r="141" spans="1:12">
      <c r="A141" s="19">
        <v>43665</v>
      </c>
      <c r="B141">
        <v>698.4</v>
      </c>
      <c r="C141">
        <v>713.7</v>
      </c>
      <c r="D141">
        <v>2480</v>
      </c>
      <c r="E141">
        <v>2570</v>
      </c>
      <c r="F141">
        <v>0.27770428015564202</v>
      </c>
      <c r="G141">
        <v>0.28581670177440099</v>
      </c>
      <c r="H141">
        <v>9.21957574558817E-3</v>
      </c>
      <c r="I141">
        <v>-0.87991268173503201</v>
      </c>
      <c r="J141">
        <v>-2.92</v>
      </c>
      <c r="L141">
        <v>773.4351311953352</v>
      </c>
    </row>
    <row r="142" spans="1:12">
      <c r="A142" s="19">
        <v>43664</v>
      </c>
      <c r="B142">
        <v>710</v>
      </c>
      <c r="C142">
        <v>699.7</v>
      </c>
      <c r="D142">
        <v>2574</v>
      </c>
      <c r="E142">
        <v>2495</v>
      </c>
      <c r="F142">
        <v>0.28044088176352699</v>
      </c>
      <c r="G142">
        <v>0.28595541151960102</v>
      </c>
      <c r="H142">
        <v>9.1746292660710594E-3</v>
      </c>
      <c r="I142">
        <v>-0.601062952643584</v>
      </c>
      <c r="J142">
        <v>-1.97</v>
      </c>
      <c r="L142">
        <v>750.86406705539355</v>
      </c>
    </row>
    <row r="143" spans="1:12">
      <c r="A143" s="19">
        <v>43663</v>
      </c>
      <c r="B143">
        <v>721</v>
      </c>
      <c r="C143">
        <v>718.5</v>
      </c>
      <c r="D143">
        <v>2600</v>
      </c>
      <c r="E143">
        <v>2603</v>
      </c>
      <c r="F143">
        <v>0.276027660391855</v>
      </c>
      <c r="G143">
        <v>0.28611356117645598</v>
      </c>
      <c r="H143">
        <v>9.18043666858211E-3</v>
      </c>
      <c r="I143">
        <v>-1.0986297437372701</v>
      </c>
      <c r="J143">
        <v>-3.65</v>
      </c>
      <c r="L143">
        <v>783.36639941690953</v>
      </c>
    </row>
    <row r="144" spans="1:12">
      <c r="A144" s="19">
        <v>43662</v>
      </c>
      <c r="B144">
        <v>728.7</v>
      </c>
      <c r="C144">
        <v>722</v>
      </c>
      <c r="D144">
        <v>2595</v>
      </c>
      <c r="E144">
        <v>2603</v>
      </c>
      <c r="F144">
        <v>0.27737226277372201</v>
      </c>
      <c r="G144">
        <v>0.28642861396604202</v>
      </c>
      <c r="H144">
        <v>9.2341944059687198E-3</v>
      </c>
      <c r="I144">
        <v>-0.98074079818659499</v>
      </c>
      <c r="J144">
        <v>-3.27</v>
      </c>
      <c r="L144">
        <v>783.36639941690953</v>
      </c>
    </row>
    <row r="145" spans="1:12">
      <c r="A145" s="19">
        <v>43658</v>
      </c>
      <c r="B145">
        <v>727.8</v>
      </c>
      <c r="C145">
        <v>730</v>
      </c>
      <c r="D145">
        <v>2587</v>
      </c>
      <c r="E145">
        <v>2596</v>
      </c>
      <c r="F145">
        <v>0.28120184899845901</v>
      </c>
      <c r="G145">
        <v>0.28672932469635898</v>
      </c>
      <c r="H145">
        <v>9.3013577595620102E-3</v>
      </c>
      <c r="I145">
        <v>-0.59426546540664105</v>
      </c>
      <c r="J145">
        <v>-1.97</v>
      </c>
      <c r="L145">
        <v>781.25976676384835</v>
      </c>
    </row>
    <row r="146" spans="1:12">
      <c r="A146" s="19">
        <v>43657</v>
      </c>
      <c r="B146">
        <v>721</v>
      </c>
      <c r="C146">
        <v>722.1</v>
      </c>
      <c r="D146">
        <v>2559</v>
      </c>
      <c r="E146">
        <v>2579</v>
      </c>
      <c r="F146">
        <v>0.279992245056223</v>
      </c>
      <c r="G146">
        <v>0.28688152940197298</v>
      </c>
      <c r="H146">
        <v>9.3030610396261492E-3</v>
      </c>
      <c r="I146">
        <v>-0.74053951881053803</v>
      </c>
      <c r="J146">
        <v>-2.46</v>
      </c>
      <c r="L146">
        <v>776.1436588921282</v>
      </c>
    </row>
    <row r="147" spans="1:12">
      <c r="A147" s="19">
        <v>43656</v>
      </c>
      <c r="B147">
        <v>724.9</v>
      </c>
      <c r="C147">
        <v>725.8</v>
      </c>
      <c r="D147">
        <v>2519</v>
      </c>
      <c r="E147">
        <v>2546</v>
      </c>
      <c r="F147">
        <v>0.28507462686567098</v>
      </c>
      <c r="G147">
        <v>0.28705281270921801</v>
      </c>
      <c r="H147">
        <v>9.2928959841184298E-3</v>
      </c>
      <c r="I147">
        <v>-0.21287076137806099</v>
      </c>
      <c r="J147">
        <v>-0.69</v>
      </c>
      <c r="L147">
        <v>766.21239067055387</v>
      </c>
    </row>
    <row r="148" spans="1:12">
      <c r="A148" s="19">
        <v>43655</v>
      </c>
      <c r="B148">
        <v>737.9</v>
      </c>
      <c r="C148">
        <v>733.8</v>
      </c>
      <c r="D148">
        <v>2581</v>
      </c>
      <c r="E148">
        <v>2557</v>
      </c>
      <c r="F148">
        <v>0.28697692608525599</v>
      </c>
      <c r="G148">
        <v>0.28710735262559101</v>
      </c>
      <c r="H148">
        <v>9.2931295145425898E-3</v>
      </c>
      <c r="I148">
        <v>-1.40347274974871E-2</v>
      </c>
      <c r="J148">
        <v>-0.05</v>
      </c>
      <c r="L148">
        <v>769.52281341107869</v>
      </c>
    </row>
    <row r="149" spans="1:12">
      <c r="A149" s="19">
        <v>43654</v>
      </c>
      <c r="B149">
        <v>736.2</v>
      </c>
      <c r="C149">
        <v>734.9</v>
      </c>
      <c r="D149">
        <v>2599</v>
      </c>
      <c r="E149">
        <v>2585</v>
      </c>
      <c r="F149">
        <v>0.28429400386847098</v>
      </c>
      <c r="G149">
        <v>0.287150888086602</v>
      </c>
      <c r="H149">
        <v>9.3000620807595601E-3</v>
      </c>
      <c r="I149">
        <v>-0.307189800812319</v>
      </c>
      <c r="J149">
        <v>-1</v>
      </c>
      <c r="L149">
        <v>777.94934402332353</v>
      </c>
    </row>
    <row r="150" spans="1:12">
      <c r="A150" s="19">
        <v>43651</v>
      </c>
      <c r="B150">
        <v>737.3</v>
      </c>
      <c r="C150">
        <v>734.8</v>
      </c>
      <c r="D150">
        <v>2622</v>
      </c>
      <c r="E150">
        <v>2617</v>
      </c>
      <c r="F150">
        <v>0.28077951853267002</v>
      </c>
      <c r="G150">
        <v>0.28726831286691901</v>
      </c>
      <c r="H150">
        <v>9.31882887228698E-3</v>
      </c>
      <c r="I150">
        <v>-0.69631006462034495</v>
      </c>
      <c r="J150">
        <v>-2.31</v>
      </c>
      <c r="L150">
        <v>787.57966472303201</v>
      </c>
    </row>
    <row r="151" spans="1:12">
      <c r="A151" s="19">
        <v>43650</v>
      </c>
      <c r="B151">
        <v>739.3</v>
      </c>
      <c r="C151">
        <v>737.2</v>
      </c>
      <c r="D151">
        <v>2603</v>
      </c>
      <c r="E151">
        <v>2621</v>
      </c>
      <c r="F151">
        <v>0.28126669210225103</v>
      </c>
      <c r="G151">
        <v>0.28738024071505403</v>
      </c>
      <c r="H151">
        <v>9.2905908516761303E-3</v>
      </c>
      <c r="I151">
        <v>-0.65803657812578797</v>
      </c>
      <c r="J151">
        <v>-2.17</v>
      </c>
      <c r="L151">
        <v>788.78345481049553</v>
      </c>
    </row>
    <row r="152" spans="1:12">
      <c r="A152" s="19">
        <v>43649</v>
      </c>
      <c r="B152">
        <v>736.5</v>
      </c>
      <c r="C152">
        <v>729.7</v>
      </c>
      <c r="D152">
        <v>2572</v>
      </c>
      <c r="E152">
        <v>2581</v>
      </c>
      <c r="F152">
        <v>0.28271987601704701</v>
      </c>
      <c r="G152">
        <v>0.28747445441918001</v>
      </c>
      <c r="H152">
        <v>9.2639062324839493E-3</v>
      </c>
      <c r="I152">
        <v>-0.51323688763825803</v>
      </c>
      <c r="J152">
        <v>-1.68</v>
      </c>
      <c r="L152">
        <v>776.74555393586002</v>
      </c>
    </row>
    <row r="153" spans="1:12">
      <c r="A153" s="19">
        <v>43648</v>
      </c>
      <c r="B153">
        <v>738.1</v>
      </c>
      <c r="C153">
        <v>745.4</v>
      </c>
      <c r="D153">
        <v>2562</v>
      </c>
      <c r="E153">
        <v>2594</v>
      </c>
      <c r="F153">
        <v>0.28735543562066301</v>
      </c>
      <c r="G153">
        <v>0.28751805103151501</v>
      </c>
      <c r="H153">
        <v>9.2491102730127995E-3</v>
      </c>
      <c r="I153">
        <v>-1.7581735545625601E-2</v>
      </c>
      <c r="J153">
        <v>-0.06</v>
      </c>
      <c r="L153">
        <v>780.65787172011653</v>
      </c>
    </row>
    <row r="154" spans="1:12">
      <c r="A154" s="19">
        <v>43647</v>
      </c>
      <c r="B154">
        <v>725.3</v>
      </c>
      <c r="C154">
        <v>741.7</v>
      </c>
      <c r="D154">
        <v>2520</v>
      </c>
      <c r="E154">
        <v>2562</v>
      </c>
      <c r="F154">
        <v>0.28950039032006197</v>
      </c>
      <c r="G154">
        <v>0.287473489931449</v>
      </c>
      <c r="H154">
        <v>9.2578331518143597E-3</v>
      </c>
      <c r="I154">
        <v>0.21893896286255399</v>
      </c>
      <c r="J154">
        <v>0.7</v>
      </c>
      <c r="L154">
        <v>771.02755102040805</v>
      </c>
    </row>
    <row r="155" spans="1:12">
      <c r="A155" s="19">
        <v>43644</v>
      </c>
      <c r="B155">
        <v>715</v>
      </c>
      <c r="C155">
        <v>713</v>
      </c>
      <c r="D155">
        <v>2482</v>
      </c>
      <c r="E155">
        <v>2472</v>
      </c>
      <c r="F155">
        <v>0.288430420711974</v>
      </c>
      <c r="G155">
        <v>0.28743570694940401</v>
      </c>
      <c r="H155">
        <v>9.2552660124405502E-3</v>
      </c>
      <c r="I155">
        <v>0.107475437359948</v>
      </c>
      <c r="J155">
        <v>0.34</v>
      </c>
      <c r="L155">
        <v>743.94227405247807</v>
      </c>
    </row>
    <row r="156" spans="1:12">
      <c r="A156" s="19">
        <v>43643</v>
      </c>
      <c r="B156">
        <v>714.3</v>
      </c>
      <c r="C156">
        <v>720.9</v>
      </c>
      <c r="D156">
        <v>2461</v>
      </c>
      <c r="E156">
        <v>2504</v>
      </c>
      <c r="F156">
        <v>0.28789936102236402</v>
      </c>
      <c r="G156">
        <v>0.28747032251174698</v>
      </c>
      <c r="H156">
        <v>9.2637726474224403E-3</v>
      </c>
      <c r="I156">
        <v>4.6313583779027598E-2</v>
      </c>
      <c r="J156">
        <v>0.15</v>
      </c>
      <c r="L156">
        <v>753.57259475218655</v>
      </c>
    </row>
    <row r="157" spans="1:12">
      <c r="A157" s="19">
        <v>43642</v>
      </c>
      <c r="B157">
        <v>722</v>
      </c>
      <c r="C157">
        <v>720.3</v>
      </c>
      <c r="D157">
        <v>2490</v>
      </c>
      <c r="E157">
        <v>2469</v>
      </c>
      <c r="F157">
        <v>0.29173754556500597</v>
      </c>
      <c r="G157">
        <v>0.287515169014807</v>
      </c>
      <c r="H157">
        <v>9.2738770140003701E-3</v>
      </c>
      <c r="I157">
        <v>0.455297880684015</v>
      </c>
      <c r="J157">
        <v>1.45</v>
      </c>
      <c r="L157">
        <v>743.0394314868804</v>
      </c>
    </row>
    <row r="158" spans="1:12">
      <c r="A158" s="19">
        <v>43641</v>
      </c>
      <c r="B158">
        <v>730</v>
      </c>
      <c r="C158">
        <v>725.6</v>
      </c>
      <c r="D158">
        <v>2505</v>
      </c>
      <c r="E158">
        <v>2511</v>
      </c>
      <c r="F158">
        <v>0.28896853843090398</v>
      </c>
      <c r="G158">
        <v>0.28747295412155899</v>
      </c>
      <c r="H158">
        <v>9.2617587808066799E-3</v>
      </c>
      <c r="I158">
        <v>0.161479514284429</v>
      </c>
      <c r="J158">
        <v>0.52</v>
      </c>
      <c r="L158">
        <v>755.67922740524773</v>
      </c>
    </row>
    <row r="159" spans="1:12">
      <c r="A159" s="19">
        <v>43640</v>
      </c>
      <c r="B159">
        <v>725.5</v>
      </c>
      <c r="C159">
        <v>729.2</v>
      </c>
      <c r="D159">
        <v>2518</v>
      </c>
      <c r="E159">
        <v>2519</v>
      </c>
      <c r="F159">
        <v>0.28947995236204799</v>
      </c>
      <c r="G159">
        <v>0.28744958162648199</v>
      </c>
      <c r="H159">
        <v>9.2601667847273805E-3</v>
      </c>
      <c r="I159">
        <v>0.21925854930761501</v>
      </c>
      <c r="J159">
        <v>0.7</v>
      </c>
      <c r="L159">
        <v>758.08680758017488</v>
      </c>
    </row>
    <row r="160" spans="1:12">
      <c r="A160" s="19">
        <v>43637</v>
      </c>
      <c r="B160">
        <v>725</v>
      </c>
      <c r="C160">
        <v>728.5</v>
      </c>
      <c r="D160">
        <v>2553</v>
      </c>
      <c r="E160">
        <v>2518</v>
      </c>
      <c r="F160">
        <v>0.28931691818903799</v>
      </c>
      <c r="G160">
        <v>0.287353969709849</v>
      </c>
      <c r="H160">
        <v>9.2757164069697893E-3</v>
      </c>
      <c r="I160">
        <v>0.21162230420439701</v>
      </c>
      <c r="J160">
        <v>0.68</v>
      </c>
      <c r="L160">
        <v>757.78586005830891</v>
      </c>
    </row>
    <row r="161" spans="1:12">
      <c r="A161" s="19">
        <v>43636</v>
      </c>
      <c r="B161">
        <v>725.1</v>
      </c>
      <c r="C161">
        <v>720.7</v>
      </c>
      <c r="D161">
        <v>2582</v>
      </c>
      <c r="E161">
        <v>2551</v>
      </c>
      <c r="F161">
        <v>0.28251666013328097</v>
      </c>
      <c r="G161">
        <v>0.28733602779647299</v>
      </c>
      <c r="H161">
        <v>9.2732032365462399E-3</v>
      </c>
      <c r="I161">
        <v>-0.51970905201329498</v>
      </c>
      <c r="J161">
        <v>-1.71</v>
      </c>
      <c r="L161">
        <v>767.71712827988335</v>
      </c>
    </row>
    <row r="162" spans="1:12">
      <c r="A162" s="19">
        <v>43635</v>
      </c>
      <c r="B162">
        <v>719</v>
      </c>
      <c r="C162">
        <v>731</v>
      </c>
      <c r="D162">
        <v>2550</v>
      </c>
      <c r="E162">
        <v>2565</v>
      </c>
      <c r="F162">
        <v>0.28499025341130602</v>
      </c>
      <c r="G162">
        <v>0.28741157194488698</v>
      </c>
      <c r="H162">
        <v>9.2566981247571792E-3</v>
      </c>
      <c r="I162">
        <v>-0.261574753864525</v>
      </c>
      <c r="J162">
        <v>-0.85</v>
      </c>
      <c r="L162">
        <v>771.93039358600572</v>
      </c>
    </row>
    <row r="163" spans="1:12">
      <c r="A163" s="19">
        <v>43634</v>
      </c>
      <c r="B163">
        <v>710</v>
      </c>
      <c r="C163">
        <v>699.9</v>
      </c>
      <c r="D163">
        <v>2554</v>
      </c>
      <c r="E163">
        <v>2520</v>
      </c>
      <c r="F163">
        <v>0.27773809523809501</v>
      </c>
      <c r="G163">
        <v>0.287405993005796</v>
      </c>
      <c r="H163">
        <v>9.2582817070805904E-3</v>
      </c>
      <c r="I163">
        <v>-1.04424320555157</v>
      </c>
      <c r="J163">
        <v>-3.48</v>
      </c>
      <c r="L163">
        <v>758.38775510204073</v>
      </c>
    </row>
    <row r="164" spans="1:12">
      <c r="A164" s="19">
        <v>43633</v>
      </c>
      <c r="B164">
        <v>712.2</v>
      </c>
      <c r="C164">
        <v>714.1</v>
      </c>
      <c r="D164">
        <v>2554</v>
      </c>
      <c r="E164">
        <v>2551</v>
      </c>
      <c r="F164">
        <v>0.27992943943551502</v>
      </c>
      <c r="G164">
        <v>0.28749288532759498</v>
      </c>
      <c r="H164">
        <v>9.1975196870267908E-3</v>
      </c>
      <c r="I164">
        <v>-0.82233538491342895</v>
      </c>
      <c r="J164">
        <v>-2.7</v>
      </c>
      <c r="L164">
        <v>767.71712827988335</v>
      </c>
    </row>
    <row r="165" spans="1:12">
      <c r="A165" s="19">
        <v>43630</v>
      </c>
      <c r="B165">
        <v>715</v>
      </c>
      <c r="C165">
        <v>715.2</v>
      </c>
      <c r="D165">
        <v>2577</v>
      </c>
      <c r="E165">
        <v>2577</v>
      </c>
      <c r="F165">
        <v>0.27753201396973198</v>
      </c>
      <c r="G165">
        <v>0.28753335619731901</v>
      </c>
      <c r="H165">
        <v>9.17078916355832E-3</v>
      </c>
      <c r="I165">
        <v>-1.0905650592567699</v>
      </c>
      <c r="J165">
        <v>-3.6</v>
      </c>
      <c r="L165">
        <v>775.54176384839639</v>
      </c>
    </row>
    <row r="166" spans="1:12">
      <c r="A166" s="19">
        <v>43629</v>
      </c>
      <c r="B166">
        <v>720.4</v>
      </c>
      <c r="C166">
        <v>714.5</v>
      </c>
      <c r="D166">
        <v>2573</v>
      </c>
      <c r="E166">
        <v>2560</v>
      </c>
      <c r="F166">
        <v>0.27910156250000001</v>
      </c>
      <c r="G166">
        <v>0.28764404432292501</v>
      </c>
      <c r="H166">
        <v>9.09922809682886E-3</v>
      </c>
      <c r="I166">
        <v>-0.9388139006981</v>
      </c>
      <c r="J166">
        <v>-3.06</v>
      </c>
      <c r="L166">
        <v>770.42565597667635</v>
      </c>
    </row>
    <row r="167" spans="1:12">
      <c r="A167" s="19">
        <v>43628</v>
      </c>
      <c r="B167">
        <v>721.2</v>
      </c>
      <c r="C167">
        <v>729.6</v>
      </c>
      <c r="D167">
        <v>2591</v>
      </c>
      <c r="E167">
        <v>2599</v>
      </c>
      <c r="F167">
        <v>0.28072335513659102</v>
      </c>
      <c r="G167">
        <v>0.28769649550735099</v>
      </c>
      <c r="H167">
        <v>9.0610931326386406E-3</v>
      </c>
      <c r="I167">
        <v>-0.76956944031871399</v>
      </c>
      <c r="J167">
        <v>-2.48</v>
      </c>
      <c r="L167">
        <v>782.16260932944601</v>
      </c>
    </row>
    <row r="168" spans="1:12">
      <c r="A168" s="19">
        <v>43627</v>
      </c>
      <c r="B168">
        <v>710.8</v>
      </c>
      <c r="C168">
        <v>721.2</v>
      </c>
      <c r="D168">
        <v>2600</v>
      </c>
      <c r="E168">
        <v>2592</v>
      </c>
      <c r="F168">
        <v>0.27824074074074001</v>
      </c>
      <c r="G168">
        <v>0.28772606921141503</v>
      </c>
      <c r="H168">
        <v>9.0418851061513598E-3</v>
      </c>
      <c r="I168">
        <v>-1.04904324256693</v>
      </c>
      <c r="J168">
        <v>-3.41</v>
      </c>
      <c r="L168">
        <v>780.05597667638472</v>
      </c>
    </row>
    <row r="169" spans="1:12">
      <c r="A169" s="19">
        <v>43626</v>
      </c>
      <c r="B169">
        <v>708.6</v>
      </c>
      <c r="C169">
        <v>705.5</v>
      </c>
      <c r="D169">
        <v>2556</v>
      </c>
      <c r="E169">
        <v>2598</v>
      </c>
      <c r="F169">
        <v>0.27155504234026101</v>
      </c>
      <c r="G169">
        <v>0.28780865685503498</v>
      </c>
      <c r="H169">
        <v>8.9829659698316393E-3</v>
      </c>
      <c r="I169">
        <v>-1.8093817308626301</v>
      </c>
      <c r="J169">
        <v>-5.99</v>
      </c>
      <c r="L169">
        <v>781.86166180758005</v>
      </c>
    </row>
    <row r="170" spans="1:12">
      <c r="A170" s="19">
        <v>43623</v>
      </c>
      <c r="B170">
        <v>693.1</v>
      </c>
      <c r="C170">
        <v>698.4</v>
      </c>
      <c r="D170">
        <v>2523</v>
      </c>
      <c r="E170">
        <v>2514</v>
      </c>
      <c r="F170">
        <v>0.27780429594271999</v>
      </c>
      <c r="G170">
        <v>0.28801240780565002</v>
      </c>
      <c r="H170">
        <v>8.7830728158991393E-3</v>
      </c>
      <c r="I170">
        <v>-1.1622483471218701</v>
      </c>
      <c r="J170">
        <v>-3.67</v>
      </c>
      <c r="L170">
        <v>756.5820699708454</v>
      </c>
    </row>
    <row r="171" spans="1:12">
      <c r="A171" s="19">
        <v>43622</v>
      </c>
      <c r="B171">
        <v>693.9</v>
      </c>
      <c r="C171">
        <v>691.7</v>
      </c>
      <c r="D171">
        <v>2503</v>
      </c>
      <c r="E171">
        <v>2505</v>
      </c>
      <c r="F171">
        <v>0.27612774451097799</v>
      </c>
      <c r="G171">
        <v>0.288145630429268</v>
      </c>
      <c r="H171">
        <v>8.7026339111263892E-3</v>
      </c>
      <c r="I171">
        <v>-1.3809481176641201</v>
      </c>
      <c r="J171">
        <v>-4.3499999999999996</v>
      </c>
      <c r="L171">
        <v>753.8735422740524</v>
      </c>
    </row>
    <row r="172" spans="1:12">
      <c r="A172" s="19">
        <v>43621</v>
      </c>
      <c r="B172">
        <v>693.6</v>
      </c>
      <c r="C172">
        <v>693</v>
      </c>
      <c r="D172">
        <v>2487</v>
      </c>
      <c r="E172">
        <v>2522</v>
      </c>
      <c r="F172">
        <v>0.27478191911181599</v>
      </c>
      <c r="G172">
        <v>0.28826111300124102</v>
      </c>
      <c r="H172">
        <v>8.5992444347058206E-3</v>
      </c>
      <c r="I172">
        <v>-1.56748584038674</v>
      </c>
      <c r="J172">
        <v>-4.91</v>
      </c>
      <c r="L172">
        <v>758.98965014577254</v>
      </c>
    </row>
    <row r="173" spans="1:12">
      <c r="A173" s="19">
        <v>43620</v>
      </c>
      <c r="B173">
        <v>674</v>
      </c>
      <c r="C173">
        <v>683.6</v>
      </c>
      <c r="D173">
        <v>2457</v>
      </c>
      <c r="E173">
        <v>2438</v>
      </c>
      <c r="F173">
        <v>0.28039376538145999</v>
      </c>
      <c r="G173">
        <v>0.28837717961114301</v>
      </c>
      <c r="H173">
        <v>8.4743686524152897E-3</v>
      </c>
      <c r="I173">
        <v>-0.94206595879062704</v>
      </c>
      <c r="J173">
        <v>-2.85</v>
      </c>
      <c r="L173">
        <v>733.71005830903778</v>
      </c>
    </row>
    <row r="174" spans="1:12">
      <c r="A174" s="19">
        <v>43619</v>
      </c>
      <c r="B174">
        <v>668.4</v>
      </c>
      <c r="C174">
        <v>672.1</v>
      </c>
      <c r="D174">
        <v>2445</v>
      </c>
      <c r="E174">
        <v>2456</v>
      </c>
      <c r="F174">
        <v>0.27365635179152997</v>
      </c>
      <c r="G174">
        <v>0.28872453836861001</v>
      </c>
      <c r="H174">
        <v>8.6716438023890993E-3</v>
      </c>
      <c r="I174">
        <v>-1.73763901290875</v>
      </c>
      <c r="J174">
        <v>-5.51</v>
      </c>
      <c r="L174">
        <v>739.12711370262389</v>
      </c>
    </row>
    <row r="175" spans="1:12">
      <c r="A175" s="19">
        <v>43616</v>
      </c>
      <c r="B175">
        <v>689.1</v>
      </c>
      <c r="C175">
        <v>683.4</v>
      </c>
      <c r="D175">
        <v>2482</v>
      </c>
      <c r="E175">
        <v>2467</v>
      </c>
      <c r="F175">
        <v>0.27701661937576</v>
      </c>
      <c r="G175">
        <v>0.2892076068576</v>
      </c>
      <c r="H175">
        <v>8.82653704497759E-3</v>
      </c>
      <c r="I175">
        <v>-1.38117445377712</v>
      </c>
      <c r="J175">
        <v>-4.4000000000000004</v>
      </c>
      <c r="L175">
        <v>742.43753644314859</v>
      </c>
    </row>
    <row r="176" spans="1:12">
      <c r="A176" s="19">
        <v>43615</v>
      </c>
      <c r="B176">
        <v>680</v>
      </c>
      <c r="C176">
        <v>697.6</v>
      </c>
      <c r="D176">
        <v>2479</v>
      </c>
      <c r="E176">
        <v>2506</v>
      </c>
      <c r="F176">
        <v>0.27837190742218598</v>
      </c>
      <c r="G176">
        <v>0.28964193911955799</v>
      </c>
      <c r="H176">
        <v>9.0154074721513801E-3</v>
      </c>
      <c r="I176">
        <v>-1.2500856708013199</v>
      </c>
      <c r="J176">
        <v>-4.05</v>
      </c>
      <c r="L176">
        <v>754.17448979591825</v>
      </c>
    </row>
    <row r="177" spans="1:12">
      <c r="A177" s="19">
        <v>43614</v>
      </c>
      <c r="B177">
        <v>688</v>
      </c>
      <c r="C177">
        <v>685.5</v>
      </c>
      <c r="D177">
        <v>2473</v>
      </c>
      <c r="E177">
        <v>2506</v>
      </c>
      <c r="F177">
        <v>0.27354349561053398</v>
      </c>
      <c r="G177">
        <v>0.28999295674231601</v>
      </c>
      <c r="H177">
        <v>9.0820373215096308E-3</v>
      </c>
      <c r="I177">
        <v>-1.8112082729304599</v>
      </c>
      <c r="J177">
        <v>-6.01</v>
      </c>
      <c r="L177">
        <v>754.17448979591825</v>
      </c>
    </row>
    <row r="178" spans="1:12">
      <c r="A178" s="19">
        <v>43613</v>
      </c>
      <c r="B178">
        <v>697.7</v>
      </c>
      <c r="C178">
        <v>694.7</v>
      </c>
      <c r="D178">
        <v>2531</v>
      </c>
      <c r="E178">
        <v>2513</v>
      </c>
      <c r="F178">
        <v>0.27644249900517298</v>
      </c>
      <c r="G178">
        <v>0.29038848568406</v>
      </c>
      <c r="H178">
        <v>9.0026506452210494E-3</v>
      </c>
      <c r="I178">
        <v>-1.54909784112196</v>
      </c>
      <c r="J178">
        <v>-5.04</v>
      </c>
      <c r="L178">
        <v>756.28112244897954</v>
      </c>
    </row>
    <row r="179" spans="1:12">
      <c r="A179" s="19">
        <v>43612</v>
      </c>
      <c r="B179">
        <v>694.8</v>
      </c>
      <c r="C179">
        <v>696.3</v>
      </c>
      <c r="D179">
        <v>2513</v>
      </c>
      <c r="E179">
        <v>2531</v>
      </c>
      <c r="F179">
        <v>0.27510865270644003</v>
      </c>
      <c r="G179">
        <v>0.29082530300923098</v>
      </c>
      <c r="H179">
        <v>9.1095507702716599E-3</v>
      </c>
      <c r="I179">
        <v>-1.7252936724477199</v>
      </c>
      <c r="J179">
        <v>-5.71</v>
      </c>
      <c r="L179">
        <v>761.69817784256554</v>
      </c>
    </row>
    <row r="180" spans="1:12">
      <c r="A180" s="19">
        <v>43609</v>
      </c>
      <c r="B180">
        <v>685</v>
      </c>
      <c r="C180">
        <v>692.6</v>
      </c>
      <c r="D180">
        <v>2460</v>
      </c>
      <c r="E180">
        <v>2504</v>
      </c>
      <c r="F180">
        <v>0.27659744408945602</v>
      </c>
      <c r="G180">
        <v>0.29127875626726202</v>
      </c>
      <c r="H180">
        <v>9.1622187323877596E-3</v>
      </c>
      <c r="I180">
        <v>-1.60237521135669</v>
      </c>
      <c r="J180">
        <v>-5.31</v>
      </c>
      <c r="L180">
        <v>753.57259475218655</v>
      </c>
    </row>
    <row r="181" spans="1:12">
      <c r="A181" s="19">
        <v>43608</v>
      </c>
      <c r="B181">
        <v>700.1</v>
      </c>
      <c r="C181">
        <v>699</v>
      </c>
      <c r="D181">
        <v>2486</v>
      </c>
      <c r="E181">
        <v>2494</v>
      </c>
      <c r="F181">
        <v>0.28027265437048898</v>
      </c>
      <c r="G181">
        <v>0.291609356365369</v>
      </c>
      <c r="H181">
        <v>9.0734172750796902E-3</v>
      </c>
      <c r="I181">
        <v>-1.24944126905927</v>
      </c>
      <c r="J181">
        <v>-4.04</v>
      </c>
      <c r="L181">
        <v>750.56311953352758</v>
      </c>
    </row>
    <row r="182" spans="1:12">
      <c r="A182" s="19">
        <v>43607</v>
      </c>
      <c r="B182">
        <v>698.1</v>
      </c>
      <c r="C182">
        <v>702.8</v>
      </c>
      <c r="D182">
        <v>2554</v>
      </c>
      <c r="E182">
        <v>2515</v>
      </c>
      <c r="F182">
        <v>0.27944333996023801</v>
      </c>
      <c r="G182">
        <v>0.29190983528763298</v>
      </c>
      <c r="H182">
        <v>9.0661624833475399E-3</v>
      </c>
      <c r="I182">
        <v>-1.37505756711204</v>
      </c>
      <c r="J182">
        <v>-4.46</v>
      </c>
      <c r="L182">
        <v>756.88301749271125</v>
      </c>
    </row>
    <row r="183" spans="1:12">
      <c r="A183" s="19">
        <v>43606</v>
      </c>
      <c r="B183">
        <v>690.2</v>
      </c>
      <c r="C183">
        <v>696.4</v>
      </c>
      <c r="D183">
        <v>2567</v>
      </c>
      <c r="E183">
        <v>2554</v>
      </c>
      <c r="F183">
        <v>0.272670321064996</v>
      </c>
      <c r="G183">
        <v>0.29223211685924699</v>
      </c>
      <c r="H183">
        <v>9.0468723437967594E-3</v>
      </c>
      <c r="I183">
        <v>-2.1622716725592399</v>
      </c>
      <c r="J183">
        <v>-7.17</v>
      </c>
      <c r="L183">
        <v>768.61997084548102</v>
      </c>
    </row>
    <row r="184" spans="1:12">
      <c r="A184" s="19">
        <v>43605</v>
      </c>
      <c r="B184">
        <v>703.9</v>
      </c>
      <c r="C184">
        <v>697.2</v>
      </c>
      <c r="D184">
        <v>2572</v>
      </c>
      <c r="E184">
        <v>2596</v>
      </c>
      <c r="F184">
        <v>0.26856702619414402</v>
      </c>
      <c r="G184">
        <v>0.29260524620283501</v>
      </c>
      <c r="H184">
        <v>8.8062720079588302E-3</v>
      </c>
      <c r="I184">
        <v>-2.7296703970721201</v>
      </c>
      <c r="J184">
        <v>-8.9499999999999993</v>
      </c>
      <c r="L184">
        <v>781.25976676384835</v>
      </c>
    </row>
    <row r="185" spans="1:12">
      <c r="A185" s="19">
        <v>43602</v>
      </c>
      <c r="B185">
        <v>710</v>
      </c>
      <c r="C185">
        <v>708.2</v>
      </c>
      <c r="D185">
        <v>2574</v>
      </c>
      <c r="E185">
        <v>2573</v>
      </c>
      <c r="F185">
        <v>0.27524290711232002</v>
      </c>
      <c r="G185">
        <v>0.29299751997969198</v>
      </c>
      <c r="H185">
        <v>8.3712797683164406E-3</v>
      </c>
      <c r="I185">
        <v>-2.1208958915182698</v>
      </c>
      <c r="J185">
        <v>-6.45</v>
      </c>
      <c r="L185">
        <v>774.33797376093287</v>
      </c>
    </row>
    <row r="186" spans="1:12">
      <c r="A186" s="19">
        <v>43601</v>
      </c>
      <c r="B186">
        <v>701.4</v>
      </c>
      <c r="C186">
        <v>700.5</v>
      </c>
      <c r="D186">
        <v>2521</v>
      </c>
      <c r="E186">
        <v>2544</v>
      </c>
      <c r="F186">
        <v>0.27535377358490498</v>
      </c>
      <c r="G186">
        <v>0.29325541238546299</v>
      </c>
      <c r="H186">
        <v>8.1143326149626903E-3</v>
      </c>
      <c r="I186">
        <v>-2.2061751286294902</v>
      </c>
      <c r="J186">
        <v>-6.5</v>
      </c>
      <c r="L186">
        <v>765.61049562682206</v>
      </c>
    </row>
    <row r="187" spans="1:12">
      <c r="A187" s="19">
        <v>43600</v>
      </c>
      <c r="B187">
        <v>709</v>
      </c>
      <c r="C187">
        <v>706.1</v>
      </c>
      <c r="D187">
        <v>2539</v>
      </c>
      <c r="E187">
        <v>2530</v>
      </c>
      <c r="F187">
        <v>0.279090909090909</v>
      </c>
      <c r="G187">
        <v>0.29357249720613299</v>
      </c>
      <c r="H187">
        <v>7.8695542381793607E-3</v>
      </c>
      <c r="I187">
        <v>-1.8402043720553001</v>
      </c>
      <c r="J187">
        <v>-5.19</v>
      </c>
      <c r="L187">
        <v>761.39723032069958</v>
      </c>
    </row>
    <row r="188" spans="1:12">
      <c r="A188" s="19">
        <v>43599</v>
      </c>
      <c r="B188">
        <v>691</v>
      </c>
      <c r="C188">
        <v>703.2</v>
      </c>
      <c r="D188">
        <v>2447</v>
      </c>
      <c r="E188">
        <v>2538</v>
      </c>
      <c r="F188">
        <v>0.27706855791962098</v>
      </c>
      <c r="G188">
        <v>0.29383619992677001</v>
      </c>
      <c r="H188">
        <v>7.7096115841117198E-3</v>
      </c>
      <c r="I188">
        <v>-2.1749010082043299</v>
      </c>
      <c r="J188">
        <v>-6.05</v>
      </c>
      <c r="L188">
        <v>763.80481049562673</v>
      </c>
    </row>
    <row r="189" spans="1:12">
      <c r="A189" s="19">
        <v>43598</v>
      </c>
      <c r="B189">
        <v>707.2</v>
      </c>
      <c r="C189">
        <v>709.6</v>
      </c>
      <c r="D189">
        <v>2430</v>
      </c>
      <c r="E189">
        <v>2521</v>
      </c>
      <c r="F189">
        <v>0.28147560491868301</v>
      </c>
      <c r="G189">
        <v>0.29409472001551701</v>
      </c>
      <c r="H189">
        <v>7.4641932761340003E-3</v>
      </c>
      <c r="I189">
        <v>-1.69062008846722</v>
      </c>
      <c r="J189">
        <v>-4.4800000000000004</v>
      </c>
      <c r="L189">
        <v>758.68870262390658</v>
      </c>
    </row>
    <row r="190" spans="1:12">
      <c r="A190" s="19">
        <v>43595</v>
      </c>
      <c r="B190">
        <v>723.9</v>
      </c>
      <c r="C190">
        <v>713.9</v>
      </c>
      <c r="D190">
        <v>2397</v>
      </c>
      <c r="E190">
        <v>2431</v>
      </c>
      <c r="F190">
        <v>0.29366515837104001</v>
      </c>
      <c r="G190">
        <v>0.29426397955731098</v>
      </c>
      <c r="H190">
        <v>7.3186324289000702E-3</v>
      </c>
      <c r="I190">
        <v>-8.1821459417266304E-2</v>
      </c>
      <c r="J190">
        <v>-0.2</v>
      </c>
      <c r="L190">
        <v>731.60342565597659</v>
      </c>
    </row>
    <row r="191" spans="1:12">
      <c r="A191" s="19">
        <v>43594</v>
      </c>
      <c r="B191">
        <v>741.3</v>
      </c>
      <c r="C191">
        <v>721</v>
      </c>
      <c r="D191">
        <v>2478</v>
      </c>
      <c r="E191">
        <v>2438</v>
      </c>
      <c r="F191">
        <v>0.29573420836751402</v>
      </c>
      <c r="G191">
        <v>0.29428645149243798</v>
      </c>
      <c r="H191">
        <v>7.3193467187928603E-3</v>
      </c>
      <c r="I191">
        <v>0.197798646614009</v>
      </c>
      <c r="J191">
        <v>0.49</v>
      </c>
      <c r="L191">
        <v>733.71005830903778</v>
      </c>
    </row>
    <row r="192" spans="1:12">
      <c r="A192" s="19">
        <v>43593</v>
      </c>
      <c r="B192">
        <v>761</v>
      </c>
      <c r="C192">
        <v>750.8</v>
      </c>
      <c r="D192">
        <v>2529</v>
      </c>
      <c r="E192">
        <v>2516</v>
      </c>
      <c r="F192">
        <v>0.29841017488076299</v>
      </c>
      <c r="G192">
        <v>0.29423805267062503</v>
      </c>
      <c r="H192">
        <v>7.3216144351069398E-3</v>
      </c>
      <c r="I192">
        <v>0.56983637244435603</v>
      </c>
      <c r="J192">
        <v>1.4</v>
      </c>
      <c r="L192">
        <v>757.18396501457721</v>
      </c>
    </row>
    <row r="193" spans="1:12">
      <c r="A193" s="19">
        <v>43592</v>
      </c>
      <c r="B193">
        <v>794.1</v>
      </c>
      <c r="C193">
        <v>771.6</v>
      </c>
      <c r="D193">
        <v>2655</v>
      </c>
      <c r="E193">
        <v>2579</v>
      </c>
      <c r="F193">
        <v>0.29918573090345002</v>
      </c>
      <c r="G193">
        <v>0.29414108841328002</v>
      </c>
      <c r="H193">
        <v>7.3138702098159503E-3</v>
      </c>
      <c r="I193">
        <v>0.68973639748218396</v>
      </c>
      <c r="J193">
        <v>1.69</v>
      </c>
      <c r="L193">
        <v>776.1436588921282</v>
      </c>
    </row>
    <row r="194" spans="1:12">
      <c r="A194" s="19">
        <v>43581</v>
      </c>
      <c r="B194">
        <v>786.8</v>
      </c>
      <c r="C194">
        <v>795.1</v>
      </c>
      <c r="D194">
        <v>2660</v>
      </c>
      <c r="E194">
        <v>2617</v>
      </c>
      <c r="F194">
        <v>0.30382116927779901</v>
      </c>
      <c r="G194">
        <v>0.29408723945221399</v>
      </c>
      <c r="H194">
        <v>7.2913632824683303E-3</v>
      </c>
      <c r="I194">
        <v>1.3349944925922099</v>
      </c>
      <c r="J194">
        <v>3.2</v>
      </c>
      <c r="L194">
        <v>787.57966472303201</v>
      </c>
    </row>
    <row r="195" spans="1:12">
      <c r="A195" s="19">
        <v>43580</v>
      </c>
      <c r="B195">
        <v>789</v>
      </c>
      <c r="C195">
        <v>794.4</v>
      </c>
      <c r="D195">
        <v>2657</v>
      </c>
      <c r="E195">
        <v>2688</v>
      </c>
      <c r="F195">
        <v>0.29553571428571401</v>
      </c>
      <c r="G195">
        <v>0.29399038234487701</v>
      </c>
      <c r="H195">
        <v>7.2092020424564997E-3</v>
      </c>
      <c r="I195">
        <v>0.21435547675534</v>
      </c>
      <c r="J195">
        <v>0.52</v>
      </c>
      <c r="L195">
        <v>808.94693877551015</v>
      </c>
    </row>
    <row r="196" spans="1:12">
      <c r="A196" s="19">
        <v>43579</v>
      </c>
      <c r="B196">
        <v>811.5</v>
      </c>
      <c r="C196">
        <v>790.9</v>
      </c>
      <c r="D196">
        <v>2715</v>
      </c>
      <c r="E196">
        <v>2646</v>
      </c>
      <c r="F196">
        <v>0.29890400604686301</v>
      </c>
      <c r="G196">
        <v>0.29400043089203198</v>
      </c>
      <c r="H196">
        <v>7.2118737367558496E-3</v>
      </c>
      <c r="I196">
        <v>0.67993081046868797</v>
      </c>
      <c r="J196">
        <v>1.64</v>
      </c>
      <c r="L196">
        <v>796.30714285714282</v>
      </c>
    </row>
    <row r="197" spans="1:12">
      <c r="A197" s="19">
        <v>43578</v>
      </c>
      <c r="B197">
        <v>805</v>
      </c>
      <c r="C197">
        <v>811.6</v>
      </c>
      <c r="D197">
        <v>2669</v>
      </c>
      <c r="E197">
        <v>2692</v>
      </c>
      <c r="F197">
        <v>0.30148588410103999</v>
      </c>
      <c r="G197">
        <v>0.29387583888025098</v>
      </c>
      <c r="H197">
        <v>7.2067985086005301E-3</v>
      </c>
      <c r="I197">
        <v>1.0559536542761601</v>
      </c>
      <c r="J197">
        <v>2.52</v>
      </c>
      <c r="L197">
        <v>810.15072886297366</v>
      </c>
    </row>
    <row r="198" spans="1:12">
      <c r="A198" s="19">
        <v>43577</v>
      </c>
      <c r="B198">
        <v>795</v>
      </c>
      <c r="C198">
        <v>802.7</v>
      </c>
      <c r="D198">
        <v>2608</v>
      </c>
      <c r="E198">
        <v>2631</v>
      </c>
      <c r="F198">
        <v>0.305093120486507</v>
      </c>
      <c r="G198">
        <v>0.29377634177311501</v>
      </c>
      <c r="H198">
        <v>7.1523538555209702E-3</v>
      </c>
      <c r="I198">
        <v>1.5822453617358301</v>
      </c>
      <c r="J198">
        <v>3.71</v>
      </c>
      <c r="L198">
        <v>791.79293002915449</v>
      </c>
    </row>
    <row r="199" spans="1:12">
      <c r="A199" s="19">
        <v>43574</v>
      </c>
      <c r="B199">
        <v>797.1</v>
      </c>
      <c r="C199">
        <v>793.7</v>
      </c>
      <c r="D199">
        <v>2683</v>
      </c>
      <c r="E199">
        <v>2625</v>
      </c>
      <c r="F199">
        <v>0.302361904761904</v>
      </c>
      <c r="G199">
        <v>0.29366897667188102</v>
      </c>
      <c r="H199">
        <v>7.0412448542450101E-3</v>
      </c>
      <c r="I199">
        <v>1.2345726174800999</v>
      </c>
      <c r="J199">
        <v>2.88</v>
      </c>
      <c r="L199">
        <v>789.98724489795916</v>
      </c>
    </row>
    <row r="200" spans="1:12">
      <c r="A200" s="19">
        <v>43573</v>
      </c>
      <c r="B200">
        <v>798.4</v>
      </c>
      <c r="C200">
        <v>792.4</v>
      </c>
      <c r="D200">
        <v>2692</v>
      </c>
      <c r="E200">
        <v>2633</v>
      </c>
      <c r="F200">
        <v>0.30094948727686999</v>
      </c>
      <c r="G200">
        <v>0.293561992415585</v>
      </c>
      <c r="H200">
        <v>6.9689377171119702E-3</v>
      </c>
      <c r="I200">
        <v>1.0600603938740101</v>
      </c>
      <c r="J200">
        <v>2.4500000000000002</v>
      </c>
      <c r="L200">
        <v>792.39482507288619</v>
      </c>
    </row>
    <row r="201" spans="1:12">
      <c r="A201" s="19">
        <v>43572</v>
      </c>
      <c r="B201">
        <v>794.9</v>
      </c>
      <c r="C201">
        <v>802.2</v>
      </c>
      <c r="D201">
        <v>2690</v>
      </c>
      <c r="E201">
        <v>2692</v>
      </c>
      <c r="F201">
        <v>0.297994056463595</v>
      </c>
      <c r="G201">
        <v>0.29348676337149499</v>
      </c>
      <c r="H201">
        <v>6.9190592440911804E-3</v>
      </c>
      <c r="I201">
        <v>0.65143149279290202</v>
      </c>
      <c r="J201">
        <v>1.51</v>
      </c>
      <c r="L201">
        <v>810.15072886297366</v>
      </c>
    </row>
    <row r="202" spans="1:12">
      <c r="A202" s="19">
        <v>43571</v>
      </c>
      <c r="B202">
        <v>801.4</v>
      </c>
      <c r="C202">
        <v>793.9</v>
      </c>
      <c r="D202">
        <v>2704</v>
      </c>
      <c r="E202">
        <v>2698</v>
      </c>
      <c r="F202">
        <v>0.29425500370644903</v>
      </c>
      <c r="G202">
        <v>0.293556332441538</v>
      </c>
      <c r="H202">
        <v>6.98989746050764E-3</v>
      </c>
      <c r="I202">
        <v>9.9954436936690497E-2</v>
      </c>
      <c r="J202">
        <v>0.24</v>
      </c>
      <c r="L202">
        <v>811.956413994169</v>
      </c>
    </row>
    <row r="203" spans="1:12">
      <c r="A203" s="19">
        <v>43570</v>
      </c>
      <c r="B203">
        <v>796.6</v>
      </c>
      <c r="C203">
        <v>802.3</v>
      </c>
      <c r="D203">
        <v>2736</v>
      </c>
      <c r="E203">
        <v>2728</v>
      </c>
      <c r="F203">
        <v>0.29409824046920802</v>
      </c>
      <c r="G203">
        <v>0.29362525484893298</v>
      </c>
      <c r="H203">
        <v>7.02185849966795E-3</v>
      </c>
      <c r="I203">
        <v>6.7359036115179294E-2</v>
      </c>
      <c r="J203">
        <v>0.16</v>
      </c>
      <c r="L203">
        <v>820.98483965014566</v>
      </c>
    </row>
    <row r="204" spans="1:12">
      <c r="A204" s="19">
        <v>43567</v>
      </c>
      <c r="B204">
        <v>787.9</v>
      </c>
      <c r="C204">
        <v>786.8</v>
      </c>
      <c r="D204">
        <v>2694</v>
      </c>
      <c r="E204">
        <v>2652</v>
      </c>
      <c r="F204">
        <v>0.29668174962292598</v>
      </c>
      <c r="G204">
        <v>0.29368648644003298</v>
      </c>
      <c r="H204">
        <v>7.0456986088644003E-3</v>
      </c>
      <c r="I204">
        <v>0.42511940251376501</v>
      </c>
      <c r="J204">
        <v>1.01</v>
      </c>
      <c r="L204">
        <v>798.11282798833815</v>
      </c>
    </row>
    <row r="205" spans="1:12">
      <c r="A205" s="19">
        <v>43566</v>
      </c>
      <c r="B205">
        <v>780.4</v>
      </c>
      <c r="C205">
        <v>781.8</v>
      </c>
      <c r="D205">
        <v>2655</v>
      </c>
      <c r="E205">
        <v>2652</v>
      </c>
      <c r="F205">
        <v>0.29479638009049702</v>
      </c>
      <c r="G205">
        <v>0.29376789068511999</v>
      </c>
      <c r="H205">
        <v>7.1147660078306101E-3</v>
      </c>
      <c r="I205">
        <v>0.144557024678691</v>
      </c>
      <c r="J205">
        <v>0.35</v>
      </c>
      <c r="L205">
        <v>798.11282798833815</v>
      </c>
    </row>
    <row r="206" spans="1:12">
      <c r="A206" s="19">
        <v>43565</v>
      </c>
      <c r="B206">
        <v>793.5</v>
      </c>
      <c r="C206">
        <v>788.9</v>
      </c>
      <c r="D206">
        <v>2650</v>
      </c>
      <c r="E206">
        <v>2649</v>
      </c>
      <c r="F206">
        <v>0.29781049452623598</v>
      </c>
      <c r="G206">
        <v>0.29384990590879201</v>
      </c>
      <c r="H206">
        <v>7.1614495526441096E-3</v>
      </c>
      <c r="I206">
        <v>0.553042870487224</v>
      </c>
      <c r="J206">
        <v>1.33</v>
      </c>
      <c r="L206">
        <v>797.20998542274049</v>
      </c>
    </row>
    <row r="207" spans="1:12">
      <c r="A207" s="19">
        <v>43564</v>
      </c>
      <c r="B207">
        <v>801.1</v>
      </c>
      <c r="C207">
        <v>799.4</v>
      </c>
      <c r="D207">
        <v>2697</v>
      </c>
      <c r="E207">
        <v>2681</v>
      </c>
      <c r="F207">
        <v>0.29817232375979102</v>
      </c>
      <c r="G207">
        <v>0.29392393362310099</v>
      </c>
      <c r="H207">
        <v>7.2303716311371601E-3</v>
      </c>
      <c r="I207">
        <v>0.58757562590476498</v>
      </c>
      <c r="J207">
        <v>1.42</v>
      </c>
      <c r="L207">
        <v>806.84030612244885</v>
      </c>
    </row>
    <row r="208" spans="1:12">
      <c r="A208" s="19">
        <v>43563</v>
      </c>
      <c r="B208">
        <v>808</v>
      </c>
      <c r="C208">
        <v>806.1</v>
      </c>
      <c r="D208">
        <v>2705</v>
      </c>
      <c r="E208">
        <v>2692</v>
      </c>
      <c r="F208">
        <v>0.299442793462109</v>
      </c>
      <c r="G208">
        <v>0.29395601255410497</v>
      </c>
      <c r="H208">
        <v>7.2544463490169199E-3</v>
      </c>
      <c r="I208">
        <v>0.75633351520306702</v>
      </c>
      <c r="J208">
        <v>1.83</v>
      </c>
      <c r="L208">
        <v>810.15072886297366</v>
      </c>
    </row>
    <row r="209" spans="1:12">
      <c r="A209" s="19">
        <v>43560</v>
      </c>
      <c r="B209">
        <v>792.4</v>
      </c>
      <c r="C209">
        <v>802.2</v>
      </c>
      <c r="D209">
        <v>2699</v>
      </c>
      <c r="E209">
        <v>2704</v>
      </c>
      <c r="F209">
        <v>0.296671597633136</v>
      </c>
      <c r="G209">
        <v>0.293946878827613</v>
      </c>
      <c r="H209">
        <v>7.2479608004941704E-3</v>
      </c>
      <c r="I209">
        <v>0.37592902066152301</v>
      </c>
      <c r="J209">
        <v>0.92</v>
      </c>
      <c r="L209">
        <v>813.76209912536433</v>
      </c>
    </row>
    <row r="210" spans="1:12">
      <c r="A210" s="19">
        <v>43559</v>
      </c>
      <c r="B210">
        <v>789</v>
      </c>
      <c r="C210">
        <v>793.5</v>
      </c>
      <c r="D210">
        <v>2720</v>
      </c>
      <c r="E210">
        <v>2695</v>
      </c>
      <c r="F210">
        <v>0.29443413729127998</v>
      </c>
      <c r="G210">
        <v>0.29388409703201002</v>
      </c>
      <c r="H210">
        <v>7.2444796412734604E-3</v>
      </c>
      <c r="I210">
        <v>7.5925433779334695E-2</v>
      </c>
      <c r="J210">
        <v>0.19</v>
      </c>
      <c r="L210">
        <v>811.05357142857133</v>
      </c>
    </row>
    <row r="211" spans="1:12">
      <c r="A211" s="19">
        <v>43558</v>
      </c>
      <c r="B211">
        <v>785</v>
      </c>
      <c r="C211">
        <v>791.3</v>
      </c>
      <c r="D211">
        <v>2710</v>
      </c>
      <c r="E211">
        <v>2733</v>
      </c>
      <c r="F211">
        <v>0.28953530918404602</v>
      </c>
      <c r="G211">
        <v>0.29389493254454402</v>
      </c>
      <c r="H211">
        <v>7.2459018365990096E-3</v>
      </c>
      <c r="I211">
        <v>-0.60166746097453105</v>
      </c>
      <c r="J211">
        <v>-1.51</v>
      </c>
      <c r="L211">
        <v>822.48957725947514</v>
      </c>
    </row>
    <row r="212" spans="1:12">
      <c r="A212" s="19">
        <v>43557</v>
      </c>
      <c r="B212">
        <v>797</v>
      </c>
      <c r="C212">
        <v>783.2</v>
      </c>
      <c r="D212">
        <v>2777</v>
      </c>
      <c r="E212">
        <v>2704</v>
      </c>
      <c r="F212">
        <v>0.28964497041420101</v>
      </c>
      <c r="G212">
        <v>0.294013343444888</v>
      </c>
      <c r="H212">
        <v>7.2462544827501703E-3</v>
      </c>
      <c r="I212">
        <v>-0.60284565510169097</v>
      </c>
      <c r="J212">
        <v>-1.51</v>
      </c>
      <c r="L212">
        <v>813.76209912536433</v>
      </c>
    </row>
    <row r="213" spans="1:12">
      <c r="A213" s="19">
        <v>43556</v>
      </c>
      <c r="B213">
        <v>779</v>
      </c>
      <c r="C213">
        <v>791.4</v>
      </c>
      <c r="D213">
        <v>2800</v>
      </c>
      <c r="E213">
        <v>2752</v>
      </c>
      <c r="F213">
        <v>0.28757267441860401</v>
      </c>
      <c r="G213">
        <v>0.29415286611010699</v>
      </c>
      <c r="H213">
        <v>7.2615257637143197E-3</v>
      </c>
      <c r="I213">
        <v>-0.90617205056055505</v>
      </c>
      <c r="J213">
        <v>-2.29</v>
      </c>
      <c r="L213">
        <v>828.20758017492699</v>
      </c>
    </row>
    <row r="214" spans="1:12">
      <c r="A214" s="19">
        <v>43553</v>
      </c>
      <c r="B214">
        <v>768.4</v>
      </c>
      <c r="C214">
        <v>765</v>
      </c>
      <c r="D214">
        <v>2641</v>
      </c>
      <c r="E214">
        <v>2619</v>
      </c>
      <c r="F214">
        <v>0.292096219931271</v>
      </c>
      <c r="G214">
        <v>0.29430002546010497</v>
      </c>
      <c r="H214">
        <v>7.2384817227312496E-3</v>
      </c>
      <c r="I214">
        <v>-0.30445687552317502</v>
      </c>
      <c r="J214">
        <v>-0.75</v>
      </c>
      <c r="L214">
        <v>788.18155976676383</v>
      </c>
    </row>
    <row r="215" spans="1:12">
      <c r="A215" s="19">
        <v>43552</v>
      </c>
      <c r="B215">
        <v>779.9</v>
      </c>
      <c r="C215">
        <v>765.9</v>
      </c>
      <c r="D215">
        <v>2677</v>
      </c>
      <c r="E215">
        <v>2641</v>
      </c>
      <c r="F215">
        <v>0.29000378644452801</v>
      </c>
      <c r="G215">
        <v>0.29437300341767297</v>
      </c>
      <c r="H215">
        <v>7.24348445757215E-3</v>
      </c>
      <c r="I215">
        <v>-0.60319270355824395</v>
      </c>
      <c r="J215">
        <v>-1.51</v>
      </c>
      <c r="L215">
        <v>794.80240524781334</v>
      </c>
    </row>
    <row r="216" spans="1:12">
      <c r="A216" s="19">
        <v>43551</v>
      </c>
      <c r="B216">
        <v>785.2</v>
      </c>
      <c r="C216">
        <v>782.5</v>
      </c>
      <c r="D216">
        <v>2723</v>
      </c>
      <c r="E216">
        <v>2716</v>
      </c>
      <c r="F216">
        <v>0.28810751104565502</v>
      </c>
      <c r="G216">
        <v>0.29450445287445298</v>
      </c>
      <c r="H216">
        <v>7.25245115175761E-3</v>
      </c>
      <c r="I216">
        <v>-0.88203859563362996</v>
      </c>
      <c r="J216">
        <v>-2.2200000000000002</v>
      </c>
      <c r="L216">
        <v>817.37346938775499</v>
      </c>
    </row>
    <row r="217" spans="1:12">
      <c r="A217" s="19">
        <v>43550</v>
      </c>
      <c r="B217">
        <v>789.7</v>
      </c>
      <c r="C217">
        <v>805</v>
      </c>
      <c r="D217">
        <v>2671</v>
      </c>
      <c r="E217">
        <v>2754</v>
      </c>
      <c r="F217">
        <v>0.29230210602759599</v>
      </c>
      <c r="G217">
        <v>0.29455018829649299</v>
      </c>
      <c r="H217">
        <v>7.2227212304905204E-3</v>
      </c>
      <c r="I217">
        <v>-0.31125142410408702</v>
      </c>
      <c r="J217">
        <v>-0.77</v>
      </c>
      <c r="L217">
        <v>828.8094752186588</v>
      </c>
    </row>
    <row r="218" spans="1:12">
      <c r="A218" s="19">
        <v>43549</v>
      </c>
      <c r="B218">
        <v>793.6</v>
      </c>
      <c r="C218">
        <v>785.4</v>
      </c>
      <c r="D218">
        <v>2650</v>
      </c>
      <c r="E218">
        <v>2621</v>
      </c>
      <c r="F218">
        <v>0.29965661961083501</v>
      </c>
      <c r="G218">
        <v>0.29456960849198699</v>
      </c>
      <c r="H218">
        <v>7.2186074996889102E-3</v>
      </c>
      <c r="I218">
        <v>0.70470809211713703</v>
      </c>
      <c r="J218">
        <v>1.7</v>
      </c>
      <c r="L218">
        <v>788.78345481049553</v>
      </c>
    </row>
    <row r="219" spans="1:12">
      <c r="A219" s="19">
        <v>43546</v>
      </c>
      <c r="B219">
        <v>795</v>
      </c>
      <c r="C219">
        <v>805.9</v>
      </c>
      <c r="D219">
        <v>2701</v>
      </c>
      <c r="E219">
        <v>2687</v>
      </c>
      <c r="F219">
        <v>0.29992556754744998</v>
      </c>
      <c r="G219">
        <v>0.29444835756750298</v>
      </c>
      <c r="H219">
        <v>7.2085100296421798E-3</v>
      </c>
      <c r="I219">
        <v>0.75982553362962602</v>
      </c>
      <c r="J219">
        <v>1.83</v>
      </c>
      <c r="L219">
        <v>808.64599125364418</v>
      </c>
    </row>
    <row r="220" spans="1:12">
      <c r="A220" s="19">
        <v>43544</v>
      </c>
      <c r="B220">
        <v>785.2</v>
      </c>
      <c r="C220">
        <v>792.7</v>
      </c>
      <c r="D220">
        <v>2691</v>
      </c>
      <c r="E220">
        <v>2709</v>
      </c>
      <c r="F220">
        <v>0.292617201919527</v>
      </c>
      <c r="G220">
        <v>0.29431234194757799</v>
      </c>
      <c r="H220">
        <v>7.2001154880732597E-3</v>
      </c>
      <c r="I220">
        <v>-0.23543233866995</v>
      </c>
      <c r="J220">
        <v>-0.57999999999999996</v>
      </c>
      <c r="L220">
        <v>815.26683673469381</v>
      </c>
    </row>
    <row r="221" spans="1:12">
      <c r="A221" s="19">
        <v>43543</v>
      </c>
      <c r="B221">
        <v>781</v>
      </c>
      <c r="C221">
        <v>785.1</v>
      </c>
      <c r="D221">
        <v>2695</v>
      </c>
      <c r="E221">
        <v>2681</v>
      </c>
      <c r="F221">
        <v>0.29283849309958898</v>
      </c>
      <c r="G221">
        <v>0.29431993273088503</v>
      </c>
      <c r="H221">
        <v>7.1986243157762704E-3</v>
      </c>
      <c r="I221">
        <v>-0.205794824998635</v>
      </c>
      <c r="J221">
        <v>-0.51</v>
      </c>
      <c r="L221">
        <v>806.84030612244885</v>
      </c>
    </row>
    <row r="222" spans="1:12">
      <c r="A222" s="19">
        <v>43542</v>
      </c>
      <c r="B222">
        <v>778.6</v>
      </c>
      <c r="C222">
        <v>779.3</v>
      </c>
      <c r="D222">
        <v>2693</v>
      </c>
      <c r="E222">
        <v>2695</v>
      </c>
      <c r="F222">
        <v>0.28916512059369198</v>
      </c>
      <c r="G222">
        <v>0.29429524195456302</v>
      </c>
      <c r="H222">
        <v>7.2068343103647396E-3</v>
      </c>
      <c r="I222">
        <v>-0.71184116908210204</v>
      </c>
      <c r="J222">
        <v>-1.77</v>
      </c>
      <c r="L222">
        <v>811.05357142857133</v>
      </c>
    </row>
    <row r="223" spans="1:12">
      <c r="A223" s="19">
        <v>43539</v>
      </c>
      <c r="B223">
        <v>781.6</v>
      </c>
      <c r="C223">
        <v>779.3</v>
      </c>
      <c r="D223">
        <v>2661</v>
      </c>
      <c r="E223">
        <v>2685</v>
      </c>
      <c r="F223">
        <v>0.29024208566108001</v>
      </c>
      <c r="G223">
        <v>0.29431457810303502</v>
      </c>
      <c r="H223">
        <v>7.1949798339963197E-3</v>
      </c>
      <c r="I223">
        <v>-0.56601860407068705</v>
      </c>
      <c r="J223">
        <v>-1.4</v>
      </c>
      <c r="L223">
        <v>808.04409620991248</v>
      </c>
    </row>
    <row r="224" spans="1:12">
      <c r="A224" s="19">
        <v>43538</v>
      </c>
      <c r="B224">
        <v>786.5</v>
      </c>
      <c r="C224">
        <v>781.7</v>
      </c>
      <c r="D224">
        <v>2696</v>
      </c>
      <c r="E224">
        <v>2667</v>
      </c>
      <c r="F224">
        <v>0.29310086239220101</v>
      </c>
      <c r="G224">
        <v>0.29439469498860799</v>
      </c>
      <c r="H224">
        <v>7.1826296664847297E-3</v>
      </c>
      <c r="I224">
        <v>-0.180133552262183</v>
      </c>
      <c r="J224">
        <v>-0.44</v>
      </c>
      <c r="L224">
        <v>802.62704081632648</v>
      </c>
    </row>
    <row r="225" spans="1:12">
      <c r="A225" s="19">
        <v>43537</v>
      </c>
      <c r="B225">
        <v>779.7</v>
      </c>
      <c r="C225">
        <v>777.3</v>
      </c>
      <c r="D225">
        <v>2714</v>
      </c>
      <c r="E225">
        <v>2688</v>
      </c>
      <c r="F225">
        <v>0.28917410714285702</v>
      </c>
      <c r="G225">
        <v>0.29439646474358699</v>
      </c>
      <c r="H225">
        <v>7.18232700194901E-3</v>
      </c>
      <c r="I225">
        <v>-0.72711220184120595</v>
      </c>
      <c r="J225">
        <v>-1.81</v>
      </c>
      <c r="L225">
        <v>808.94693877551015</v>
      </c>
    </row>
    <row r="226" spans="1:12">
      <c r="A226" s="19">
        <v>43536</v>
      </c>
      <c r="B226">
        <v>782</v>
      </c>
      <c r="C226">
        <v>783.4</v>
      </c>
      <c r="D226">
        <v>2716</v>
      </c>
      <c r="E226">
        <v>2717</v>
      </c>
      <c r="F226">
        <v>0.28833271991166698</v>
      </c>
      <c r="G226">
        <v>0.29444813536498798</v>
      </c>
      <c r="H226">
        <v>7.1584708820175902E-3</v>
      </c>
      <c r="I226">
        <v>-0.85429074925525295</v>
      </c>
      <c r="J226">
        <v>-2.12</v>
      </c>
      <c r="L226">
        <v>817.67441690962096</v>
      </c>
    </row>
    <row r="227" spans="1:12">
      <c r="A227" s="19">
        <v>43535</v>
      </c>
      <c r="B227">
        <v>766</v>
      </c>
      <c r="C227">
        <v>771.6</v>
      </c>
      <c r="D227">
        <v>2697</v>
      </c>
      <c r="E227">
        <v>2698</v>
      </c>
      <c r="F227">
        <v>0.28598962194217897</v>
      </c>
      <c r="G227">
        <v>0.29452769177349097</v>
      </c>
      <c r="H227">
        <v>7.1231332169672196E-3</v>
      </c>
      <c r="I227">
        <v>-1.19863963950228</v>
      </c>
      <c r="J227">
        <v>-2.99</v>
      </c>
      <c r="L227">
        <v>811.956413994169</v>
      </c>
    </row>
    <row r="228" spans="1:12">
      <c r="A228" s="19">
        <v>43532</v>
      </c>
      <c r="B228">
        <v>774</v>
      </c>
      <c r="C228">
        <v>765.7</v>
      </c>
      <c r="D228">
        <v>2707</v>
      </c>
      <c r="E228">
        <v>2696</v>
      </c>
      <c r="F228">
        <v>0.28401335311572701</v>
      </c>
      <c r="G228">
        <v>0.29463906850565003</v>
      </c>
      <c r="H228">
        <v>7.05372920175301E-3</v>
      </c>
      <c r="I228">
        <v>-1.5063968414441999</v>
      </c>
      <c r="J228">
        <v>-3.74</v>
      </c>
      <c r="L228">
        <v>811.3545189504373</v>
      </c>
    </row>
    <row r="229" spans="1:12">
      <c r="A229" s="19">
        <v>43531</v>
      </c>
      <c r="B229">
        <v>790.1</v>
      </c>
      <c r="C229">
        <v>782.6</v>
      </c>
      <c r="D229">
        <v>2695</v>
      </c>
      <c r="E229">
        <v>2730</v>
      </c>
      <c r="F229">
        <v>0.28666666666666601</v>
      </c>
      <c r="G229">
        <v>0.29486740668218803</v>
      </c>
      <c r="H229">
        <v>6.9828947142687604E-3</v>
      </c>
      <c r="I229">
        <v>-1.17440407611544</v>
      </c>
      <c r="J229">
        <v>-2.86</v>
      </c>
      <c r="L229">
        <v>821.58673469387747</v>
      </c>
    </row>
    <row r="230" spans="1:12">
      <c r="A230" s="19">
        <v>43530</v>
      </c>
      <c r="B230">
        <v>792.4</v>
      </c>
      <c r="C230">
        <v>788.1</v>
      </c>
      <c r="D230">
        <v>2724</v>
      </c>
      <c r="E230">
        <v>2708</v>
      </c>
      <c r="F230">
        <v>0.29102658788774</v>
      </c>
      <c r="G230">
        <v>0.29509376010404798</v>
      </c>
      <c r="H230">
        <v>6.98854362220364E-3</v>
      </c>
      <c r="I230">
        <v>-0.58197708080205901</v>
      </c>
      <c r="J230">
        <v>-1.4</v>
      </c>
      <c r="L230">
        <v>814.96588921282796</v>
      </c>
    </row>
    <row r="231" spans="1:12">
      <c r="A231" s="19">
        <v>43529</v>
      </c>
      <c r="B231">
        <v>791.4</v>
      </c>
      <c r="C231">
        <v>793.4</v>
      </c>
      <c r="D231">
        <v>2717</v>
      </c>
      <c r="E231">
        <v>2724</v>
      </c>
      <c r="F231">
        <v>0.291262848751835</v>
      </c>
      <c r="G231">
        <v>0.29523929997707199</v>
      </c>
      <c r="H231">
        <v>7.01593384710402E-3</v>
      </c>
      <c r="I231">
        <v>-0.56677433281076095</v>
      </c>
      <c r="J231">
        <v>-1.37</v>
      </c>
      <c r="L231">
        <v>819.78104956268214</v>
      </c>
    </row>
    <row r="232" spans="1:12">
      <c r="A232" s="19">
        <v>43528</v>
      </c>
      <c r="B232">
        <v>799.5</v>
      </c>
      <c r="C232">
        <v>797.9</v>
      </c>
      <c r="D232">
        <v>2774</v>
      </c>
      <c r="E232">
        <v>2765</v>
      </c>
      <c r="F232">
        <v>0.28857142857142798</v>
      </c>
      <c r="G232">
        <v>0.29543374404499601</v>
      </c>
      <c r="H232">
        <v>7.1045592202073999E-3</v>
      </c>
      <c r="I232">
        <v>-0.96590305758161199</v>
      </c>
      <c r="J232">
        <v>-2.38</v>
      </c>
      <c r="L232">
        <v>832.11989795918362</v>
      </c>
    </row>
    <row r="233" spans="1:12">
      <c r="A233" s="19">
        <v>43525</v>
      </c>
      <c r="B233">
        <v>799.3</v>
      </c>
      <c r="C233">
        <v>795.3</v>
      </c>
      <c r="D233">
        <v>2812</v>
      </c>
      <c r="E233">
        <v>2769</v>
      </c>
      <c r="F233">
        <v>0.28721560130010798</v>
      </c>
      <c r="G233">
        <v>0.29561680840044502</v>
      </c>
      <c r="H233">
        <v>7.10226726509121E-3</v>
      </c>
      <c r="I233">
        <v>-1.1828908694594999</v>
      </c>
      <c r="J233">
        <v>-2.93</v>
      </c>
      <c r="L233">
        <v>833.32368804664713</v>
      </c>
    </row>
    <row r="234" spans="1:12">
      <c r="A234" s="19">
        <v>43524</v>
      </c>
      <c r="B234">
        <v>798.2</v>
      </c>
      <c r="C234">
        <v>794.7</v>
      </c>
      <c r="D234">
        <v>2783</v>
      </c>
      <c r="E234">
        <v>2815</v>
      </c>
      <c r="F234">
        <v>0.28230905861456401</v>
      </c>
      <c r="G234">
        <v>0.29598632808264103</v>
      </c>
      <c r="H234">
        <v>7.3714104768663503E-3</v>
      </c>
      <c r="I234">
        <v>-1.85544808703843</v>
      </c>
      <c r="J234">
        <v>-4.84</v>
      </c>
      <c r="L234">
        <v>847.16727405247809</v>
      </c>
    </row>
    <row r="235" spans="1:12">
      <c r="A235" s="19">
        <v>43523</v>
      </c>
      <c r="B235">
        <v>800.6</v>
      </c>
      <c r="C235">
        <v>802</v>
      </c>
      <c r="D235">
        <v>2799</v>
      </c>
      <c r="E235">
        <v>2785</v>
      </c>
      <c r="F235">
        <v>0.28797127468581601</v>
      </c>
      <c r="G235">
        <v>0.29628270594225697</v>
      </c>
      <c r="H235">
        <v>7.2615811334310497E-3</v>
      </c>
      <c r="I235">
        <v>-1.1445759681974099</v>
      </c>
      <c r="J235">
        <v>-2.89</v>
      </c>
      <c r="L235">
        <v>838.13884839650143</v>
      </c>
    </row>
    <row r="236" spans="1:12">
      <c r="A236" s="19">
        <v>43522</v>
      </c>
      <c r="B236">
        <v>805</v>
      </c>
      <c r="C236">
        <v>802.3</v>
      </c>
      <c r="D236">
        <v>2829</v>
      </c>
      <c r="E236">
        <v>2784</v>
      </c>
      <c r="F236">
        <v>0.28818247126436702</v>
      </c>
      <c r="G236">
        <v>0.29678386644851401</v>
      </c>
      <c r="H236">
        <v>7.9363603427108406E-3</v>
      </c>
      <c r="I236">
        <v>-1.0837959483589901</v>
      </c>
      <c r="J236">
        <v>-2.98</v>
      </c>
      <c r="L236">
        <v>837.83790087463547</v>
      </c>
    </row>
    <row r="237" spans="1:12">
      <c r="A237" s="19">
        <v>43521</v>
      </c>
      <c r="B237">
        <v>812.1</v>
      </c>
      <c r="C237">
        <v>804.2</v>
      </c>
      <c r="D237">
        <v>2845</v>
      </c>
      <c r="E237">
        <v>2826</v>
      </c>
      <c r="F237">
        <v>0.28457183297947602</v>
      </c>
      <c r="G237">
        <v>0.29722230975646402</v>
      </c>
      <c r="H237">
        <v>8.3467703162032406E-3</v>
      </c>
      <c r="I237">
        <v>-1.5156133807144501</v>
      </c>
      <c r="J237">
        <v>-4.45</v>
      </c>
      <c r="L237">
        <v>850.47769679300279</v>
      </c>
    </row>
    <row r="238" spans="1:12">
      <c r="A238" s="19">
        <v>43518</v>
      </c>
      <c r="B238">
        <v>793</v>
      </c>
      <c r="C238">
        <v>807</v>
      </c>
      <c r="D238">
        <v>2868</v>
      </c>
      <c r="E238">
        <v>2839</v>
      </c>
      <c r="F238">
        <v>0.284255019373018</v>
      </c>
      <c r="G238">
        <v>0.29790323232528398</v>
      </c>
      <c r="H238">
        <v>9.3140267733047202E-3</v>
      </c>
      <c r="I238">
        <v>-1.4653396736397399</v>
      </c>
      <c r="J238">
        <v>-4.8</v>
      </c>
      <c r="L238">
        <v>854.39001457725942</v>
      </c>
    </row>
    <row r="239" spans="1:12">
      <c r="A239" s="19">
        <v>43517</v>
      </c>
      <c r="B239">
        <v>816.1</v>
      </c>
      <c r="C239">
        <v>818.9</v>
      </c>
      <c r="D239">
        <v>2885</v>
      </c>
      <c r="E239">
        <v>2894</v>
      </c>
      <c r="F239">
        <v>0.28296475466482301</v>
      </c>
      <c r="G239">
        <v>0.29856545009956398</v>
      </c>
      <c r="H239">
        <v>1.0056157938687801E-2</v>
      </c>
      <c r="I239">
        <v>-1.55135743987488</v>
      </c>
      <c r="J239">
        <v>-5.51</v>
      </c>
      <c r="L239">
        <v>870.94212827988326</v>
      </c>
    </row>
    <row r="240" spans="1:12">
      <c r="A240" s="19">
        <v>43516</v>
      </c>
      <c r="B240">
        <v>812</v>
      </c>
      <c r="C240">
        <v>821.2</v>
      </c>
      <c r="D240">
        <v>2873</v>
      </c>
      <c r="E240">
        <v>2873</v>
      </c>
      <c r="F240">
        <v>0.28583362339018398</v>
      </c>
      <c r="G240">
        <v>0.29919795183070902</v>
      </c>
      <c r="H240">
        <v>1.05354498385925E-2</v>
      </c>
      <c r="I240">
        <v>-1.26851047133934</v>
      </c>
      <c r="J240">
        <v>-4.68</v>
      </c>
      <c r="L240">
        <v>864.6222303206996</v>
      </c>
    </row>
    <row r="241" spans="1:12">
      <c r="A241" s="19">
        <v>43515</v>
      </c>
      <c r="B241">
        <v>800</v>
      </c>
      <c r="C241">
        <v>807.5</v>
      </c>
      <c r="D241">
        <v>2840</v>
      </c>
      <c r="E241">
        <v>2853</v>
      </c>
      <c r="F241">
        <v>0.283035401331931</v>
      </c>
      <c r="G241">
        <v>0.299817606082943</v>
      </c>
      <c r="H241">
        <v>1.10836393138572E-2</v>
      </c>
      <c r="I241">
        <v>-1.51414208598703</v>
      </c>
      <c r="J241">
        <v>-5.93</v>
      </c>
      <c r="L241">
        <v>858.60327988338179</v>
      </c>
    </row>
    <row r="242" spans="1:12">
      <c r="A242" s="19">
        <v>43514</v>
      </c>
      <c r="B242">
        <v>802</v>
      </c>
      <c r="C242">
        <v>806.1</v>
      </c>
      <c r="D242">
        <v>2819</v>
      </c>
      <c r="E242">
        <v>2849</v>
      </c>
      <c r="F242">
        <v>0.28294138294138199</v>
      </c>
      <c r="G242">
        <v>0.30046932195767301</v>
      </c>
      <c r="H242">
        <v>1.15066453392397E-2</v>
      </c>
      <c r="I242">
        <v>-1.52328836941874</v>
      </c>
      <c r="J242">
        <v>-6.19</v>
      </c>
      <c r="L242">
        <v>857.39948979591827</v>
      </c>
    </row>
    <row r="243" spans="1:12">
      <c r="A243" s="19">
        <v>43511</v>
      </c>
      <c r="B243">
        <v>780.9</v>
      </c>
      <c r="C243">
        <v>787.6</v>
      </c>
      <c r="D243">
        <v>2741</v>
      </c>
      <c r="E243">
        <v>2769</v>
      </c>
      <c r="F243">
        <v>0.28443481401227799</v>
      </c>
      <c r="G243">
        <v>0.301167473549035</v>
      </c>
      <c r="H243">
        <v>1.19998886504261E-2</v>
      </c>
      <c r="I243">
        <v>-1.39440123356166</v>
      </c>
      <c r="J243">
        <v>-5.88</v>
      </c>
      <c r="L243">
        <v>833.32368804664713</v>
      </c>
    </row>
    <row r="244" spans="1:12">
      <c r="A244" s="19">
        <v>43510</v>
      </c>
      <c r="B244">
        <v>800.4</v>
      </c>
      <c r="C244">
        <v>788.8</v>
      </c>
      <c r="D244">
        <v>2737</v>
      </c>
      <c r="E244">
        <v>2750</v>
      </c>
      <c r="F244">
        <v>0.286836363636363</v>
      </c>
      <c r="G244">
        <v>0.30192370824696302</v>
      </c>
      <c r="H244">
        <v>1.26889566206178E-2</v>
      </c>
      <c r="I244">
        <v>-1.1890138063901301</v>
      </c>
      <c r="J244">
        <v>-5.26</v>
      </c>
      <c r="L244">
        <v>827.60568513119529</v>
      </c>
    </row>
    <row r="245" spans="1:12">
      <c r="A245" s="19">
        <v>43509</v>
      </c>
      <c r="B245">
        <v>799.8</v>
      </c>
      <c r="C245">
        <v>790</v>
      </c>
      <c r="D245">
        <v>2762</v>
      </c>
      <c r="E245">
        <v>2745</v>
      </c>
      <c r="F245">
        <v>0.28779599271402501</v>
      </c>
      <c r="G245">
        <v>0.30267347129258199</v>
      </c>
      <c r="H245">
        <v>1.3415828541220001E-2</v>
      </c>
      <c r="I245">
        <v>-1.10894966589994</v>
      </c>
      <c r="J245">
        <v>-5.17</v>
      </c>
      <c r="L245">
        <v>826.10094752186581</v>
      </c>
    </row>
    <row r="246" spans="1:12">
      <c r="A246" s="19">
        <v>43508</v>
      </c>
      <c r="B246">
        <v>776</v>
      </c>
      <c r="C246">
        <v>782.6</v>
      </c>
      <c r="D246">
        <v>2683</v>
      </c>
      <c r="E246">
        <v>2748</v>
      </c>
      <c r="F246">
        <v>0.284788937409024</v>
      </c>
      <c r="G246">
        <v>0.30346031515090799</v>
      </c>
      <c r="H246">
        <v>1.4226281003835699E-2</v>
      </c>
      <c r="I246">
        <v>-1.31245669453944</v>
      </c>
      <c r="J246">
        <v>-6.56</v>
      </c>
      <c r="L246">
        <v>827.00379008746347</v>
      </c>
    </row>
    <row r="247" spans="1:12">
      <c r="A247" s="19">
        <v>43504</v>
      </c>
      <c r="B247">
        <v>799.9</v>
      </c>
      <c r="C247">
        <v>769.1</v>
      </c>
      <c r="D247">
        <v>2696</v>
      </c>
      <c r="E247">
        <v>2713</v>
      </c>
      <c r="F247">
        <v>0.28348691485440403</v>
      </c>
      <c r="G247">
        <v>0.30430414573973902</v>
      </c>
      <c r="H247">
        <v>1.4952184338335299E-2</v>
      </c>
      <c r="I247">
        <v>-1.3922534938231299</v>
      </c>
      <c r="J247">
        <v>-7.34</v>
      </c>
      <c r="L247">
        <v>816.47062682215733</v>
      </c>
    </row>
    <row r="248" spans="1:12">
      <c r="A248" s="19">
        <v>43503</v>
      </c>
      <c r="B248">
        <v>849.2</v>
      </c>
      <c r="C248">
        <v>832</v>
      </c>
      <c r="D248">
        <v>2722</v>
      </c>
      <c r="E248">
        <v>2715</v>
      </c>
      <c r="F248">
        <v>0.30644567219152802</v>
      </c>
      <c r="G248">
        <v>0.30525980252151902</v>
      </c>
      <c r="H248">
        <v>1.5854408604492502E-2</v>
      </c>
      <c r="I248">
        <v>7.4797471138299196E-2</v>
      </c>
      <c r="J248">
        <v>0.39</v>
      </c>
      <c r="L248">
        <v>817.07252186588914</v>
      </c>
    </row>
    <row r="249" spans="1:12">
      <c r="A249" s="19">
        <v>43502</v>
      </c>
      <c r="B249">
        <v>853.8</v>
      </c>
      <c r="C249">
        <v>846.3</v>
      </c>
      <c r="D249">
        <v>2761</v>
      </c>
      <c r="E249">
        <v>2731</v>
      </c>
      <c r="F249">
        <v>0.309886488465763</v>
      </c>
      <c r="G249">
        <v>0.30605002236769202</v>
      </c>
      <c r="H249">
        <v>1.7304495822930002E-2</v>
      </c>
      <c r="I249">
        <v>0.22170343113882701</v>
      </c>
      <c r="J249">
        <v>1.24</v>
      </c>
      <c r="L249">
        <v>821.88768221574333</v>
      </c>
    </row>
    <row r="250" spans="1:12">
      <c r="A250" s="19">
        <v>43501</v>
      </c>
      <c r="B250">
        <v>845</v>
      </c>
      <c r="C250">
        <v>848.9</v>
      </c>
      <c r="D250">
        <v>2769</v>
      </c>
      <c r="E250">
        <v>2742</v>
      </c>
      <c r="F250">
        <v>0.309591539022611</v>
      </c>
      <c r="G250">
        <v>0.30671552991569101</v>
      </c>
      <c r="H250">
        <v>1.83664528941891E-2</v>
      </c>
      <c r="I250">
        <v>0.15659034019735099</v>
      </c>
      <c r="J250">
        <v>0.93</v>
      </c>
      <c r="L250">
        <v>825.19810495626814</v>
      </c>
    </row>
    <row r="251" spans="1:12">
      <c r="A251" s="19">
        <v>43500</v>
      </c>
      <c r="B251">
        <v>835.2</v>
      </c>
      <c r="C251">
        <v>843.1</v>
      </c>
      <c r="D251">
        <v>2763</v>
      </c>
      <c r="E251">
        <v>2767</v>
      </c>
      <c r="F251">
        <v>0.30469822912902</v>
      </c>
      <c r="G251">
        <v>0.30730510765373498</v>
      </c>
      <c r="H251">
        <v>1.9142632919291701E-2</v>
      </c>
      <c r="I251">
        <v>-0.13618181656127701</v>
      </c>
      <c r="J251">
        <v>-0.86</v>
      </c>
      <c r="L251">
        <v>832.72179300291532</v>
      </c>
    </row>
    <row r="252" spans="1:12">
      <c r="A252" s="19">
        <v>43497</v>
      </c>
      <c r="B252">
        <v>841.9</v>
      </c>
      <c r="C252">
        <v>831.7</v>
      </c>
      <c r="D252">
        <v>2736</v>
      </c>
      <c r="E252">
        <v>2743</v>
      </c>
      <c r="F252">
        <v>0.303208166241341</v>
      </c>
      <c r="G252">
        <v>0.30793267746584702</v>
      </c>
      <c r="H252">
        <v>1.9806888823396401E-2</v>
      </c>
      <c r="I252">
        <v>-0.238528689014784</v>
      </c>
      <c r="J252">
        <v>-1.56</v>
      </c>
      <c r="L252">
        <v>825.49905247813399</v>
      </c>
    </row>
    <row r="253" spans="1:12">
      <c r="A253" s="19">
        <v>43496</v>
      </c>
      <c r="B253">
        <v>850</v>
      </c>
      <c r="C253">
        <v>846.6</v>
      </c>
      <c r="D253">
        <v>2754</v>
      </c>
      <c r="E253">
        <v>2738</v>
      </c>
      <c r="F253">
        <v>0.30920379839298701</v>
      </c>
      <c r="G253">
        <v>0.30870981474000497</v>
      </c>
      <c r="H253">
        <v>2.0728275149814301E-2</v>
      </c>
      <c r="I253">
        <v>2.38313921159207E-2</v>
      </c>
      <c r="J253">
        <v>0.16</v>
      </c>
      <c r="L253">
        <v>823.99431486880462</v>
      </c>
    </row>
    <row r="254" spans="1:12">
      <c r="A254" s="19">
        <v>43495</v>
      </c>
      <c r="B254">
        <v>831.1</v>
      </c>
      <c r="C254">
        <v>840.8</v>
      </c>
      <c r="D254">
        <v>2729</v>
      </c>
      <c r="E254">
        <v>2720</v>
      </c>
      <c r="F254">
        <v>0.309117647058823</v>
      </c>
      <c r="G254">
        <v>0.30948096260188002</v>
      </c>
      <c r="H254">
        <v>2.17813858007859E-2</v>
      </c>
      <c r="I254">
        <v>-1.6680093102423101E-2</v>
      </c>
      <c r="J254">
        <v>-0.12</v>
      </c>
      <c r="L254">
        <v>818.57725947521863</v>
      </c>
    </row>
    <row r="255" spans="1:12">
      <c r="A255" s="19">
        <v>43494</v>
      </c>
      <c r="B255">
        <v>821.8</v>
      </c>
      <c r="C255">
        <v>822.5</v>
      </c>
      <c r="D255">
        <v>2700</v>
      </c>
      <c r="E255">
        <v>2729</v>
      </c>
      <c r="F255">
        <v>0.301392451447416</v>
      </c>
      <c r="G255">
        <v>0.31015479627327902</v>
      </c>
      <c r="H255">
        <v>2.2528625642654E-2</v>
      </c>
      <c r="I255">
        <v>-0.38894271514163598</v>
      </c>
      <c r="J255">
        <v>-2.91</v>
      </c>
      <c r="L255">
        <v>821.28578717201162</v>
      </c>
    </row>
    <row r="256" spans="1:12">
      <c r="A256" s="19">
        <v>43493</v>
      </c>
      <c r="B256">
        <v>833.2</v>
      </c>
      <c r="C256">
        <v>819.4</v>
      </c>
      <c r="D256">
        <v>2712</v>
      </c>
      <c r="E256">
        <v>2706</v>
      </c>
      <c r="F256">
        <v>0.30280857354028001</v>
      </c>
      <c r="G256">
        <v>0.31099265111315799</v>
      </c>
      <c r="H256">
        <v>2.33410342856776E-2</v>
      </c>
      <c r="I256">
        <v>-0.35063045933228598</v>
      </c>
      <c r="J256">
        <v>-2.7</v>
      </c>
      <c r="L256">
        <v>814.36399416909615</v>
      </c>
    </row>
    <row r="257" spans="1:12">
      <c r="A257" s="19">
        <v>43490</v>
      </c>
      <c r="B257">
        <v>821.2</v>
      </c>
      <c r="C257">
        <v>831.6</v>
      </c>
      <c r="D257">
        <v>2744</v>
      </c>
      <c r="E257">
        <v>2739</v>
      </c>
      <c r="F257">
        <v>0.30361445783132501</v>
      </c>
      <c r="G257">
        <v>0.31173255935135302</v>
      </c>
      <c r="H257">
        <v>2.3941706279189699E-2</v>
      </c>
      <c r="I257">
        <v>-0.33907781781971502</v>
      </c>
      <c r="J257">
        <v>-2.67</v>
      </c>
      <c r="L257">
        <v>824.29526239067047</v>
      </c>
    </row>
    <row r="258" spans="1:12">
      <c r="A258" s="19">
        <v>43489</v>
      </c>
      <c r="B258">
        <v>813.6</v>
      </c>
      <c r="C258">
        <v>826.2</v>
      </c>
      <c r="D258">
        <v>2732</v>
      </c>
      <c r="E258">
        <v>2748</v>
      </c>
      <c r="F258">
        <v>0.30065502183406101</v>
      </c>
      <c r="G258">
        <v>0.31249678865892699</v>
      </c>
      <c r="H258">
        <v>2.4576748228948099E-2</v>
      </c>
      <c r="I258">
        <v>-0.481828056118426</v>
      </c>
      <c r="J258">
        <v>-3.94</v>
      </c>
      <c r="L258">
        <v>827.00379008746347</v>
      </c>
    </row>
    <row r="259" spans="1:12">
      <c r="A259" s="19">
        <v>43488</v>
      </c>
      <c r="B259">
        <v>813</v>
      </c>
      <c r="C259">
        <v>814.4</v>
      </c>
      <c r="D259">
        <v>2739</v>
      </c>
      <c r="E259">
        <v>2733</v>
      </c>
      <c r="F259">
        <v>0.29798755945847</v>
      </c>
      <c r="G259">
        <v>0.31327479031177402</v>
      </c>
      <c r="H259">
        <v>2.5107407900856402E-2</v>
      </c>
      <c r="I259">
        <v>-0.608873321916373</v>
      </c>
      <c r="J259">
        <v>-5.13</v>
      </c>
      <c r="L259">
        <v>822.48957725947514</v>
      </c>
    </row>
    <row r="260" spans="1:12">
      <c r="A260" s="19">
        <v>43487</v>
      </c>
      <c r="B260">
        <v>833.4</v>
      </c>
      <c r="C260">
        <v>816</v>
      </c>
      <c r="D260">
        <v>2805</v>
      </c>
      <c r="E260">
        <v>2770</v>
      </c>
      <c r="F260">
        <v>0.29458483754512599</v>
      </c>
      <c r="G260">
        <v>0.31400857012546601</v>
      </c>
      <c r="H260">
        <v>2.54517393706967E-2</v>
      </c>
      <c r="I260">
        <v>-0.76315933844205297</v>
      </c>
      <c r="J260">
        <v>-6.59</v>
      </c>
      <c r="L260">
        <v>833.62463556851299</v>
      </c>
    </row>
    <row r="261" spans="1:12">
      <c r="A261" s="19">
        <v>43486</v>
      </c>
      <c r="B261">
        <v>831.9</v>
      </c>
      <c r="C261">
        <v>830.1</v>
      </c>
      <c r="D261">
        <v>2782</v>
      </c>
      <c r="E261">
        <v>2775</v>
      </c>
      <c r="F261">
        <v>0.29913513513513501</v>
      </c>
      <c r="G261">
        <v>0.31459452145316802</v>
      </c>
      <c r="H261">
        <v>2.5503634959145201E-2</v>
      </c>
      <c r="I261">
        <v>-0.60616403672644503</v>
      </c>
      <c r="J261">
        <v>-5.17</v>
      </c>
      <c r="L261">
        <v>835.12937317784247</v>
      </c>
    </row>
    <row r="262" spans="1:12">
      <c r="A262" s="19">
        <v>43483</v>
      </c>
      <c r="B262">
        <v>805</v>
      </c>
      <c r="C262">
        <v>818.9</v>
      </c>
      <c r="D262">
        <v>2728</v>
      </c>
      <c r="E262">
        <v>2740</v>
      </c>
      <c r="F262">
        <v>0.29886861313868601</v>
      </c>
      <c r="G262">
        <v>0.31506225133180699</v>
      </c>
      <c r="H262">
        <v>2.5537479007727099E-2</v>
      </c>
      <c r="I262">
        <v>-0.634112638456651</v>
      </c>
      <c r="J262">
        <v>-5.42</v>
      </c>
      <c r="L262">
        <v>824.59620991253632</v>
      </c>
    </row>
    <row r="263" spans="1:12">
      <c r="A263" s="19">
        <v>43482</v>
      </c>
      <c r="B263">
        <v>795.7</v>
      </c>
      <c r="C263">
        <v>803.4</v>
      </c>
      <c r="D263">
        <v>2710</v>
      </c>
      <c r="E263">
        <v>2710</v>
      </c>
      <c r="F263">
        <v>0.29645756457564498</v>
      </c>
      <c r="G263">
        <v>0.31557514350750199</v>
      </c>
      <c r="H263">
        <v>2.5593318929504099E-2</v>
      </c>
      <c r="I263">
        <v>-0.74697537214750898</v>
      </c>
      <c r="J263">
        <v>-6.45</v>
      </c>
      <c r="L263">
        <v>815.56778425655966</v>
      </c>
    </row>
    <row r="264" spans="1:12">
      <c r="A264" s="19">
        <v>43481</v>
      </c>
      <c r="B264">
        <v>797.8</v>
      </c>
      <c r="C264">
        <v>792.2</v>
      </c>
      <c r="D264">
        <v>2711</v>
      </c>
      <c r="E264">
        <v>2693</v>
      </c>
      <c r="F264">
        <v>0.29417007055328598</v>
      </c>
      <c r="G264">
        <v>0.31619612428835098</v>
      </c>
      <c r="H264">
        <v>2.5686773703111499E-2</v>
      </c>
      <c r="I264">
        <v>-0.85748619073937205</v>
      </c>
      <c r="J264">
        <v>-7.49</v>
      </c>
      <c r="L264">
        <v>810.45167638483952</v>
      </c>
    </row>
    <row r="265" spans="1:12">
      <c r="A265" s="19">
        <v>43480</v>
      </c>
      <c r="B265">
        <v>785.5</v>
      </c>
      <c r="C265">
        <v>800.4</v>
      </c>
      <c r="D265">
        <v>2673</v>
      </c>
      <c r="E265">
        <v>2710</v>
      </c>
      <c r="F265">
        <v>0.29535055350553502</v>
      </c>
      <c r="G265">
        <v>0.31677543967509397</v>
      </c>
      <c r="H265">
        <v>2.5673432709328901E-2</v>
      </c>
      <c r="I265">
        <v>-0.83451583635618098</v>
      </c>
      <c r="J265">
        <v>-7.25</v>
      </c>
      <c r="L265">
        <v>815.56778425655966</v>
      </c>
    </row>
    <row r="266" spans="1:12">
      <c r="A266" s="19">
        <v>43476</v>
      </c>
      <c r="B266">
        <v>797.1</v>
      </c>
      <c r="C266">
        <v>795.4</v>
      </c>
      <c r="D266">
        <v>2770</v>
      </c>
      <c r="E266">
        <v>2723</v>
      </c>
      <c r="F266">
        <v>0.29210429673154598</v>
      </c>
      <c r="G266">
        <v>0.31730757235104301</v>
      </c>
      <c r="H266">
        <v>2.5637425899218899E-2</v>
      </c>
      <c r="I266">
        <v>-0.98306576169432203</v>
      </c>
      <c r="J266">
        <v>-8.6300000000000008</v>
      </c>
      <c r="L266">
        <v>819.48010204081629</v>
      </c>
    </row>
    <row r="267" spans="1:12">
      <c r="A267" s="19">
        <v>43475</v>
      </c>
      <c r="B267">
        <v>799.2</v>
      </c>
      <c r="C267">
        <v>798.3</v>
      </c>
      <c r="D267">
        <v>2739</v>
      </c>
      <c r="E267">
        <v>2742</v>
      </c>
      <c r="F267">
        <v>0.29113785557986799</v>
      </c>
      <c r="G267">
        <v>0.31785744452659098</v>
      </c>
      <c r="H267">
        <v>2.5533018682579799E-2</v>
      </c>
      <c r="I267">
        <v>-1.04647199294739</v>
      </c>
      <c r="J267">
        <v>-9.18</v>
      </c>
      <c r="L267">
        <v>825.19810495626814</v>
      </c>
    </row>
    <row r="268" spans="1:12">
      <c r="A268" s="19">
        <v>43474</v>
      </c>
      <c r="B268">
        <v>800.5</v>
      </c>
      <c r="C268">
        <v>802.8</v>
      </c>
      <c r="D268">
        <v>2700</v>
      </c>
      <c r="E268">
        <v>2720</v>
      </c>
      <c r="F268">
        <v>0.29514705882352898</v>
      </c>
      <c r="G268">
        <v>0.31845973064668598</v>
      </c>
      <c r="H268">
        <v>2.54281883378355E-2</v>
      </c>
      <c r="I268">
        <v>-0.91680427694759803</v>
      </c>
      <c r="J268">
        <v>-7.9</v>
      </c>
      <c r="L268">
        <v>818.57725947521863</v>
      </c>
    </row>
    <row r="269" spans="1:12">
      <c r="A269" s="19">
        <v>43473</v>
      </c>
      <c r="B269">
        <v>787</v>
      </c>
      <c r="C269">
        <v>792.4</v>
      </c>
      <c r="D269">
        <v>2694</v>
      </c>
      <c r="E269">
        <v>2672</v>
      </c>
      <c r="F269">
        <v>0.296556886227544</v>
      </c>
      <c r="G269">
        <v>0.31898007882854201</v>
      </c>
      <c r="H269">
        <v>2.5344974933828E-2</v>
      </c>
      <c r="I269">
        <v>-0.88471946251834599</v>
      </c>
      <c r="J269">
        <v>-7.56</v>
      </c>
      <c r="L269">
        <v>804.13177842565585</v>
      </c>
    </row>
    <row r="270" spans="1:12">
      <c r="A270" s="19">
        <v>43472</v>
      </c>
      <c r="B270">
        <v>795</v>
      </c>
      <c r="C270">
        <v>790.5</v>
      </c>
      <c r="D270">
        <v>2684</v>
      </c>
      <c r="E270">
        <v>2668</v>
      </c>
      <c r="F270">
        <v>0.29628935532233802</v>
      </c>
      <c r="G270">
        <v>0.31943672494403902</v>
      </c>
      <c r="H270">
        <v>2.5245192150880801E-2</v>
      </c>
      <c r="I270">
        <v>-0.91690209697584102</v>
      </c>
      <c r="J270">
        <v>-7.81</v>
      </c>
      <c r="L270">
        <v>802.92798833819234</v>
      </c>
    </row>
    <row r="271" spans="1:12">
      <c r="A271" s="19">
        <v>43469</v>
      </c>
      <c r="B271">
        <v>757.4</v>
      </c>
      <c r="C271">
        <v>762.7</v>
      </c>
      <c r="D271">
        <v>2605</v>
      </c>
      <c r="E271">
        <v>2634</v>
      </c>
      <c r="F271">
        <v>0.28955960516324902</v>
      </c>
      <c r="G271">
        <v>0.31986003198210899</v>
      </c>
      <c r="H271">
        <v>2.5119371261539101E-2</v>
      </c>
      <c r="I271">
        <v>-1.2062573741745299</v>
      </c>
      <c r="J271">
        <v>-10.46</v>
      </c>
      <c r="L271">
        <v>792.69577259475216</v>
      </c>
    </row>
    <row r="272" spans="1:12">
      <c r="A272" s="19">
        <v>43462</v>
      </c>
      <c r="B272">
        <v>758.1</v>
      </c>
      <c r="C272">
        <v>772.4</v>
      </c>
      <c r="D272">
        <v>2601</v>
      </c>
      <c r="E272">
        <v>2627</v>
      </c>
      <c r="F272">
        <v>0.29402360106585401</v>
      </c>
      <c r="G272">
        <v>0.32040721196091898</v>
      </c>
      <c r="H272">
        <v>2.4899383075234299E-2</v>
      </c>
      <c r="I272">
        <v>-1.0596090198438299</v>
      </c>
      <c r="J272">
        <v>-8.9700000000000006</v>
      </c>
      <c r="L272">
        <v>790.58913994169086</v>
      </c>
    </row>
    <row r="273" spans="1:12">
      <c r="A273" s="19">
        <v>43461</v>
      </c>
      <c r="B273">
        <v>760</v>
      </c>
      <c r="C273">
        <v>772.9</v>
      </c>
      <c r="D273">
        <v>2505</v>
      </c>
      <c r="E273">
        <v>2602</v>
      </c>
      <c r="F273">
        <v>0.29704073789392699</v>
      </c>
      <c r="G273">
        <v>0.32104199524584698</v>
      </c>
      <c r="H273">
        <v>2.48254267583814E-2</v>
      </c>
      <c r="I273">
        <v>-0.96680140025453398</v>
      </c>
      <c r="J273">
        <v>-8.08</v>
      </c>
      <c r="L273">
        <v>783.06545189504368</v>
      </c>
    </row>
    <row r="274" spans="1:12">
      <c r="A274" s="19">
        <v>43460</v>
      </c>
      <c r="B274">
        <v>719</v>
      </c>
      <c r="C274">
        <v>722.6</v>
      </c>
      <c r="D274">
        <v>2414</v>
      </c>
      <c r="E274">
        <v>2455</v>
      </c>
      <c r="F274">
        <v>0.29433808553971402</v>
      </c>
      <c r="G274">
        <v>0.32155361243027503</v>
      </c>
      <c r="H274">
        <v>2.47206909476511E-2</v>
      </c>
      <c r="I274">
        <v>-1.1009209632607999</v>
      </c>
      <c r="J274">
        <v>-9.25</v>
      </c>
      <c r="L274">
        <v>738.82616618075792</v>
      </c>
    </row>
    <row r="275" spans="1:12">
      <c r="A275" s="19">
        <v>43459</v>
      </c>
      <c r="B275">
        <v>734.7</v>
      </c>
      <c r="C275">
        <v>711.1</v>
      </c>
      <c r="D275">
        <v>2438</v>
      </c>
      <c r="E275">
        <v>2408</v>
      </c>
      <c r="F275">
        <v>0.29530730897009899</v>
      </c>
      <c r="G275">
        <v>0.32204561815976901</v>
      </c>
      <c r="H275">
        <v>2.4540687109529599E-2</v>
      </c>
      <c r="I275">
        <v>-1.08955014463661</v>
      </c>
      <c r="J275">
        <v>-9.0500000000000007</v>
      </c>
      <c r="L275">
        <v>724.68163265306111</v>
      </c>
    </row>
    <row r="276" spans="1:12">
      <c r="A276" s="19">
        <v>43455</v>
      </c>
      <c r="B276">
        <v>778.2</v>
      </c>
      <c r="C276">
        <v>764.7</v>
      </c>
      <c r="D276">
        <v>2604</v>
      </c>
      <c r="E276">
        <v>2522</v>
      </c>
      <c r="F276">
        <v>0.303211736716891</v>
      </c>
      <c r="G276">
        <v>0.32253887443346702</v>
      </c>
      <c r="H276">
        <v>2.43694886263583E-2</v>
      </c>
      <c r="I276">
        <v>-0.79308753716200497</v>
      </c>
      <c r="J276">
        <v>-6.37</v>
      </c>
      <c r="L276">
        <v>758.98965014577254</v>
      </c>
    </row>
    <row r="277" spans="1:12">
      <c r="A277" s="19">
        <v>43454</v>
      </c>
      <c r="B277">
        <v>798</v>
      </c>
      <c r="C277">
        <v>780</v>
      </c>
      <c r="D277">
        <v>2659</v>
      </c>
      <c r="E277">
        <v>2605</v>
      </c>
      <c r="F277">
        <v>0.29942418426103601</v>
      </c>
      <c r="G277">
        <v>0.32291024389129003</v>
      </c>
      <c r="H277">
        <v>2.4284206573226299E-2</v>
      </c>
      <c r="I277">
        <v>-0.96713308542463206</v>
      </c>
      <c r="J277">
        <v>-7.84</v>
      </c>
      <c r="L277">
        <v>783.96829446064135</v>
      </c>
    </row>
    <row r="278" spans="1:12">
      <c r="A278" s="19">
        <v>43453</v>
      </c>
      <c r="B278">
        <v>811.3</v>
      </c>
      <c r="C278">
        <v>798.4</v>
      </c>
      <c r="D278">
        <v>2695</v>
      </c>
      <c r="E278">
        <v>2673</v>
      </c>
      <c r="F278">
        <v>0.29869060980172002</v>
      </c>
      <c r="G278">
        <v>0.323232677084695</v>
      </c>
      <c r="H278">
        <v>2.4130283724574299E-2</v>
      </c>
      <c r="I278">
        <v>-1.0170650110500099</v>
      </c>
      <c r="J278">
        <v>-8.2200000000000006</v>
      </c>
      <c r="L278">
        <v>804.43272594752182</v>
      </c>
    </row>
    <row r="279" spans="1:12">
      <c r="A279" s="19">
        <v>43452</v>
      </c>
      <c r="B279">
        <v>817.6</v>
      </c>
      <c r="C279">
        <v>814.8</v>
      </c>
      <c r="D279">
        <v>2723</v>
      </c>
      <c r="E279">
        <v>2691</v>
      </c>
      <c r="F279">
        <v>0.30278706800445898</v>
      </c>
      <c r="G279">
        <v>0.32357094828308602</v>
      </c>
      <c r="H279">
        <v>2.3961103302597601E-2</v>
      </c>
      <c r="I279">
        <v>-0.86740080438508105</v>
      </c>
      <c r="J279">
        <v>-6.86</v>
      </c>
      <c r="L279">
        <v>809.84978134110781</v>
      </c>
    </row>
    <row r="280" spans="1:12">
      <c r="A280" s="19">
        <v>43451</v>
      </c>
      <c r="B280">
        <v>825.7</v>
      </c>
      <c r="C280">
        <v>825.8</v>
      </c>
      <c r="D280">
        <v>2755</v>
      </c>
      <c r="E280">
        <v>2744</v>
      </c>
      <c r="F280">
        <v>0.30094752186588902</v>
      </c>
      <c r="G280">
        <v>0.32392897151233702</v>
      </c>
      <c r="H280">
        <v>2.3848220361881899E-2</v>
      </c>
      <c r="I280">
        <v>-0.96365470033903</v>
      </c>
      <c r="J280">
        <v>-7.64</v>
      </c>
      <c r="L280">
        <v>825.8</v>
      </c>
    </row>
    <row r="281" spans="1:12">
      <c r="A281" s="19">
        <v>43448</v>
      </c>
      <c r="B281">
        <v>846.7</v>
      </c>
      <c r="C281">
        <v>830</v>
      </c>
      <c r="D281">
        <v>2774</v>
      </c>
      <c r="E281">
        <v>2736</v>
      </c>
      <c r="F281">
        <v>0.303362573099415</v>
      </c>
      <c r="G281">
        <v>0.32434658435790598</v>
      </c>
      <c r="H281">
        <v>2.3715997837632799E-2</v>
      </c>
      <c r="I281">
        <v>-0.88480406357575503</v>
      </c>
      <c r="J281">
        <v>-6.92</v>
      </c>
      <c r="L281">
        <v>823.39241982507281</v>
      </c>
    </row>
    <row r="282" spans="1:12">
      <c r="A282" s="19">
        <v>43447</v>
      </c>
      <c r="B282">
        <v>828.1</v>
      </c>
      <c r="C282">
        <v>831.7</v>
      </c>
      <c r="D282">
        <v>2750</v>
      </c>
      <c r="E282">
        <v>2767</v>
      </c>
      <c r="F282">
        <v>0.30057824358510998</v>
      </c>
      <c r="G282">
        <v>0.32468372686358699</v>
      </c>
      <c r="H282">
        <v>2.3594714753115299E-2</v>
      </c>
      <c r="I282">
        <v>-1.0216475821261599</v>
      </c>
      <c r="J282">
        <v>-8.02</v>
      </c>
    </row>
    <row r="283" spans="1:12">
      <c r="A283" s="19">
        <v>43446</v>
      </c>
      <c r="B283">
        <v>800.1</v>
      </c>
      <c r="C283">
        <v>817.7</v>
      </c>
      <c r="D283">
        <v>2719</v>
      </c>
      <c r="E283">
        <v>2737</v>
      </c>
      <c r="F283">
        <v>0.29875776397515502</v>
      </c>
      <c r="G283">
        <v>0.32511139109877801</v>
      </c>
      <c r="H283">
        <v>2.3444121092441102E-2</v>
      </c>
      <c r="I283">
        <v>-1.1241038646622801</v>
      </c>
      <c r="J283">
        <v>-8.82</v>
      </c>
    </row>
    <row r="284" spans="1:12">
      <c r="A284" s="19">
        <v>43445</v>
      </c>
      <c r="B284">
        <v>801.2</v>
      </c>
      <c r="C284">
        <v>788.3</v>
      </c>
      <c r="D284">
        <v>2741</v>
      </c>
      <c r="E284">
        <v>2700</v>
      </c>
      <c r="F284">
        <v>0.29196296296296198</v>
      </c>
      <c r="G284">
        <v>0.32554035053664998</v>
      </c>
      <c r="H284">
        <v>2.3251537549041398E-2</v>
      </c>
      <c r="I284">
        <v>-1.4440932133140401</v>
      </c>
      <c r="J284">
        <v>-11.5</v>
      </c>
    </row>
    <row r="285" spans="1:12">
      <c r="A285" s="19">
        <v>43444</v>
      </c>
      <c r="B285">
        <v>810.6</v>
      </c>
      <c r="C285">
        <v>807.5</v>
      </c>
      <c r="D285">
        <v>2728</v>
      </c>
      <c r="E285">
        <v>2735</v>
      </c>
      <c r="F285">
        <v>0.29524680073126103</v>
      </c>
      <c r="G285">
        <v>0.326124647232512</v>
      </c>
      <c r="H285">
        <v>2.29490627193219E-2</v>
      </c>
      <c r="I285">
        <v>-1.3454948848631501</v>
      </c>
      <c r="J285">
        <v>-10.46</v>
      </c>
    </row>
    <row r="286" spans="1:12">
      <c r="A286" s="19">
        <v>43441</v>
      </c>
      <c r="B286">
        <v>827.5</v>
      </c>
      <c r="C286">
        <v>829</v>
      </c>
      <c r="D286">
        <v>2771</v>
      </c>
      <c r="E286">
        <v>2778</v>
      </c>
      <c r="F286">
        <v>0.29841612670986301</v>
      </c>
      <c r="G286">
        <v>0.32649881110154999</v>
      </c>
      <c r="H286">
        <v>2.2669641089628E-2</v>
      </c>
      <c r="I286">
        <v>-1.23877940019684</v>
      </c>
      <c r="J286">
        <v>-9.41</v>
      </c>
    </row>
    <row r="287" spans="1:12">
      <c r="A287" s="19">
        <v>43440</v>
      </c>
      <c r="B287">
        <v>830.5</v>
      </c>
      <c r="C287">
        <v>824.7</v>
      </c>
      <c r="D287">
        <v>2768</v>
      </c>
      <c r="E287">
        <v>2748</v>
      </c>
      <c r="F287">
        <v>0.30010917030567602</v>
      </c>
      <c r="G287">
        <v>0.326827880813505</v>
      </c>
      <c r="H287">
        <v>2.2437547418987101E-2</v>
      </c>
      <c r="I287">
        <v>-1.1908035227245</v>
      </c>
      <c r="J287">
        <v>-8.9</v>
      </c>
    </row>
    <row r="288" spans="1:12">
      <c r="A288" s="19">
        <v>43439</v>
      </c>
      <c r="B288">
        <v>829.5</v>
      </c>
      <c r="C288">
        <v>837.6</v>
      </c>
      <c r="D288">
        <v>2789</v>
      </c>
      <c r="E288">
        <v>2805</v>
      </c>
      <c r="F288">
        <v>0.29860962566844901</v>
      </c>
      <c r="G288">
        <v>0.327113386861346</v>
      </c>
      <c r="H288">
        <v>2.2231033294619298E-2</v>
      </c>
      <c r="I288">
        <v>-1.2821608791254999</v>
      </c>
      <c r="J288">
        <v>-9.5500000000000007</v>
      </c>
    </row>
    <row r="289" spans="1:10">
      <c r="A289" s="19">
        <v>43438</v>
      </c>
      <c r="B289">
        <v>873.1</v>
      </c>
      <c r="C289">
        <v>844.8</v>
      </c>
      <c r="D289">
        <v>2892</v>
      </c>
      <c r="E289">
        <v>2839</v>
      </c>
      <c r="F289">
        <v>0.29756956674885499</v>
      </c>
      <c r="G289">
        <v>0.32737300935124503</v>
      </c>
      <c r="H289">
        <v>2.2009231935691199E-2</v>
      </c>
      <c r="I289">
        <v>-1.35413369669022</v>
      </c>
      <c r="J289">
        <v>-10.02</v>
      </c>
    </row>
    <row r="290" spans="1:10">
      <c r="A290" s="19">
        <v>43437</v>
      </c>
      <c r="B290">
        <v>864.1</v>
      </c>
      <c r="C290">
        <v>872.3</v>
      </c>
      <c r="D290">
        <v>2939</v>
      </c>
      <c r="E290">
        <v>2909</v>
      </c>
      <c r="F290">
        <v>0.29986249570299001</v>
      </c>
      <c r="G290">
        <v>0.32767095384253098</v>
      </c>
      <c r="H290">
        <v>2.17535237463094E-2</v>
      </c>
      <c r="I290">
        <v>-1.27834269352609</v>
      </c>
      <c r="J290">
        <v>-9.27</v>
      </c>
    </row>
    <row r="291" spans="1:10">
      <c r="A291" s="19">
        <v>43434</v>
      </c>
      <c r="B291">
        <v>847.8</v>
      </c>
      <c r="C291">
        <v>847.5</v>
      </c>
      <c r="D291">
        <v>2900</v>
      </c>
      <c r="E291">
        <v>2907</v>
      </c>
      <c r="F291">
        <v>0.29153766769865802</v>
      </c>
      <c r="G291">
        <v>0.32796089680925899</v>
      </c>
      <c r="H291">
        <v>2.1524660602381201E-2</v>
      </c>
      <c r="I291">
        <v>-1.6921627608182499</v>
      </c>
      <c r="J291">
        <v>-12.49</v>
      </c>
    </row>
    <row r="292" spans="1:10">
      <c r="A292" s="19">
        <v>43433</v>
      </c>
      <c r="B292">
        <v>850.2</v>
      </c>
      <c r="C292">
        <v>851.9</v>
      </c>
      <c r="D292">
        <v>2947</v>
      </c>
      <c r="E292">
        <v>2900</v>
      </c>
      <c r="F292">
        <v>0.29375862068965503</v>
      </c>
      <c r="G292">
        <v>0.32835186721728798</v>
      </c>
      <c r="H292">
        <v>2.1122066333342501E-2</v>
      </c>
      <c r="I292">
        <v>-1.63777757259597</v>
      </c>
      <c r="J292">
        <v>-11.78</v>
      </c>
    </row>
    <row r="293" spans="1:10">
      <c r="A293" s="19">
        <v>43432</v>
      </c>
      <c r="B293">
        <v>852</v>
      </c>
      <c r="C293">
        <v>846.7</v>
      </c>
      <c r="D293">
        <v>2945</v>
      </c>
      <c r="E293">
        <v>2914</v>
      </c>
      <c r="F293">
        <v>0.29056280027453601</v>
      </c>
      <c r="G293">
        <v>0.328689609834595</v>
      </c>
      <c r="H293">
        <v>2.0765732458396101E-2</v>
      </c>
      <c r="I293">
        <v>-1.8360445332927999</v>
      </c>
      <c r="J293">
        <v>-13.12</v>
      </c>
    </row>
    <row r="294" spans="1:10">
      <c r="A294" s="19">
        <v>43431</v>
      </c>
      <c r="B294">
        <v>854</v>
      </c>
      <c r="C294">
        <v>851.5</v>
      </c>
      <c r="D294">
        <v>2938</v>
      </c>
      <c r="E294">
        <v>2939</v>
      </c>
      <c r="F294">
        <v>0.28972439605307898</v>
      </c>
      <c r="G294">
        <v>0.32898727687309898</v>
      </c>
      <c r="H294">
        <v>2.0373371709785201E-2</v>
      </c>
      <c r="I294">
        <v>-1.9271665671893801</v>
      </c>
      <c r="J294">
        <v>-13.55</v>
      </c>
    </row>
    <row r="295" spans="1:10">
      <c r="A295" s="19">
        <v>43430</v>
      </c>
      <c r="B295">
        <v>838.4</v>
      </c>
      <c r="C295">
        <v>852</v>
      </c>
      <c r="D295">
        <v>2906</v>
      </c>
      <c r="E295">
        <v>2906</v>
      </c>
      <c r="F295">
        <v>0.293186510667584</v>
      </c>
      <c r="G295">
        <v>0.32933268982667502</v>
      </c>
      <c r="H295">
        <v>1.9919322468247899E-2</v>
      </c>
      <c r="I295">
        <v>-1.8146289471797701</v>
      </c>
      <c r="J295">
        <v>-12.33</v>
      </c>
    </row>
    <row r="296" spans="1:10">
      <c r="A296" s="19">
        <v>43426</v>
      </c>
      <c r="B296">
        <v>850</v>
      </c>
      <c r="C296">
        <v>852.3</v>
      </c>
      <c r="D296">
        <v>2913</v>
      </c>
      <c r="E296">
        <v>2929</v>
      </c>
      <c r="F296">
        <v>0.29098668487538398</v>
      </c>
      <c r="G296">
        <v>0.32962429786028002</v>
      </c>
      <c r="H296">
        <v>1.9544589616814E-2</v>
      </c>
      <c r="I296">
        <v>-1.97689558810979</v>
      </c>
      <c r="J296">
        <v>-13.28</v>
      </c>
    </row>
    <row r="297" spans="1:10">
      <c r="A297" s="19">
        <v>43425</v>
      </c>
      <c r="B297">
        <v>843.2</v>
      </c>
      <c r="C297">
        <v>845.4</v>
      </c>
      <c r="D297">
        <v>2884</v>
      </c>
      <c r="E297">
        <v>2909</v>
      </c>
      <c r="F297">
        <v>0.29061533172911602</v>
      </c>
      <c r="G297">
        <v>0.329870868593023</v>
      </c>
      <c r="H297">
        <v>1.91686244039991E-2</v>
      </c>
      <c r="I297">
        <v>-2.0479057879456701</v>
      </c>
      <c r="J297">
        <v>-13.51</v>
      </c>
    </row>
    <row r="298" spans="1:10">
      <c r="A298" s="19">
        <v>43424</v>
      </c>
      <c r="B298">
        <v>856.8</v>
      </c>
      <c r="C298">
        <v>869.2</v>
      </c>
      <c r="D298">
        <v>2926</v>
      </c>
      <c r="E298">
        <v>2934</v>
      </c>
      <c r="F298">
        <v>0.29625085207907298</v>
      </c>
      <c r="G298">
        <v>0.330045280657423</v>
      </c>
      <c r="H298">
        <v>1.8867801439008701E-2</v>
      </c>
      <c r="I298">
        <v>-1.7911163994168999</v>
      </c>
      <c r="J298">
        <v>-11.41</v>
      </c>
    </row>
    <row r="299" spans="1:10">
      <c r="A299" s="19">
        <v>43423</v>
      </c>
      <c r="B299">
        <v>861</v>
      </c>
      <c r="C299">
        <v>862.4</v>
      </c>
      <c r="D299">
        <v>2942</v>
      </c>
      <c r="E299">
        <v>2941</v>
      </c>
      <c r="F299">
        <v>0.29323359401563998</v>
      </c>
      <c r="G299">
        <v>0.33008456695523197</v>
      </c>
      <c r="H299">
        <v>1.8800341160402599E-2</v>
      </c>
      <c r="I299">
        <v>-1.9601225650738101</v>
      </c>
      <c r="J299">
        <v>-12.57</v>
      </c>
    </row>
    <row r="300" spans="1:10">
      <c r="A300" s="19">
        <v>43420</v>
      </c>
      <c r="B300">
        <v>857</v>
      </c>
      <c r="C300">
        <v>860.1</v>
      </c>
      <c r="D300">
        <v>2914</v>
      </c>
      <c r="E300">
        <v>2935</v>
      </c>
      <c r="F300">
        <v>0.29304940374786997</v>
      </c>
      <c r="G300">
        <v>0.33004805302842199</v>
      </c>
      <c r="H300">
        <v>1.8874391035263401E-2</v>
      </c>
      <c r="I300">
        <v>-1.96025658318866</v>
      </c>
      <c r="J300">
        <v>-12.63</v>
      </c>
    </row>
    <row r="301" spans="1:10">
      <c r="A301" s="19">
        <v>43419</v>
      </c>
      <c r="B301">
        <v>852.1</v>
      </c>
      <c r="C301">
        <v>857</v>
      </c>
      <c r="D301">
        <v>2880</v>
      </c>
      <c r="E301">
        <v>2912</v>
      </c>
      <c r="F301">
        <v>0.29429945054945</v>
      </c>
      <c r="G301">
        <v>0.32989081028974598</v>
      </c>
      <c r="H301">
        <v>1.9227788366543701E-2</v>
      </c>
      <c r="I301">
        <v>-1.8510376264710799</v>
      </c>
      <c r="J301">
        <v>-12.09</v>
      </c>
    </row>
    <row r="302" spans="1:10">
      <c r="A302" s="19">
        <v>43418</v>
      </c>
      <c r="B302">
        <v>859</v>
      </c>
      <c r="C302">
        <v>853.3</v>
      </c>
      <c r="D302">
        <v>2901</v>
      </c>
      <c r="E302">
        <v>2899</v>
      </c>
      <c r="F302">
        <v>0.294342876854087</v>
      </c>
      <c r="G302">
        <v>0.329701012553825</v>
      </c>
      <c r="H302">
        <v>1.9643927301437401E-2</v>
      </c>
      <c r="I302">
        <v>-1.7999524818619399</v>
      </c>
      <c r="J302">
        <v>-12.01</v>
      </c>
    </row>
    <row r="303" spans="1:10">
      <c r="A303" s="19">
        <v>43417</v>
      </c>
      <c r="B303">
        <v>870</v>
      </c>
      <c r="C303">
        <v>872.7</v>
      </c>
      <c r="D303">
        <v>2886</v>
      </c>
      <c r="E303">
        <v>2898</v>
      </c>
      <c r="F303">
        <v>0.30113871635610701</v>
      </c>
      <c r="G303">
        <v>0.32952142468120699</v>
      </c>
      <c r="H303">
        <v>2.0024242758706099E-2</v>
      </c>
      <c r="I303">
        <v>-1.4174173109622299</v>
      </c>
      <c r="J303">
        <v>-9.43</v>
      </c>
    </row>
    <row r="304" spans="1:10">
      <c r="A304" s="19">
        <v>43416</v>
      </c>
      <c r="B304">
        <v>882.5</v>
      </c>
      <c r="C304">
        <v>891.8</v>
      </c>
      <c r="D304">
        <v>2919</v>
      </c>
      <c r="E304">
        <v>2937</v>
      </c>
      <c r="F304">
        <v>0.30364317330609403</v>
      </c>
      <c r="G304">
        <v>0.32933702806445497</v>
      </c>
      <c r="H304">
        <v>2.0345854741111401E-2</v>
      </c>
      <c r="I304">
        <v>-1.2628545266492499</v>
      </c>
      <c r="J304">
        <v>-8.4600000000000009</v>
      </c>
    </row>
    <row r="305" spans="1:10">
      <c r="A305" s="19">
        <v>43413</v>
      </c>
      <c r="B305">
        <v>892.6</v>
      </c>
      <c r="C305">
        <v>886.2</v>
      </c>
      <c r="D305">
        <v>2940</v>
      </c>
      <c r="E305">
        <v>2935</v>
      </c>
      <c r="F305">
        <v>0.30194207836456499</v>
      </c>
      <c r="G305">
        <v>0.32917237184679898</v>
      </c>
      <c r="H305">
        <v>2.0601489621150399E-2</v>
      </c>
      <c r="I305">
        <v>-1.3217633279429499</v>
      </c>
      <c r="J305">
        <v>-9.02</v>
      </c>
    </row>
    <row r="306" spans="1:10">
      <c r="A306" s="19">
        <v>43412</v>
      </c>
      <c r="B306">
        <v>889.4</v>
      </c>
      <c r="C306">
        <v>894.6</v>
      </c>
      <c r="D306">
        <v>2919</v>
      </c>
      <c r="E306">
        <v>2925</v>
      </c>
      <c r="F306">
        <v>0.30584615384615299</v>
      </c>
      <c r="G306">
        <v>0.32898664140303102</v>
      </c>
      <c r="H306">
        <v>2.09066748343219E-2</v>
      </c>
      <c r="I306">
        <v>-1.1068468678189101</v>
      </c>
      <c r="J306">
        <v>-7.57</v>
      </c>
    </row>
    <row r="307" spans="1:10">
      <c r="A307" s="19">
        <v>43411</v>
      </c>
      <c r="B307">
        <v>890</v>
      </c>
      <c r="C307">
        <v>867</v>
      </c>
      <c r="D307">
        <v>2862</v>
      </c>
      <c r="E307">
        <v>2868</v>
      </c>
      <c r="F307">
        <v>0.30230125523012502</v>
      </c>
      <c r="G307">
        <v>0.32875488153604898</v>
      </c>
      <c r="H307">
        <v>2.1255348981468799E-2</v>
      </c>
      <c r="I307">
        <v>-1.24456325459476</v>
      </c>
      <c r="J307">
        <v>-8.75</v>
      </c>
    </row>
    <row r="308" spans="1:10">
      <c r="A308" s="19">
        <v>43410</v>
      </c>
      <c r="B308">
        <v>869.8</v>
      </c>
      <c r="C308">
        <v>894.4</v>
      </c>
      <c r="D308">
        <v>2821</v>
      </c>
      <c r="E308">
        <v>2840</v>
      </c>
      <c r="F308">
        <v>0.314929577464788</v>
      </c>
      <c r="G308">
        <v>0.32862237164896302</v>
      </c>
      <c r="H308">
        <v>2.1449940577695899E-2</v>
      </c>
      <c r="I308">
        <v>-0.63836047165615495</v>
      </c>
      <c r="J308">
        <v>-4.3499999999999996</v>
      </c>
    </row>
    <row r="309" spans="1:10">
      <c r="A309" s="19">
        <v>43409</v>
      </c>
      <c r="B309">
        <v>890</v>
      </c>
      <c r="C309">
        <v>859.1</v>
      </c>
      <c r="D309">
        <v>2789</v>
      </c>
      <c r="E309">
        <v>2821</v>
      </c>
      <c r="F309">
        <v>0.304537398085785</v>
      </c>
      <c r="G309">
        <v>0.32840825243677002</v>
      </c>
      <c r="H309">
        <v>2.16646350565569E-2</v>
      </c>
      <c r="I309">
        <v>-1.1018350546255899</v>
      </c>
      <c r="J309">
        <v>-7.84</v>
      </c>
    </row>
    <row r="310" spans="1:10">
      <c r="A310" s="19">
        <v>43406</v>
      </c>
      <c r="B310">
        <v>915.8</v>
      </c>
      <c r="C310">
        <v>918.4</v>
      </c>
      <c r="D310">
        <v>2815</v>
      </c>
      <c r="E310">
        <v>2821</v>
      </c>
      <c r="F310">
        <v>0.325558312655086</v>
      </c>
      <c r="G310">
        <v>0.32834083098496503</v>
      </c>
      <c r="H310">
        <v>2.1746530888999901E-2</v>
      </c>
      <c r="I310">
        <v>-0.127952285542973</v>
      </c>
      <c r="J310">
        <v>-0.85</v>
      </c>
    </row>
    <row r="311" spans="1:10">
      <c r="A311" s="19">
        <v>43405</v>
      </c>
      <c r="B311">
        <v>917</v>
      </c>
      <c r="C311">
        <v>903.8</v>
      </c>
      <c r="D311">
        <v>2734</v>
      </c>
      <c r="E311">
        <v>2815</v>
      </c>
      <c r="F311">
        <v>0.32106571936056799</v>
      </c>
      <c r="G311">
        <v>0.32796169415303</v>
      </c>
      <c r="H311">
        <v>2.20376638198654E-2</v>
      </c>
      <c r="I311">
        <v>-0.31291768713912799</v>
      </c>
      <c r="J311">
        <v>-2.15</v>
      </c>
    </row>
    <row r="312" spans="1:10">
      <c r="A312" s="19">
        <v>43404</v>
      </c>
      <c r="B312">
        <v>918.7</v>
      </c>
      <c r="C312">
        <v>916.3</v>
      </c>
      <c r="D312">
        <v>2754</v>
      </c>
      <c r="E312">
        <v>2730</v>
      </c>
      <c r="F312">
        <v>0.33564102564102499</v>
      </c>
      <c r="G312">
        <v>0.32768505817757398</v>
      </c>
      <c r="H312">
        <v>2.2251674281277299E-2</v>
      </c>
      <c r="I312">
        <v>0.357544666656605</v>
      </c>
      <c r="J312">
        <v>2.37</v>
      </c>
    </row>
    <row r="313" spans="1:10">
      <c r="A313" s="19">
        <v>43403</v>
      </c>
      <c r="B313">
        <v>888.5</v>
      </c>
      <c r="C313">
        <v>908.6</v>
      </c>
      <c r="D313">
        <v>2684</v>
      </c>
      <c r="E313">
        <v>2721</v>
      </c>
      <c r="F313">
        <v>0.33392135244395399</v>
      </c>
      <c r="G313">
        <v>0.32722034319002502</v>
      </c>
      <c r="H313">
        <v>2.2443786114044E-2</v>
      </c>
      <c r="I313">
        <v>0.29856857572421902</v>
      </c>
      <c r="J313">
        <v>2.0099999999999998</v>
      </c>
    </row>
    <row r="314" spans="1:10">
      <c r="A314" s="19">
        <v>43402</v>
      </c>
      <c r="B314">
        <v>896.9</v>
      </c>
      <c r="C314">
        <v>886.8</v>
      </c>
      <c r="D314">
        <v>2674</v>
      </c>
      <c r="E314">
        <v>2684</v>
      </c>
      <c r="F314">
        <v>0.33040238450074499</v>
      </c>
      <c r="G314">
        <v>0.32679627465528699</v>
      </c>
      <c r="H314">
        <v>2.2613002583055101E-2</v>
      </c>
      <c r="I314">
        <v>0.15947063342044901</v>
      </c>
      <c r="J314">
        <v>1.0900000000000001</v>
      </c>
    </row>
    <row r="315" spans="1:10">
      <c r="A315" s="19">
        <v>43399</v>
      </c>
      <c r="B315">
        <v>894.5</v>
      </c>
      <c r="C315">
        <v>885.6</v>
      </c>
      <c r="D315">
        <v>2651</v>
      </c>
      <c r="E315">
        <v>2665</v>
      </c>
      <c r="F315">
        <v>0.33230769230769203</v>
      </c>
      <c r="G315">
        <v>0.32640701373228098</v>
      </c>
      <c r="H315">
        <v>2.27980971009582E-2</v>
      </c>
      <c r="I315">
        <v>0.25882329342140098</v>
      </c>
      <c r="J315">
        <v>1.78</v>
      </c>
    </row>
    <row r="316" spans="1:10">
      <c r="A316" s="19">
        <v>43398</v>
      </c>
      <c r="B316">
        <v>885.6</v>
      </c>
      <c r="C316">
        <v>880.9</v>
      </c>
      <c r="D316">
        <v>2675</v>
      </c>
      <c r="E316">
        <v>2654</v>
      </c>
      <c r="F316">
        <v>0.33191409193669902</v>
      </c>
      <c r="G316">
        <v>0.32586497885478</v>
      </c>
      <c r="H316">
        <v>2.31321814377882E-2</v>
      </c>
      <c r="I316">
        <v>0.26150205929290499</v>
      </c>
      <c r="J316">
        <v>1.82</v>
      </c>
    </row>
    <row r="317" spans="1:10">
      <c r="A317" s="19">
        <v>43397</v>
      </c>
      <c r="B317">
        <v>929.2</v>
      </c>
      <c r="C317">
        <v>913.7</v>
      </c>
      <c r="D317">
        <v>2701</v>
      </c>
      <c r="E317">
        <v>2725</v>
      </c>
      <c r="F317">
        <v>0.33530275229357798</v>
      </c>
      <c r="G317">
        <v>0.32534005265870902</v>
      </c>
      <c r="H317">
        <v>2.34336863952125E-2</v>
      </c>
      <c r="I317">
        <v>0.42514436127744498</v>
      </c>
      <c r="J317">
        <v>2.97</v>
      </c>
    </row>
    <row r="318" spans="1:10">
      <c r="A318" s="19">
        <v>43396</v>
      </c>
      <c r="B318">
        <v>940.5</v>
      </c>
      <c r="C318">
        <v>917.7</v>
      </c>
      <c r="D318">
        <v>2761</v>
      </c>
      <c r="E318">
        <v>2690</v>
      </c>
      <c r="F318">
        <v>0.34115241635687699</v>
      </c>
      <c r="G318">
        <v>0.32474598878433703</v>
      </c>
      <c r="H318">
        <v>2.37363893169594E-2</v>
      </c>
      <c r="I318">
        <v>0.69119306030329497</v>
      </c>
      <c r="J318">
        <v>4.8099999999999996</v>
      </c>
    </row>
    <row r="319" spans="1:10">
      <c r="A319" s="19">
        <v>43395</v>
      </c>
      <c r="B319">
        <v>945.1</v>
      </c>
      <c r="C319">
        <v>950.3</v>
      </c>
      <c r="D319">
        <v>2741</v>
      </c>
      <c r="E319">
        <v>2770</v>
      </c>
      <c r="F319">
        <v>0.34306859205776102</v>
      </c>
      <c r="G319">
        <v>0.32409843770937002</v>
      </c>
      <c r="H319">
        <v>2.3941554573407402E-2</v>
      </c>
      <c r="I319">
        <v>0.79235265572359803</v>
      </c>
      <c r="J319">
        <v>5.53</v>
      </c>
    </row>
    <row r="320" spans="1:10">
      <c r="A320" s="19">
        <v>43392</v>
      </c>
      <c r="B320">
        <v>953.6</v>
      </c>
      <c r="C320">
        <v>956.5</v>
      </c>
      <c r="D320">
        <v>2732</v>
      </c>
      <c r="E320">
        <v>2758</v>
      </c>
      <c r="F320">
        <v>0.34680928208846901</v>
      </c>
      <c r="G320">
        <v>0.32339851062792901</v>
      </c>
      <c r="H320">
        <v>2.4143219169926299E-2</v>
      </c>
      <c r="I320">
        <v>0.969662384115762</v>
      </c>
      <c r="J320">
        <v>6.75</v>
      </c>
    </row>
    <row r="321" spans="1:10">
      <c r="A321" s="19">
        <v>43391</v>
      </c>
      <c r="B321">
        <v>981</v>
      </c>
      <c r="C321">
        <v>968</v>
      </c>
      <c r="D321">
        <v>2763</v>
      </c>
      <c r="E321">
        <v>2781</v>
      </c>
      <c r="F321">
        <v>0.34807623157137701</v>
      </c>
      <c r="G321">
        <v>0.32265654649116299</v>
      </c>
      <c r="H321">
        <v>2.42671161028645E-2</v>
      </c>
      <c r="I321">
        <v>1.0474950946978501</v>
      </c>
      <c r="J321">
        <v>7.3</v>
      </c>
    </row>
    <row r="322" spans="1:10">
      <c r="A322" s="19">
        <v>43390</v>
      </c>
      <c r="B322">
        <v>989.7</v>
      </c>
      <c r="C322">
        <v>980.6</v>
      </c>
      <c r="D322">
        <v>2711</v>
      </c>
      <c r="E322">
        <v>2761</v>
      </c>
      <c r="F322">
        <v>0.35516117348786602</v>
      </c>
      <c r="G322">
        <v>0.32188902611696302</v>
      </c>
      <c r="H322">
        <v>2.43611401288279E-2</v>
      </c>
      <c r="I322">
        <v>1.36578777491332</v>
      </c>
      <c r="J322">
        <v>9.3699999999999992</v>
      </c>
    </row>
    <row r="323" spans="1:10">
      <c r="A323" s="19">
        <v>43389</v>
      </c>
      <c r="B323">
        <v>961.4</v>
      </c>
      <c r="C323">
        <v>983.4</v>
      </c>
      <c r="D323">
        <v>2685</v>
      </c>
      <c r="E323">
        <v>2689</v>
      </c>
      <c r="F323">
        <v>0.365712160654518</v>
      </c>
      <c r="G323">
        <v>0.320912389870954</v>
      </c>
      <c r="H323">
        <v>2.4475664170473699E-2</v>
      </c>
      <c r="I323">
        <v>1.83038018790961</v>
      </c>
      <c r="J323">
        <v>12.25</v>
      </c>
    </row>
    <row r="324" spans="1:10">
      <c r="A324" s="19">
        <v>43388</v>
      </c>
      <c r="B324">
        <v>968</v>
      </c>
      <c r="C324">
        <v>969.3</v>
      </c>
      <c r="D324">
        <v>2715</v>
      </c>
      <c r="E324">
        <v>2694</v>
      </c>
      <c r="F324">
        <v>0.35979955456570101</v>
      </c>
      <c r="G324">
        <v>0.31977368292602598</v>
      </c>
      <c r="H324">
        <v>2.43512397182678E-2</v>
      </c>
      <c r="I324">
        <v>1.64368927835934</v>
      </c>
      <c r="J324">
        <v>11.12</v>
      </c>
    </row>
    <row r="325" spans="1:10">
      <c r="A325" s="19">
        <v>43385</v>
      </c>
      <c r="B325">
        <v>973.3</v>
      </c>
      <c r="C325">
        <v>975.1</v>
      </c>
      <c r="D325">
        <v>2786</v>
      </c>
      <c r="E325">
        <v>2756</v>
      </c>
      <c r="F325">
        <v>0.35380986937590703</v>
      </c>
      <c r="G325">
        <v>0.31870860705311499</v>
      </c>
      <c r="H325">
        <v>2.4324191764157E-2</v>
      </c>
      <c r="I325">
        <v>1.4430597597292101</v>
      </c>
      <c r="J325">
        <v>9.92</v>
      </c>
    </row>
    <row r="326" spans="1:10">
      <c r="A326" s="19">
        <v>43384</v>
      </c>
      <c r="B326">
        <v>975.5</v>
      </c>
      <c r="C326">
        <v>986</v>
      </c>
      <c r="D326">
        <v>2817</v>
      </c>
      <c r="E326">
        <v>2803</v>
      </c>
      <c r="F326">
        <v>0.35176596503745899</v>
      </c>
      <c r="G326">
        <v>0.31772546779341598</v>
      </c>
      <c r="H326">
        <v>2.4375666029127101E-2</v>
      </c>
      <c r="I326">
        <v>1.3964950620576699</v>
      </c>
      <c r="J326">
        <v>9.68</v>
      </c>
    </row>
    <row r="327" spans="1:10">
      <c r="A327" s="19">
        <v>43383</v>
      </c>
      <c r="B327">
        <v>1050</v>
      </c>
      <c r="C327">
        <v>1050.5</v>
      </c>
      <c r="D327">
        <v>2870</v>
      </c>
      <c r="E327">
        <v>2906</v>
      </c>
      <c r="F327">
        <v>0.36149346180316499</v>
      </c>
      <c r="G327">
        <v>0.31665137693060702</v>
      </c>
      <c r="H327">
        <v>2.4625588067883501E-2</v>
      </c>
      <c r="I327">
        <v>1.8209548843643899</v>
      </c>
      <c r="J327">
        <v>12.4</v>
      </c>
    </row>
    <row r="328" spans="1:10">
      <c r="A328" s="19">
        <v>43382</v>
      </c>
      <c r="B328">
        <v>1044</v>
      </c>
      <c r="C328">
        <v>1049</v>
      </c>
      <c r="D328">
        <v>2869</v>
      </c>
      <c r="E328">
        <v>2858</v>
      </c>
      <c r="F328">
        <v>0.367039888033589</v>
      </c>
      <c r="G328">
        <v>0.31554840762816</v>
      </c>
      <c r="H328">
        <v>2.4444319512377601E-2</v>
      </c>
      <c r="I328">
        <v>2.10648041887017</v>
      </c>
      <c r="J328">
        <v>14.03</v>
      </c>
    </row>
    <row r="329" spans="1:10">
      <c r="A329" s="19">
        <v>43378</v>
      </c>
      <c r="B329">
        <v>1041</v>
      </c>
      <c r="C329">
        <v>1043</v>
      </c>
      <c r="D329">
        <v>2885</v>
      </c>
      <c r="E329">
        <v>2900</v>
      </c>
      <c r="F329">
        <v>0.35965517241379302</v>
      </c>
      <c r="G329">
        <v>0.31434927929648399</v>
      </c>
      <c r="H329">
        <v>2.4092326960389199E-2</v>
      </c>
      <c r="I329">
        <v>1.8805113010377601</v>
      </c>
      <c r="J329">
        <v>12.6</v>
      </c>
    </row>
    <row r="330" spans="1:10">
      <c r="A330" s="19">
        <v>43377</v>
      </c>
      <c r="B330">
        <v>1048</v>
      </c>
      <c r="C330">
        <v>1057</v>
      </c>
      <c r="D330">
        <v>2924</v>
      </c>
      <c r="E330">
        <v>2902</v>
      </c>
      <c r="F330">
        <v>0.364231564438318</v>
      </c>
      <c r="G330">
        <v>0.31328633313798399</v>
      </c>
      <c r="H330">
        <v>2.3827169448504298E-2</v>
      </c>
      <c r="I330">
        <v>2.1381151214976302</v>
      </c>
      <c r="J330">
        <v>13.99</v>
      </c>
    </row>
    <row r="331" spans="1:10">
      <c r="A331" s="19">
        <v>43376</v>
      </c>
      <c r="B331">
        <v>1055</v>
      </c>
      <c r="C331">
        <v>1038</v>
      </c>
      <c r="D331">
        <v>2948</v>
      </c>
      <c r="E331">
        <v>2897</v>
      </c>
      <c r="F331">
        <v>0.35830169140490098</v>
      </c>
      <c r="G331">
        <v>0.31215936211699402</v>
      </c>
      <c r="H331">
        <v>2.33857032765898E-2</v>
      </c>
      <c r="I331">
        <v>1.97309992101445</v>
      </c>
      <c r="J331">
        <v>12.88</v>
      </c>
    </row>
    <row r="332" spans="1:10">
      <c r="A332" s="19">
        <v>43375</v>
      </c>
      <c r="B332">
        <v>1050</v>
      </c>
      <c r="C332">
        <v>1061.5</v>
      </c>
      <c r="D332">
        <v>2947</v>
      </c>
      <c r="E332">
        <v>2941</v>
      </c>
      <c r="F332">
        <v>0.360931655899353</v>
      </c>
      <c r="G332">
        <v>0.31117464692423602</v>
      </c>
      <c r="H332">
        <v>2.2973292084187601E-2</v>
      </c>
      <c r="I332">
        <v>2.1658632464506198</v>
      </c>
      <c r="J332">
        <v>13.79</v>
      </c>
    </row>
    <row r="333" spans="1:10">
      <c r="A333" s="19">
        <v>43374</v>
      </c>
      <c r="B333">
        <v>1035.5</v>
      </c>
      <c r="C333">
        <v>1046.5</v>
      </c>
      <c r="D333">
        <v>2928</v>
      </c>
      <c r="E333">
        <v>2915</v>
      </c>
      <c r="F333">
        <v>0.35900514579759801</v>
      </c>
      <c r="G333">
        <v>0.31010500530719898</v>
      </c>
      <c r="H333">
        <v>2.2494303058456299E-2</v>
      </c>
      <c r="I333">
        <v>2.1738900006513302</v>
      </c>
      <c r="J333">
        <v>13.62</v>
      </c>
    </row>
    <row r="334" spans="1:10">
      <c r="A334" s="19">
        <v>43371</v>
      </c>
      <c r="B334">
        <v>1022</v>
      </c>
      <c r="C334">
        <v>1040</v>
      </c>
      <c r="D334">
        <v>2952</v>
      </c>
      <c r="E334">
        <v>2946</v>
      </c>
      <c r="F334">
        <v>0.35302104548540297</v>
      </c>
      <c r="G334">
        <v>0.30903343114981302</v>
      </c>
      <c r="H334">
        <v>2.2049160603866198E-2</v>
      </c>
      <c r="I334">
        <v>1.9949790890396399</v>
      </c>
      <c r="J334">
        <v>12.46</v>
      </c>
    </row>
    <row r="335" spans="1:10">
      <c r="A335" s="19">
        <v>43370</v>
      </c>
      <c r="B335">
        <v>1000.5</v>
      </c>
      <c r="C335">
        <v>1009.5</v>
      </c>
      <c r="D335">
        <v>3035</v>
      </c>
      <c r="E335">
        <v>2982</v>
      </c>
      <c r="F335">
        <v>0.338531187122736</v>
      </c>
      <c r="G335">
        <v>0.30809803513808098</v>
      </c>
      <c r="H335">
        <v>2.1647661929488301E-2</v>
      </c>
      <c r="I335">
        <v>1.4058401357053201</v>
      </c>
      <c r="J335">
        <v>8.99</v>
      </c>
    </row>
    <row r="336" spans="1:10">
      <c r="A336" s="19">
        <v>43369</v>
      </c>
      <c r="B336">
        <v>1016</v>
      </c>
      <c r="C336">
        <v>1011</v>
      </c>
      <c r="D336">
        <v>3005</v>
      </c>
      <c r="E336">
        <v>3025</v>
      </c>
      <c r="F336">
        <v>0.334214876033057</v>
      </c>
      <c r="G336">
        <v>0.30740795590044001</v>
      </c>
      <c r="H336">
        <v>2.1490886128421E-2</v>
      </c>
      <c r="I336">
        <v>1.2473622526511601</v>
      </c>
      <c r="J336">
        <v>8.02</v>
      </c>
    </row>
    <row r="337" spans="1:10">
      <c r="A337" s="19">
        <v>43368</v>
      </c>
      <c r="B337">
        <v>1020</v>
      </c>
      <c r="C337">
        <v>1025.5</v>
      </c>
      <c r="D337">
        <v>3000</v>
      </c>
      <c r="E337">
        <v>3040</v>
      </c>
      <c r="F337">
        <v>0.337335526315789</v>
      </c>
      <c r="G337">
        <v>0.30683138413213601</v>
      </c>
      <c r="H337">
        <v>2.1343527126364802E-2</v>
      </c>
      <c r="I337">
        <v>1.42919874503651</v>
      </c>
      <c r="J337">
        <v>9.0399999999999991</v>
      </c>
    </row>
    <row r="338" spans="1:10">
      <c r="A338" s="19">
        <v>43364</v>
      </c>
      <c r="B338">
        <v>1003</v>
      </c>
      <c r="C338">
        <v>1014</v>
      </c>
      <c r="D338">
        <v>2972</v>
      </c>
      <c r="E338">
        <v>2956</v>
      </c>
      <c r="F338">
        <v>0.343031123139377</v>
      </c>
      <c r="G338">
        <v>0.30625788954583499</v>
      </c>
      <c r="H338">
        <v>2.1092570644374399E-2</v>
      </c>
      <c r="I338">
        <v>1.74342114166866</v>
      </c>
      <c r="J338">
        <v>10.72</v>
      </c>
    </row>
    <row r="339" spans="1:10">
      <c r="A339" s="19">
        <v>43363</v>
      </c>
      <c r="B339">
        <v>997</v>
      </c>
      <c r="C339">
        <v>995.3</v>
      </c>
      <c r="D339">
        <v>2994</v>
      </c>
      <c r="E339">
        <v>2948</v>
      </c>
      <c r="F339">
        <v>0.33761872455902298</v>
      </c>
      <c r="G339">
        <v>0.305559579833801</v>
      </c>
      <c r="H339">
        <v>2.0727359254269301E-2</v>
      </c>
      <c r="I339">
        <v>1.5467066659066999</v>
      </c>
      <c r="J339">
        <v>9.5</v>
      </c>
    </row>
    <row r="340" spans="1:10">
      <c r="A340" s="19">
        <v>43362</v>
      </c>
      <c r="B340">
        <v>990</v>
      </c>
      <c r="C340">
        <v>997.4</v>
      </c>
      <c r="D340">
        <v>2940</v>
      </c>
      <c r="E340">
        <v>2975</v>
      </c>
      <c r="F340">
        <v>0.33526050420168002</v>
      </c>
      <c r="G340">
        <v>0.30490736739250002</v>
      </c>
      <c r="H340">
        <v>2.0476397989796401E-2</v>
      </c>
      <c r="I340">
        <v>1.48234747265148</v>
      </c>
      <c r="J340">
        <v>9.0500000000000007</v>
      </c>
    </row>
    <row r="341" spans="1:10">
      <c r="A341" s="19">
        <v>43361</v>
      </c>
      <c r="B341">
        <v>953</v>
      </c>
      <c r="C341">
        <v>976.7</v>
      </c>
      <c r="D341">
        <v>2839</v>
      </c>
      <c r="E341">
        <v>2930</v>
      </c>
      <c r="F341">
        <v>0.33334470989761</v>
      </c>
      <c r="G341">
        <v>0.30429512207331899</v>
      </c>
      <c r="H341">
        <v>2.0244856711083999E-2</v>
      </c>
      <c r="I341">
        <v>1.43491199956908</v>
      </c>
      <c r="J341">
        <v>8.7100000000000009</v>
      </c>
    </row>
    <row r="342" spans="1:10">
      <c r="A342" s="19">
        <v>43357</v>
      </c>
      <c r="B342">
        <v>947.9</v>
      </c>
      <c r="C342">
        <v>956.8</v>
      </c>
      <c r="D342">
        <v>2837</v>
      </c>
      <c r="E342">
        <v>2845</v>
      </c>
      <c r="F342">
        <v>0.33630931458699398</v>
      </c>
      <c r="G342">
        <v>0.30364775278549999</v>
      </c>
      <c r="H342">
        <v>2.0081211091612001E-2</v>
      </c>
      <c r="I342">
        <v>1.6264737048223701</v>
      </c>
      <c r="J342">
        <v>9.7100000000000009</v>
      </c>
    </row>
    <row r="343" spans="1:10">
      <c r="A343" s="19">
        <v>43356</v>
      </c>
      <c r="B343">
        <v>920</v>
      </c>
      <c r="C343">
        <v>941.7</v>
      </c>
      <c r="D343">
        <v>2767</v>
      </c>
      <c r="E343">
        <v>2818</v>
      </c>
      <c r="F343">
        <v>0.33417317246273898</v>
      </c>
      <c r="G343">
        <v>0.302928021269875</v>
      </c>
      <c r="H343">
        <v>1.9863859740466699E-2</v>
      </c>
      <c r="I343">
        <v>1.57296475111587</v>
      </c>
      <c r="J343">
        <v>9.35</v>
      </c>
    </row>
    <row r="344" spans="1:10">
      <c r="A344" s="19">
        <v>43355</v>
      </c>
      <c r="B344">
        <v>918</v>
      </c>
      <c r="C344">
        <v>916</v>
      </c>
      <c r="D344">
        <v>2782</v>
      </c>
      <c r="E344">
        <v>2769</v>
      </c>
      <c r="F344">
        <v>0.33080534488985103</v>
      </c>
      <c r="G344">
        <v>0.30217691939119101</v>
      </c>
      <c r="H344">
        <v>1.97328086862338E-2</v>
      </c>
      <c r="I344">
        <v>1.45080337796169</v>
      </c>
      <c r="J344">
        <v>8.65</v>
      </c>
    </row>
    <row r="345" spans="1:10">
      <c r="A345" s="19">
        <v>43354</v>
      </c>
      <c r="B345">
        <v>914.5</v>
      </c>
      <c r="C345">
        <v>912.6</v>
      </c>
      <c r="D345">
        <v>2754</v>
      </c>
      <c r="E345">
        <v>2782</v>
      </c>
      <c r="F345">
        <v>0.32803738317756997</v>
      </c>
      <c r="G345">
        <v>0.30147590823528297</v>
      </c>
      <c r="H345">
        <v>1.9636977332537501E-2</v>
      </c>
      <c r="I345">
        <v>1.3526254317295301</v>
      </c>
      <c r="J345">
        <v>8.1</v>
      </c>
    </row>
    <row r="346" spans="1:10">
      <c r="A346" s="19">
        <v>43353</v>
      </c>
      <c r="B346">
        <v>905.2</v>
      </c>
      <c r="C346">
        <v>906.5</v>
      </c>
      <c r="D346">
        <v>2697</v>
      </c>
      <c r="E346">
        <v>2742</v>
      </c>
      <c r="F346">
        <v>0.33059810357403302</v>
      </c>
      <c r="G346">
        <v>0.30078277249003299</v>
      </c>
      <c r="H346">
        <v>1.9604637544210098E-2</v>
      </c>
      <c r="I346">
        <v>1.52083051863435</v>
      </c>
      <c r="J346">
        <v>9.02</v>
      </c>
    </row>
    <row r="347" spans="1:10">
      <c r="A347" s="19">
        <v>43350</v>
      </c>
      <c r="B347">
        <v>911.3</v>
      </c>
      <c r="C347">
        <v>912.5</v>
      </c>
      <c r="D347">
        <v>2673</v>
      </c>
      <c r="E347">
        <v>2671</v>
      </c>
      <c r="F347">
        <v>0.34163234743541698</v>
      </c>
      <c r="G347">
        <v>0.30010027513523302</v>
      </c>
      <c r="H347">
        <v>1.9445139221772299E-2</v>
      </c>
      <c r="I347">
        <v>2.1358588296288201</v>
      </c>
      <c r="J347">
        <v>12.16</v>
      </c>
    </row>
    <row r="348" spans="1:10">
      <c r="A348" s="19">
        <v>43349</v>
      </c>
      <c r="B348">
        <v>902.5</v>
      </c>
      <c r="C348">
        <v>903.6</v>
      </c>
      <c r="D348">
        <v>2701</v>
      </c>
      <c r="E348">
        <v>2694</v>
      </c>
      <c r="F348">
        <v>0.33541202672605702</v>
      </c>
      <c r="G348">
        <v>0.29927416031243997</v>
      </c>
      <c r="H348">
        <v>1.8973544215289798E-2</v>
      </c>
      <c r="I348">
        <v>1.9046450153733401</v>
      </c>
      <c r="J348">
        <v>10.77</v>
      </c>
    </row>
    <row r="349" spans="1:10">
      <c r="A349" s="19">
        <v>43348</v>
      </c>
      <c r="B349">
        <v>911</v>
      </c>
      <c r="C349">
        <v>901.3</v>
      </c>
      <c r="D349">
        <v>2739</v>
      </c>
      <c r="E349">
        <v>2721</v>
      </c>
      <c r="F349">
        <v>0.33123851525174502</v>
      </c>
      <c r="G349">
        <v>0.29860461433517699</v>
      </c>
      <c r="H349">
        <v>1.8568172992538701E-2</v>
      </c>
      <c r="I349">
        <v>1.75751814299022</v>
      </c>
      <c r="J349">
        <v>9.85</v>
      </c>
    </row>
    <row r="350" spans="1:10">
      <c r="A350" s="19">
        <v>43347</v>
      </c>
      <c r="B350">
        <v>915.4</v>
      </c>
      <c r="C350">
        <v>912.5</v>
      </c>
      <c r="D350">
        <v>2768</v>
      </c>
      <c r="E350">
        <v>2746</v>
      </c>
      <c r="F350">
        <v>0.33230152949745001</v>
      </c>
      <c r="G350">
        <v>0.29809236309356901</v>
      </c>
      <c r="H350">
        <v>1.8186842345771101E-2</v>
      </c>
      <c r="I350">
        <v>1.88098438164749</v>
      </c>
      <c r="J350">
        <v>10.29</v>
      </c>
    </row>
    <row r="351" spans="1:10">
      <c r="A351" s="19">
        <v>43346</v>
      </c>
      <c r="B351">
        <v>912.9</v>
      </c>
      <c r="C351">
        <v>914.4</v>
      </c>
      <c r="D351">
        <v>2814</v>
      </c>
      <c r="E351">
        <v>2762</v>
      </c>
      <c r="F351">
        <v>0.33106444605358398</v>
      </c>
      <c r="G351">
        <v>0.297483898255826</v>
      </c>
      <c r="H351">
        <v>1.7791235614436102E-2</v>
      </c>
      <c r="I351">
        <v>1.8874769872931301</v>
      </c>
      <c r="J351">
        <v>10.14</v>
      </c>
    </row>
    <row r="352" spans="1:10">
      <c r="A352" s="19">
        <v>43343</v>
      </c>
      <c r="B352">
        <v>910.1</v>
      </c>
      <c r="C352">
        <v>911.6</v>
      </c>
      <c r="D352">
        <v>2809</v>
      </c>
      <c r="E352">
        <v>2817</v>
      </c>
      <c r="F352">
        <v>0.323606673766418</v>
      </c>
      <c r="G352">
        <v>0.296891060655328</v>
      </c>
      <c r="H352">
        <v>1.73988567742384E-2</v>
      </c>
      <c r="I352">
        <v>1.53548094899235</v>
      </c>
      <c r="J352">
        <v>8.26</v>
      </c>
    </row>
    <row r="353" spans="1:10">
      <c r="A353" s="19">
        <v>43342</v>
      </c>
      <c r="B353">
        <v>931.1</v>
      </c>
      <c r="C353">
        <v>914.5</v>
      </c>
      <c r="D353">
        <v>2839</v>
      </c>
      <c r="E353">
        <v>2822</v>
      </c>
      <c r="F353">
        <v>0.32406094968107702</v>
      </c>
      <c r="G353">
        <v>0.29640811328397598</v>
      </c>
      <c r="H353">
        <v>1.7151541356304801E-2</v>
      </c>
      <c r="I353">
        <v>1.6122653831887499</v>
      </c>
      <c r="J353">
        <v>8.5299999999999994</v>
      </c>
    </row>
    <row r="354" spans="1:10">
      <c r="A354" s="19">
        <v>43341</v>
      </c>
      <c r="B354">
        <v>930.9</v>
      </c>
      <c r="C354">
        <v>930.9</v>
      </c>
      <c r="D354">
        <v>2788</v>
      </c>
      <c r="E354">
        <v>2824</v>
      </c>
      <c r="F354">
        <v>0.32963881019829999</v>
      </c>
      <c r="G354">
        <v>0.29584590628605001</v>
      </c>
      <c r="H354">
        <v>1.6925478163330902E-2</v>
      </c>
      <c r="I354">
        <v>1.99657011672865</v>
      </c>
      <c r="J354">
        <v>10.25</v>
      </c>
    </row>
    <row r="355" spans="1:10">
      <c r="A355" s="19">
        <v>43340</v>
      </c>
      <c r="B355">
        <v>922.5</v>
      </c>
      <c r="C355">
        <v>925.7</v>
      </c>
      <c r="D355">
        <v>2802</v>
      </c>
      <c r="E355">
        <v>2786</v>
      </c>
      <c r="F355">
        <v>0.33226848528356001</v>
      </c>
      <c r="G355">
        <v>0.29517760387050301</v>
      </c>
      <c r="H355">
        <v>1.65636509625719E-2</v>
      </c>
      <c r="I355">
        <v>2.2392938306216301</v>
      </c>
      <c r="J355">
        <v>11.16</v>
      </c>
    </row>
    <row r="356" spans="1:10">
      <c r="A356" s="19">
        <v>43339</v>
      </c>
      <c r="B356">
        <v>916.3</v>
      </c>
      <c r="C356">
        <v>916.6</v>
      </c>
      <c r="D356">
        <v>2757</v>
      </c>
      <c r="E356">
        <v>2789</v>
      </c>
      <c r="F356">
        <v>0.32864826102545702</v>
      </c>
      <c r="G356">
        <v>0.29443440623232697</v>
      </c>
      <c r="H356">
        <v>1.6127497767995099E-2</v>
      </c>
      <c r="I356">
        <v>2.1214608295297199</v>
      </c>
      <c r="J356">
        <v>10.41</v>
      </c>
    </row>
    <row r="357" spans="1:10">
      <c r="A357" s="19">
        <v>43336</v>
      </c>
      <c r="B357">
        <v>911.7</v>
      </c>
      <c r="C357">
        <v>912.8</v>
      </c>
      <c r="D357">
        <v>2778</v>
      </c>
      <c r="E357">
        <v>2744</v>
      </c>
      <c r="F357">
        <v>0.33265306122448901</v>
      </c>
      <c r="G357">
        <v>0.29385275356776303</v>
      </c>
      <c r="H357">
        <v>1.5663035832437298E-2</v>
      </c>
      <c r="I357">
        <v>2.4771894843254501</v>
      </c>
      <c r="J357">
        <v>11.66</v>
      </c>
    </row>
    <row r="358" spans="1:10">
      <c r="A358" s="19">
        <v>43335</v>
      </c>
      <c r="B358">
        <v>913.6</v>
      </c>
      <c r="C358">
        <v>904.1</v>
      </c>
      <c r="D358">
        <v>2726</v>
      </c>
      <c r="E358">
        <v>2732</v>
      </c>
      <c r="F358">
        <v>0.330929721815519</v>
      </c>
      <c r="G358">
        <v>0.29320090369524399</v>
      </c>
      <c r="H358">
        <v>1.5039612736209599E-2</v>
      </c>
      <c r="I358">
        <v>2.5086296291019701</v>
      </c>
      <c r="J358">
        <v>11.4</v>
      </c>
    </row>
    <row r="359" spans="1:10">
      <c r="A359" s="19">
        <v>43334</v>
      </c>
      <c r="B359">
        <v>896.9</v>
      </c>
      <c r="C359">
        <v>913</v>
      </c>
      <c r="D359">
        <v>2735</v>
      </c>
      <c r="E359">
        <v>2719</v>
      </c>
      <c r="F359">
        <v>0.33578521515262899</v>
      </c>
      <c r="G359">
        <v>0.29262522398784302</v>
      </c>
      <c r="H359">
        <v>1.43970361043868E-2</v>
      </c>
      <c r="I359">
        <v>2.9978386420546199</v>
      </c>
      <c r="J359">
        <v>12.85</v>
      </c>
    </row>
    <row r="360" spans="1:10">
      <c r="A360" s="19">
        <v>43333</v>
      </c>
      <c r="B360">
        <v>897</v>
      </c>
      <c r="C360">
        <v>889.1</v>
      </c>
      <c r="D360">
        <v>2760</v>
      </c>
      <c r="E360">
        <v>2750</v>
      </c>
      <c r="F360">
        <v>0.32330909090908999</v>
      </c>
      <c r="G360">
        <v>0.29193158613564202</v>
      </c>
      <c r="H360">
        <v>1.35278866873704E-2</v>
      </c>
      <c r="I360">
        <v>2.3194683322371201</v>
      </c>
      <c r="J360">
        <v>9.7100000000000009</v>
      </c>
    </row>
    <row r="361" spans="1:10">
      <c r="A361" s="19">
        <v>43332</v>
      </c>
      <c r="B361">
        <v>903</v>
      </c>
      <c r="C361">
        <v>895.3</v>
      </c>
      <c r="D361">
        <v>2779</v>
      </c>
      <c r="E361">
        <v>2771</v>
      </c>
      <c r="F361">
        <v>0.32309635510645901</v>
      </c>
      <c r="G361">
        <v>0.291327663658842</v>
      </c>
      <c r="H361">
        <v>1.3118460729826999E-2</v>
      </c>
      <c r="I361">
        <v>2.4216782823754501</v>
      </c>
      <c r="J361">
        <v>9.83</v>
      </c>
    </row>
    <row r="362" spans="1:10">
      <c r="A362" s="19">
        <v>43329</v>
      </c>
      <c r="B362">
        <v>900</v>
      </c>
      <c r="C362">
        <v>908.3</v>
      </c>
      <c r="D362">
        <v>2795</v>
      </c>
      <c r="E362">
        <v>2825</v>
      </c>
      <c r="F362">
        <v>0.32152212389380502</v>
      </c>
      <c r="G362">
        <v>0.29081560722359601</v>
      </c>
      <c r="H362">
        <v>1.2608022001991501E-2</v>
      </c>
      <c r="I362">
        <v>2.4354745467098802</v>
      </c>
      <c r="J362">
        <v>9.5500000000000007</v>
      </c>
    </row>
    <row r="363" spans="1:10">
      <c r="A363" s="19">
        <v>43328</v>
      </c>
      <c r="B363">
        <v>896</v>
      </c>
      <c r="C363">
        <v>891.9</v>
      </c>
      <c r="D363">
        <v>2800</v>
      </c>
      <c r="E363">
        <v>2804</v>
      </c>
      <c r="F363">
        <v>0.31808131241084098</v>
      </c>
      <c r="G363">
        <v>0.29031797431522399</v>
      </c>
      <c r="H363">
        <v>1.2113064115250699E-2</v>
      </c>
      <c r="I363">
        <v>2.29201611016504</v>
      </c>
      <c r="J363">
        <v>8.73</v>
      </c>
    </row>
    <row r="364" spans="1:10">
      <c r="A364" s="19">
        <v>43327</v>
      </c>
      <c r="B364">
        <v>911.9</v>
      </c>
      <c r="C364">
        <v>907.6</v>
      </c>
      <c r="D364">
        <v>2830</v>
      </c>
      <c r="E364">
        <v>2837</v>
      </c>
      <c r="F364">
        <v>0.31991540359534698</v>
      </c>
      <c r="G364">
        <v>0.28984164977062099</v>
      </c>
      <c r="H364">
        <v>1.1707565879491E-2</v>
      </c>
      <c r="I364">
        <v>2.5687452143581702</v>
      </c>
      <c r="J364">
        <v>9.4</v>
      </c>
    </row>
    <row r="365" spans="1:10">
      <c r="A365" s="19">
        <v>43326</v>
      </c>
      <c r="B365">
        <v>899.9</v>
      </c>
      <c r="C365">
        <v>907.9</v>
      </c>
      <c r="D365">
        <v>2767</v>
      </c>
      <c r="E365">
        <v>2823</v>
      </c>
      <c r="F365">
        <v>0.32160821820758001</v>
      </c>
      <c r="G365">
        <v>0.28935021573921199</v>
      </c>
      <c r="H365">
        <v>1.1197326234152399E-2</v>
      </c>
      <c r="I365">
        <v>2.88086653847588</v>
      </c>
      <c r="J365">
        <v>10.029999999999999</v>
      </c>
    </row>
    <row r="366" spans="1:10">
      <c r="A366" s="19">
        <v>43325</v>
      </c>
      <c r="B366">
        <v>908</v>
      </c>
      <c r="C366">
        <v>887.5</v>
      </c>
      <c r="D366">
        <v>2827</v>
      </c>
      <c r="E366">
        <v>2766</v>
      </c>
      <c r="F366">
        <v>0.32086044830079502</v>
      </c>
      <c r="G366">
        <v>0.28882948979802597</v>
      </c>
      <c r="H366">
        <v>1.05759380119577E-2</v>
      </c>
      <c r="I366">
        <v>3.02866360095459</v>
      </c>
      <c r="J366">
        <v>9.98</v>
      </c>
    </row>
    <row r="367" spans="1:10">
      <c r="A367" s="19">
        <v>43322</v>
      </c>
      <c r="B367">
        <v>919.3</v>
      </c>
      <c r="C367">
        <v>911</v>
      </c>
      <c r="D367">
        <v>2909</v>
      </c>
      <c r="E367">
        <v>2855</v>
      </c>
      <c r="F367">
        <v>0.31908931698774001</v>
      </c>
      <c r="G367">
        <v>0.28831449634925999</v>
      </c>
      <c r="H367">
        <v>9.9239683558367802E-3</v>
      </c>
      <c r="I367">
        <v>3.1010599323787398</v>
      </c>
      <c r="J367">
        <v>9.64</v>
      </c>
    </row>
    <row r="368" spans="1:10">
      <c r="A368" s="19">
        <v>43321</v>
      </c>
      <c r="B368">
        <v>912.4</v>
      </c>
      <c r="C368">
        <v>917.7</v>
      </c>
      <c r="D368">
        <v>2912</v>
      </c>
      <c r="E368">
        <v>2933</v>
      </c>
      <c r="F368">
        <v>0.31288782816229099</v>
      </c>
      <c r="G368">
        <v>0.287781811203217</v>
      </c>
      <c r="H368">
        <v>9.3110861166377408E-3</v>
      </c>
      <c r="I368">
        <v>2.6963575080905402</v>
      </c>
      <c r="J368">
        <v>8.02</v>
      </c>
    </row>
    <row r="369" spans="1:10">
      <c r="A369" s="19">
        <v>43320</v>
      </c>
      <c r="B369">
        <v>916.1</v>
      </c>
      <c r="C369">
        <v>918.8</v>
      </c>
      <c r="D369">
        <v>2890</v>
      </c>
      <c r="E369">
        <v>2911</v>
      </c>
      <c r="F369">
        <v>0.31563036757128099</v>
      </c>
      <c r="G369">
        <v>0.28727641138045401</v>
      </c>
      <c r="H369">
        <v>8.9566129877016194E-3</v>
      </c>
      <c r="I369">
        <v>3.1657007207702499</v>
      </c>
      <c r="J369">
        <v>8.98</v>
      </c>
    </row>
    <row r="370" spans="1:10">
      <c r="A370" s="19">
        <v>43319</v>
      </c>
      <c r="B370">
        <v>897.4</v>
      </c>
      <c r="C370">
        <v>910.2</v>
      </c>
      <c r="D370">
        <v>2898</v>
      </c>
      <c r="E370">
        <v>2889</v>
      </c>
      <c r="F370">
        <v>0.31505711318795399</v>
      </c>
      <c r="G370">
        <v>0.28668646801796499</v>
      </c>
      <c r="H370">
        <v>8.5159212273959693E-3</v>
      </c>
      <c r="I370">
        <v>3.3314828087793802</v>
      </c>
      <c r="J370">
        <v>9</v>
      </c>
    </row>
    <row r="371" spans="1:10">
      <c r="A371" s="19">
        <v>43318</v>
      </c>
      <c r="B371">
        <v>903.6</v>
      </c>
      <c r="C371">
        <v>897.8</v>
      </c>
      <c r="D371">
        <v>2936</v>
      </c>
      <c r="E371">
        <v>2901</v>
      </c>
      <c r="F371">
        <v>0.30947948983109203</v>
      </c>
      <c r="G371">
        <v>0.28606331811087699</v>
      </c>
      <c r="H371">
        <v>8.1177554929845498E-3</v>
      </c>
      <c r="I371">
        <v>2.8845623325871199</v>
      </c>
      <c r="J371">
        <v>7.57</v>
      </c>
    </row>
    <row r="372" spans="1:10">
      <c r="A372" s="19">
        <v>43315</v>
      </c>
      <c r="B372">
        <v>901.1</v>
      </c>
      <c r="C372">
        <v>903.8</v>
      </c>
      <c r="D372">
        <v>3000</v>
      </c>
      <c r="E372">
        <v>2976</v>
      </c>
      <c r="F372">
        <v>0.30369623655913902</v>
      </c>
      <c r="G372">
        <v>0.28552974754943</v>
      </c>
      <c r="H372">
        <v>7.8725607472831197E-3</v>
      </c>
      <c r="I372">
        <v>2.3075705088689098</v>
      </c>
      <c r="J372">
        <v>5.98</v>
      </c>
    </row>
    <row r="373" spans="1:10">
      <c r="A373" s="19">
        <v>43314</v>
      </c>
      <c r="B373">
        <v>873.9</v>
      </c>
      <c r="C373">
        <v>894.6</v>
      </c>
      <c r="D373">
        <v>3025</v>
      </c>
      <c r="E373">
        <v>2990</v>
      </c>
      <c r="F373">
        <v>0.29919732441471503</v>
      </c>
      <c r="G373">
        <v>0.285056056380736</v>
      </c>
      <c r="H373">
        <v>7.8339624599309092E-3</v>
      </c>
      <c r="I373">
        <v>1.8051232829246999</v>
      </c>
      <c r="J373">
        <v>4.7300000000000004</v>
      </c>
    </row>
    <row r="374" spans="1:10">
      <c r="A374" s="19">
        <v>43313</v>
      </c>
      <c r="B374">
        <v>858.5</v>
      </c>
      <c r="C374">
        <v>880.2</v>
      </c>
      <c r="D374">
        <v>3040</v>
      </c>
      <c r="E374">
        <v>3030</v>
      </c>
      <c r="F374">
        <v>0.29049504950494998</v>
      </c>
      <c r="G374">
        <v>0.28469244932960802</v>
      </c>
      <c r="H374">
        <v>7.8019731331334602E-3</v>
      </c>
      <c r="I374">
        <v>0.74373495990388805</v>
      </c>
      <c r="J374">
        <v>2</v>
      </c>
    </row>
    <row r="375" spans="1:10">
      <c r="A375" s="19">
        <v>43312</v>
      </c>
      <c r="B375">
        <v>860</v>
      </c>
      <c r="C375">
        <v>850.8</v>
      </c>
      <c r="D375">
        <v>3060</v>
      </c>
      <c r="E375">
        <v>3025</v>
      </c>
      <c r="F375">
        <v>0.28125619834710702</v>
      </c>
      <c r="G375">
        <v>0.284468966611095</v>
      </c>
      <c r="H375">
        <v>7.8723006759108902E-3</v>
      </c>
      <c r="I375">
        <v>-0.40811046176361698</v>
      </c>
      <c r="J375">
        <v>-1.1399999999999999</v>
      </c>
    </row>
    <row r="376" spans="1:10">
      <c r="A376" s="19">
        <v>43311</v>
      </c>
      <c r="B376">
        <v>863</v>
      </c>
      <c r="C376">
        <v>866.8</v>
      </c>
      <c r="D376">
        <v>3080</v>
      </c>
      <c r="E376">
        <v>3095</v>
      </c>
      <c r="F376">
        <v>0.28006462035541102</v>
      </c>
      <c r="G376">
        <v>0.28436040645781602</v>
      </c>
      <c r="H376">
        <v>7.9713730229761699E-3</v>
      </c>
      <c r="I376">
        <v>-0.53890165345705598</v>
      </c>
      <c r="J376">
        <v>-1.53</v>
      </c>
    </row>
    <row r="377" spans="1:10">
      <c r="A377" s="19">
        <v>43308</v>
      </c>
      <c r="B377">
        <v>864.3</v>
      </c>
      <c r="C377">
        <v>867.9</v>
      </c>
      <c r="D377">
        <v>3030</v>
      </c>
      <c r="E377">
        <v>3090</v>
      </c>
      <c r="F377">
        <v>0.280873786407767</v>
      </c>
      <c r="G377">
        <v>0.284244468781155</v>
      </c>
      <c r="H377">
        <v>8.0952794338478105E-3</v>
      </c>
      <c r="I377">
        <v>-0.41637628459061699</v>
      </c>
      <c r="J377">
        <v>-1.2</v>
      </c>
    </row>
    <row r="378" spans="1:10">
      <c r="A378" s="19">
        <v>43307</v>
      </c>
      <c r="B378">
        <v>860.1</v>
      </c>
      <c r="C378">
        <v>864.8</v>
      </c>
      <c r="D378">
        <v>2975</v>
      </c>
      <c r="E378">
        <v>3010</v>
      </c>
      <c r="F378">
        <v>0.28730897009966699</v>
      </c>
      <c r="G378">
        <v>0.28403143898537297</v>
      </c>
      <c r="H378">
        <v>8.38617350257519E-3</v>
      </c>
      <c r="I378">
        <v>0.39082557894701497</v>
      </c>
      <c r="J378">
        <v>1.1399999999999999</v>
      </c>
    </row>
    <row r="379" spans="1:10">
      <c r="A379" s="19">
        <v>43306</v>
      </c>
      <c r="B379">
        <v>846.3</v>
      </c>
      <c r="C379">
        <v>853.2</v>
      </c>
      <c r="D379">
        <v>2933</v>
      </c>
      <c r="E379">
        <v>2929</v>
      </c>
      <c r="F379">
        <v>0.29129395698190502</v>
      </c>
      <c r="G379">
        <v>0.28372304765117201</v>
      </c>
      <c r="H379">
        <v>8.6801018162021293E-3</v>
      </c>
      <c r="I379">
        <v>0.87221434621899496</v>
      </c>
      <c r="J379">
        <v>2.6</v>
      </c>
    </row>
    <row r="380" spans="1:10">
      <c r="A380" s="19">
        <v>43305</v>
      </c>
      <c r="B380">
        <v>841.3</v>
      </c>
      <c r="C380">
        <v>843.3</v>
      </c>
      <c r="D380">
        <v>2958</v>
      </c>
      <c r="E380">
        <v>2928</v>
      </c>
      <c r="F380">
        <v>0.28801229508196702</v>
      </c>
      <c r="G380">
        <v>0.28332732982841202</v>
      </c>
      <c r="H380">
        <v>8.9966733893579506E-3</v>
      </c>
      <c r="I380">
        <v>0.52074417407403395</v>
      </c>
      <c r="J380">
        <v>1.63</v>
      </c>
    </row>
    <row r="381" spans="1:10">
      <c r="A381" s="19">
        <v>43304</v>
      </c>
      <c r="B381">
        <v>843.4</v>
      </c>
      <c r="C381">
        <v>845.2</v>
      </c>
      <c r="D381">
        <v>2917</v>
      </c>
      <c r="E381">
        <v>2930</v>
      </c>
      <c r="F381">
        <v>0.28846416382252499</v>
      </c>
      <c r="G381">
        <v>0.28304163059711801</v>
      </c>
      <c r="H381">
        <v>9.1816844798765507E-3</v>
      </c>
      <c r="I381">
        <v>0.59058152534994002</v>
      </c>
      <c r="J381">
        <v>1.88</v>
      </c>
    </row>
    <row r="382" spans="1:10">
      <c r="A382" s="19">
        <v>43301</v>
      </c>
      <c r="B382">
        <v>872.8</v>
      </c>
      <c r="C382">
        <v>853.7</v>
      </c>
      <c r="D382">
        <v>2925</v>
      </c>
      <c r="E382">
        <v>2920</v>
      </c>
      <c r="F382">
        <v>0.29236301369862999</v>
      </c>
      <c r="G382">
        <v>0.28282438157423101</v>
      </c>
      <c r="H382">
        <v>9.2433672439416401E-3</v>
      </c>
      <c r="I382">
        <v>1.0319434328058901</v>
      </c>
      <c r="J382">
        <v>3.26</v>
      </c>
    </row>
    <row r="383" spans="1:10">
      <c r="A383" s="19">
        <v>43300</v>
      </c>
      <c r="B383">
        <v>870.8</v>
      </c>
      <c r="C383">
        <v>873.3</v>
      </c>
      <c r="D383">
        <v>2892</v>
      </c>
      <c r="E383">
        <v>2922</v>
      </c>
      <c r="F383">
        <v>0.29887063655030799</v>
      </c>
      <c r="G383">
        <v>0.282560891782485</v>
      </c>
      <c r="H383">
        <v>9.2493654932968902E-3</v>
      </c>
      <c r="I383">
        <v>1.76333660721291</v>
      </c>
      <c r="J383">
        <v>5.46</v>
      </c>
    </row>
    <row r="384" spans="1:10">
      <c r="A384" s="19">
        <v>43299</v>
      </c>
      <c r="B384">
        <v>864.2</v>
      </c>
      <c r="C384">
        <v>865.2</v>
      </c>
      <c r="D384">
        <v>2888</v>
      </c>
      <c r="E384">
        <v>2889</v>
      </c>
      <c r="F384">
        <v>0.29948078920041499</v>
      </c>
      <c r="G384">
        <v>0.28225528090566099</v>
      </c>
      <c r="H384">
        <v>9.0825846444995799E-3</v>
      </c>
      <c r="I384">
        <v>1.8965425557784601</v>
      </c>
      <c r="J384">
        <v>5.75</v>
      </c>
    </row>
    <row r="385" spans="1:10">
      <c r="A385" s="19">
        <v>43298</v>
      </c>
      <c r="B385">
        <v>853.8</v>
      </c>
      <c r="C385">
        <v>857.2</v>
      </c>
      <c r="D385">
        <v>2838</v>
      </c>
      <c r="E385">
        <v>2885</v>
      </c>
      <c r="F385">
        <v>0.29712305025996499</v>
      </c>
      <c r="G385">
        <v>0.28194472052708103</v>
      </c>
      <c r="H385">
        <v>8.8843320782731692E-3</v>
      </c>
      <c r="I385">
        <v>1.7084379106001999</v>
      </c>
      <c r="J385">
        <v>5.1100000000000003</v>
      </c>
    </row>
    <row r="386" spans="1:10">
      <c r="A386" s="19">
        <v>43294</v>
      </c>
      <c r="B386">
        <v>850</v>
      </c>
      <c r="C386">
        <v>849.9</v>
      </c>
      <c r="D386">
        <v>2817</v>
      </c>
      <c r="E386">
        <v>2830</v>
      </c>
      <c r="F386">
        <v>0.30031802120141299</v>
      </c>
      <c r="G386">
        <v>0.281664979820964</v>
      </c>
      <c r="H386">
        <v>8.7309920948011894E-3</v>
      </c>
      <c r="I386">
        <v>2.13641716518736</v>
      </c>
      <c r="J386">
        <v>6.21</v>
      </c>
    </row>
    <row r="387" spans="1:10">
      <c r="A387" s="19">
        <v>43293</v>
      </c>
      <c r="B387">
        <v>839</v>
      </c>
      <c r="C387">
        <v>840.4</v>
      </c>
      <c r="D387">
        <v>2802</v>
      </c>
      <c r="E387">
        <v>2794</v>
      </c>
      <c r="F387">
        <v>0.30078740157480299</v>
      </c>
      <c r="G387">
        <v>0.281349819175856</v>
      </c>
      <c r="H387">
        <v>8.4748424784621204E-3</v>
      </c>
      <c r="I387">
        <v>2.29356267663319</v>
      </c>
      <c r="J387">
        <v>6.46</v>
      </c>
    </row>
    <row r="388" spans="1:10">
      <c r="A388" s="19">
        <v>43292</v>
      </c>
      <c r="B388">
        <v>847</v>
      </c>
      <c r="C388">
        <v>842.3</v>
      </c>
      <c r="D388">
        <v>2786</v>
      </c>
      <c r="E388">
        <v>2788</v>
      </c>
      <c r="F388">
        <v>0.30211621233859398</v>
      </c>
      <c r="G388">
        <v>0.28104576970983802</v>
      </c>
      <c r="H388">
        <v>8.1758174938496801E-3</v>
      </c>
      <c r="I388">
        <v>2.5771664600641802</v>
      </c>
      <c r="J388">
        <v>6.97</v>
      </c>
    </row>
    <row r="389" spans="1:10">
      <c r="A389" s="19">
        <v>43291</v>
      </c>
      <c r="B389">
        <v>848</v>
      </c>
      <c r="C389">
        <v>847.9</v>
      </c>
      <c r="D389">
        <v>2890</v>
      </c>
      <c r="E389">
        <v>2815</v>
      </c>
      <c r="F389">
        <v>0.30120781527530999</v>
      </c>
      <c r="G389">
        <v>0.28076526110418398</v>
      </c>
      <c r="H389">
        <v>7.8003722019355402E-3</v>
      </c>
      <c r="I389">
        <v>2.6207152225446699</v>
      </c>
      <c r="J389">
        <v>6.79</v>
      </c>
    </row>
    <row r="390" spans="1:10">
      <c r="A390" s="19">
        <v>43290</v>
      </c>
      <c r="B390">
        <v>834.6</v>
      </c>
      <c r="C390">
        <v>838.8</v>
      </c>
      <c r="D390">
        <v>2885</v>
      </c>
      <c r="E390">
        <v>2876</v>
      </c>
      <c r="F390">
        <v>0.291655076495132</v>
      </c>
      <c r="G390">
        <v>0.28045527549252802</v>
      </c>
      <c r="H390">
        <v>7.4352371212846099E-3</v>
      </c>
      <c r="I390">
        <v>1.5063138969088801</v>
      </c>
      <c r="J390">
        <v>3.84</v>
      </c>
    </row>
    <row r="391" spans="1:10">
      <c r="A391" s="19">
        <v>43287</v>
      </c>
      <c r="B391">
        <v>828.8</v>
      </c>
      <c r="C391">
        <v>835.8</v>
      </c>
      <c r="D391">
        <v>2829</v>
      </c>
      <c r="E391">
        <v>2857</v>
      </c>
      <c r="F391">
        <v>0.29254462723136099</v>
      </c>
      <c r="G391">
        <v>0.28024991594670101</v>
      </c>
      <c r="H391">
        <v>7.3350901249977698E-3</v>
      </c>
      <c r="I391">
        <v>1.67614999613433</v>
      </c>
      <c r="J391">
        <v>4.2</v>
      </c>
    </row>
    <row r="392" spans="1:10">
      <c r="A392" s="19">
        <v>43286</v>
      </c>
      <c r="B392">
        <v>832.3</v>
      </c>
      <c r="C392">
        <v>820.2</v>
      </c>
      <c r="D392">
        <v>2844</v>
      </c>
      <c r="E392">
        <v>2821</v>
      </c>
      <c r="F392">
        <v>0.290747961715703</v>
      </c>
      <c r="G392">
        <v>0.27999876872599799</v>
      </c>
      <c r="H392">
        <v>7.2315645999607497E-3</v>
      </c>
      <c r="I392">
        <v>1.4864270160516999</v>
      </c>
      <c r="J392">
        <v>3.7</v>
      </c>
    </row>
    <row r="393" spans="1:10">
      <c r="A393" s="19">
        <v>43285</v>
      </c>
      <c r="B393">
        <v>817.3</v>
      </c>
      <c r="C393">
        <v>832.7</v>
      </c>
      <c r="D393">
        <v>2811</v>
      </c>
      <c r="E393">
        <v>2846</v>
      </c>
      <c r="F393">
        <v>0.29258608573436401</v>
      </c>
      <c r="G393">
        <v>0.27980237483806197</v>
      </c>
      <c r="H393">
        <v>7.1363573578363104E-3</v>
      </c>
      <c r="I393">
        <v>1.7913495997036</v>
      </c>
      <c r="J393">
        <v>4.37</v>
      </c>
    </row>
    <row r="394" spans="1:10">
      <c r="A394" s="19">
        <v>43284</v>
      </c>
      <c r="B394">
        <v>824</v>
      </c>
      <c r="C394">
        <v>820</v>
      </c>
      <c r="D394">
        <v>2818</v>
      </c>
      <c r="E394">
        <v>2822</v>
      </c>
      <c r="F394">
        <v>0.29057406094968102</v>
      </c>
      <c r="G394">
        <v>0.27959710026937201</v>
      </c>
      <c r="H394">
        <v>6.9855165056360502E-3</v>
      </c>
      <c r="I394">
        <v>1.571388553939</v>
      </c>
      <c r="J394">
        <v>3.78</v>
      </c>
    </row>
    <row r="395" spans="1:10">
      <c r="A395" s="19">
        <v>43283</v>
      </c>
      <c r="B395">
        <v>842.3</v>
      </c>
      <c r="C395">
        <v>826.9</v>
      </c>
      <c r="D395">
        <v>2906</v>
      </c>
      <c r="E395">
        <v>2840</v>
      </c>
      <c r="F395">
        <v>0.29116197183098502</v>
      </c>
      <c r="G395">
        <v>0.27943306869331502</v>
      </c>
      <c r="H395">
        <v>6.8693067348123303E-3</v>
      </c>
      <c r="I395">
        <v>1.7074362217996299</v>
      </c>
      <c r="J395">
        <v>4.03</v>
      </c>
    </row>
    <row r="396" spans="1:10">
      <c r="A396" s="19">
        <v>43280</v>
      </c>
      <c r="B396">
        <v>830</v>
      </c>
      <c r="C396">
        <v>845.1</v>
      </c>
      <c r="D396">
        <v>2953</v>
      </c>
      <c r="E396">
        <v>2909</v>
      </c>
      <c r="F396">
        <v>0.29051220350635898</v>
      </c>
      <c r="G396">
        <v>0.27926898535414202</v>
      </c>
      <c r="H396">
        <v>6.73280529615807E-3</v>
      </c>
      <c r="I396">
        <v>1.66991583116665</v>
      </c>
      <c r="J396">
        <v>3.87</v>
      </c>
    </row>
    <row r="397" spans="1:10">
      <c r="A397" s="19">
        <v>43279</v>
      </c>
      <c r="B397">
        <v>830.9</v>
      </c>
      <c r="C397">
        <v>833.9</v>
      </c>
      <c r="D397">
        <v>2983</v>
      </c>
      <c r="E397">
        <v>2958</v>
      </c>
      <c r="F397">
        <v>0.28191345503718701</v>
      </c>
      <c r="G397">
        <v>0.27915836728038002</v>
      </c>
      <c r="H397">
        <v>6.6142838914104597E-3</v>
      </c>
      <c r="I397">
        <v>0.41653606074951699</v>
      </c>
      <c r="J397">
        <v>0.98</v>
      </c>
    </row>
    <row r="398" spans="1:10">
      <c r="A398" s="19">
        <v>43278</v>
      </c>
      <c r="B398">
        <v>834.7</v>
      </c>
      <c r="C398">
        <v>834.2</v>
      </c>
      <c r="D398">
        <v>2955</v>
      </c>
      <c r="E398">
        <v>2976</v>
      </c>
      <c r="F398">
        <v>0.28030913978494598</v>
      </c>
      <c r="G398">
        <v>0.27911789946036503</v>
      </c>
      <c r="H398">
        <v>6.6065840110481203E-3</v>
      </c>
      <c r="I398">
        <v>0.180311084001819</v>
      </c>
      <c r="J398">
        <v>0.42</v>
      </c>
    </row>
    <row r="399" spans="1:10">
      <c r="A399" s="19">
        <v>43277</v>
      </c>
      <c r="B399">
        <v>823</v>
      </c>
      <c r="C399">
        <v>828</v>
      </c>
      <c r="D399">
        <v>2928</v>
      </c>
      <c r="E399">
        <v>2958</v>
      </c>
      <c r="F399">
        <v>0.279918864097363</v>
      </c>
      <c r="G399">
        <v>0.27913494628454799</v>
      </c>
      <c r="H399">
        <v>6.61128353617302E-3</v>
      </c>
      <c r="I399">
        <v>0.11857271111211801</v>
      </c>
      <c r="J399">
        <v>0.28000000000000003</v>
      </c>
    </row>
    <row r="400" spans="1:10">
      <c r="A400" s="19">
        <v>43276</v>
      </c>
      <c r="B400">
        <v>839.2</v>
      </c>
      <c r="C400">
        <v>827.9</v>
      </c>
      <c r="D400">
        <v>3015</v>
      </c>
      <c r="E400">
        <v>2956</v>
      </c>
      <c r="F400">
        <v>0.28007442489851098</v>
      </c>
      <c r="G400">
        <v>0.27915123277494502</v>
      </c>
      <c r="H400">
        <v>6.6146982560412902E-3</v>
      </c>
      <c r="I400">
        <v>0.13956677807977899</v>
      </c>
      <c r="J400">
        <v>0.33</v>
      </c>
    </row>
    <row r="401" spans="1:10">
      <c r="A401" s="19">
        <v>43273</v>
      </c>
      <c r="B401">
        <v>828.5</v>
      </c>
      <c r="C401">
        <v>829.9</v>
      </c>
      <c r="D401">
        <v>2995</v>
      </c>
      <c r="E401">
        <v>3060</v>
      </c>
      <c r="F401">
        <v>0.27120915032679699</v>
      </c>
      <c r="G401">
        <v>0.27919663848936299</v>
      </c>
      <c r="H401">
        <v>6.6325435281677399E-3</v>
      </c>
      <c r="I401">
        <v>-1.20428733390807</v>
      </c>
      <c r="J401">
        <v>-2.95</v>
      </c>
    </row>
    <row r="402" spans="1:10">
      <c r="A402" s="19">
        <v>43272</v>
      </c>
      <c r="B402">
        <v>837</v>
      </c>
      <c r="C402">
        <v>839.1</v>
      </c>
      <c r="D402">
        <v>3020</v>
      </c>
      <c r="E402">
        <v>3010</v>
      </c>
      <c r="F402">
        <v>0.278770764119601</v>
      </c>
      <c r="G402">
        <v>0.279380516485006</v>
      </c>
      <c r="H402">
        <v>6.5996370888687303E-3</v>
      </c>
      <c r="I402">
        <v>-9.2391802336154405E-2</v>
      </c>
      <c r="J402">
        <v>-0.22</v>
      </c>
    </row>
    <row r="403" spans="1:10">
      <c r="A403" s="19">
        <v>43271</v>
      </c>
      <c r="B403">
        <v>849.8</v>
      </c>
      <c r="C403">
        <v>842.4</v>
      </c>
      <c r="D403">
        <v>3040</v>
      </c>
      <c r="E403">
        <v>3040</v>
      </c>
      <c r="F403">
        <v>0.27710526315789402</v>
      </c>
      <c r="G403">
        <v>0.27962666233264399</v>
      </c>
      <c r="H403">
        <v>6.9093074380871897E-3</v>
      </c>
      <c r="I403">
        <v>-0.36492791750019199</v>
      </c>
      <c r="J403">
        <v>-0.91</v>
      </c>
    </row>
    <row r="404" spans="1:10">
      <c r="A404" s="19">
        <v>43270</v>
      </c>
      <c r="B404">
        <v>867.2</v>
      </c>
      <c r="C404">
        <v>851</v>
      </c>
      <c r="D404">
        <v>3060</v>
      </c>
      <c r="E404">
        <v>3040</v>
      </c>
      <c r="F404">
        <v>0.27993421052631501</v>
      </c>
      <c r="G404">
        <v>0.27989923604031602</v>
      </c>
      <c r="H404">
        <v>7.2015227947481502E-3</v>
      </c>
      <c r="I404">
        <v>4.8565403451877702E-3</v>
      </c>
      <c r="J404">
        <v>0.01</v>
      </c>
    </row>
    <row r="405" spans="1:10">
      <c r="A405" s="19">
        <v>43269</v>
      </c>
      <c r="B405">
        <v>874</v>
      </c>
      <c r="C405">
        <v>864.3</v>
      </c>
      <c r="D405">
        <v>3085</v>
      </c>
      <c r="E405">
        <v>3090</v>
      </c>
      <c r="F405">
        <v>0.27970873786407702</v>
      </c>
      <c r="G405">
        <v>0.280142528657089</v>
      </c>
      <c r="H405">
        <v>7.5006069512777301E-3</v>
      </c>
      <c r="I405">
        <v>-5.7834092071401402E-2</v>
      </c>
      <c r="J405">
        <v>-0.16</v>
      </c>
    </row>
    <row r="406" spans="1:10">
      <c r="A406" s="19">
        <v>43266</v>
      </c>
      <c r="B406">
        <v>875</v>
      </c>
      <c r="C406">
        <v>876.1</v>
      </c>
      <c r="D406">
        <v>3135</v>
      </c>
      <c r="E406">
        <v>3080</v>
      </c>
      <c r="F406">
        <v>0.28444805194805101</v>
      </c>
      <c r="G406">
        <v>0.28042563011023602</v>
      </c>
      <c r="H406">
        <v>7.8704718445023608E-3</v>
      </c>
      <c r="I406">
        <v>0.51107759703445999</v>
      </c>
      <c r="J406">
        <v>1.41</v>
      </c>
    </row>
    <row r="407" spans="1:10">
      <c r="A407" s="19">
        <v>43265</v>
      </c>
      <c r="B407">
        <v>876</v>
      </c>
      <c r="C407">
        <v>871.6</v>
      </c>
      <c r="D407">
        <v>3150</v>
      </c>
      <c r="E407">
        <v>3105</v>
      </c>
      <c r="F407">
        <v>0.28070853462157802</v>
      </c>
      <c r="G407">
        <v>0.28064461310084998</v>
      </c>
      <c r="H407">
        <v>8.2008885918176296E-3</v>
      </c>
      <c r="I407">
        <v>7.7944627600049499E-3</v>
      </c>
      <c r="J407">
        <v>0.02</v>
      </c>
    </row>
    <row r="408" spans="1:10">
      <c r="A408" s="19">
        <v>43264</v>
      </c>
      <c r="B408">
        <v>882.2</v>
      </c>
      <c r="C408">
        <v>879.1</v>
      </c>
      <c r="D408">
        <v>3105</v>
      </c>
      <c r="E408">
        <v>3155</v>
      </c>
      <c r="F408">
        <v>0.27863708399366</v>
      </c>
      <c r="G408">
        <v>0.280888616780198</v>
      </c>
      <c r="H408">
        <v>8.4670871459741302E-3</v>
      </c>
      <c r="I408">
        <v>-0.26591586312041698</v>
      </c>
      <c r="J408">
        <v>-0.81</v>
      </c>
    </row>
    <row r="409" spans="1:10">
      <c r="A409" s="19">
        <v>43263</v>
      </c>
      <c r="B409">
        <v>884</v>
      </c>
      <c r="C409">
        <v>878.3</v>
      </c>
      <c r="D409">
        <v>3080</v>
      </c>
      <c r="E409">
        <v>3105</v>
      </c>
      <c r="F409">
        <v>0.282866344605475</v>
      </c>
      <c r="G409">
        <v>0.281117673851076</v>
      </c>
      <c r="H409">
        <v>8.6338099477926596E-3</v>
      </c>
      <c r="I409">
        <v>0.20253755468009499</v>
      </c>
      <c r="J409">
        <v>0.62</v>
      </c>
    </row>
    <row r="410" spans="1:10">
      <c r="A410" s="19">
        <v>43262</v>
      </c>
      <c r="B410">
        <v>879.1</v>
      </c>
      <c r="C410">
        <v>880.4</v>
      </c>
      <c r="D410">
        <v>3040</v>
      </c>
      <c r="E410">
        <v>3070</v>
      </c>
      <c r="F410">
        <v>0.28677524429967399</v>
      </c>
      <c r="G410">
        <v>0.28127505042221201</v>
      </c>
      <c r="H410">
        <v>8.7707388702375193E-3</v>
      </c>
      <c r="I410">
        <v>0.62710724362414605</v>
      </c>
      <c r="J410">
        <v>1.92</v>
      </c>
    </row>
    <row r="411" spans="1:10">
      <c r="A411" s="19">
        <v>43259</v>
      </c>
      <c r="B411">
        <v>882.6</v>
      </c>
      <c r="C411">
        <v>883.1</v>
      </c>
      <c r="D411">
        <v>3030</v>
      </c>
      <c r="E411">
        <v>3035</v>
      </c>
      <c r="F411">
        <v>0.29097199341021401</v>
      </c>
      <c r="G411">
        <v>0.28147022269482003</v>
      </c>
      <c r="H411">
        <v>9.0494008084078502E-3</v>
      </c>
      <c r="I411">
        <v>1.0499889347995</v>
      </c>
      <c r="J411">
        <v>3.27</v>
      </c>
    </row>
    <row r="412" spans="1:10">
      <c r="A412" s="19">
        <v>43258</v>
      </c>
      <c r="B412">
        <v>890</v>
      </c>
      <c r="C412">
        <v>891.8</v>
      </c>
      <c r="D412">
        <v>3045</v>
      </c>
      <c r="E412">
        <v>3030</v>
      </c>
      <c r="F412">
        <v>0.29432343234323399</v>
      </c>
      <c r="G412">
        <v>0.28158518805308702</v>
      </c>
      <c r="H412">
        <v>9.2224977325370792E-3</v>
      </c>
      <c r="I412">
        <v>1.38121414171851</v>
      </c>
      <c r="J412">
        <v>4.33</v>
      </c>
    </row>
    <row r="413" spans="1:10">
      <c r="A413" s="19">
        <v>43257</v>
      </c>
      <c r="B413">
        <v>880.5</v>
      </c>
      <c r="C413">
        <v>883.6</v>
      </c>
      <c r="D413">
        <v>3045</v>
      </c>
      <c r="E413">
        <v>3040</v>
      </c>
      <c r="F413">
        <v>0.290657894736842</v>
      </c>
      <c r="G413">
        <v>0.28158418389251999</v>
      </c>
      <c r="H413">
        <v>9.2211147134439696E-3</v>
      </c>
      <c r="I413">
        <v>0.98401452821016</v>
      </c>
      <c r="J413">
        <v>3.12</v>
      </c>
    </row>
    <row r="414" spans="1:10">
      <c r="A414" s="19">
        <v>43256</v>
      </c>
      <c r="B414">
        <v>883</v>
      </c>
      <c r="C414">
        <v>879.1</v>
      </c>
      <c r="D414">
        <v>3020</v>
      </c>
      <c r="E414">
        <v>3045</v>
      </c>
      <c r="F414">
        <v>0.28870279146141198</v>
      </c>
      <c r="G414">
        <v>0.281581331200218</v>
      </c>
      <c r="H414">
        <v>9.2183398586447793E-3</v>
      </c>
      <c r="I414">
        <v>0.77253175413310504</v>
      </c>
      <c r="J414">
        <v>2.4700000000000002</v>
      </c>
    </row>
    <row r="415" spans="1:10">
      <c r="A415" s="19">
        <v>43255</v>
      </c>
      <c r="B415">
        <v>869.3</v>
      </c>
      <c r="C415">
        <v>879.6</v>
      </c>
      <c r="D415">
        <v>3050</v>
      </c>
      <c r="E415">
        <v>3040</v>
      </c>
      <c r="F415">
        <v>0.28934210526315701</v>
      </c>
      <c r="G415">
        <v>0.281604258284402</v>
      </c>
      <c r="H415">
        <v>9.2381403201798901E-3</v>
      </c>
      <c r="I415">
        <v>0.83759790505155796</v>
      </c>
      <c r="J415">
        <v>2.67</v>
      </c>
    </row>
    <row r="416" spans="1:10">
      <c r="A416" s="19">
        <v>43252</v>
      </c>
      <c r="B416">
        <v>840.1</v>
      </c>
      <c r="C416">
        <v>855.8</v>
      </c>
      <c r="D416">
        <v>2971</v>
      </c>
      <c r="E416">
        <v>3005</v>
      </c>
      <c r="F416">
        <v>0.28479201331114801</v>
      </c>
      <c r="G416">
        <v>0.28163699243147799</v>
      </c>
      <c r="H416">
        <v>9.2697957378738201E-3</v>
      </c>
      <c r="I416">
        <v>0.34035495159610701</v>
      </c>
      <c r="J416">
        <v>1.1100000000000001</v>
      </c>
    </row>
    <row r="417" spans="1:10">
      <c r="A417" s="19">
        <v>43251</v>
      </c>
      <c r="B417">
        <v>848.2</v>
      </c>
      <c r="C417">
        <v>848.4</v>
      </c>
      <c r="D417">
        <v>3025</v>
      </c>
      <c r="E417">
        <v>3005</v>
      </c>
      <c r="F417">
        <v>0.282329450915141</v>
      </c>
      <c r="G417">
        <v>0.28167273475460303</v>
      </c>
      <c r="H417">
        <v>9.2870439099001501E-3</v>
      </c>
      <c r="I417">
        <v>7.0713153389764805E-2</v>
      </c>
      <c r="J417">
        <v>0.23</v>
      </c>
    </row>
    <row r="418" spans="1:10">
      <c r="A418" s="19">
        <v>43250</v>
      </c>
      <c r="B418">
        <v>835</v>
      </c>
      <c r="C418">
        <v>836.3</v>
      </c>
      <c r="D418">
        <v>3020</v>
      </c>
      <c r="E418">
        <v>3010</v>
      </c>
      <c r="F418">
        <v>0.27784053156146099</v>
      </c>
      <c r="G418">
        <v>0.28171779800350799</v>
      </c>
      <c r="H418">
        <v>9.2983140216793495E-3</v>
      </c>
      <c r="I418">
        <v>-0.41698596466054799</v>
      </c>
      <c r="J418">
        <v>-1.4</v>
      </c>
    </row>
    <row r="419" spans="1:10">
      <c r="A419" s="19">
        <v>43249</v>
      </c>
      <c r="B419">
        <v>846.1</v>
      </c>
      <c r="C419">
        <v>848.6</v>
      </c>
      <c r="D419">
        <v>3065</v>
      </c>
      <c r="E419">
        <v>3050</v>
      </c>
      <c r="F419">
        <v>0.27822950819672099</v>
      </c>
      <c r="G419">
        <v>0.281745260433722</v>
      </c>
      <c r="H419">
        <v>9.2898597956593693E-3</v>
      </c>
      <c r="I419">
        <v>-0.378450516405407</v>
      </c>
      <c r="J419">
        <v>-1.26</v>
      </c>
    </row>
    <row r="420" spans="1:10">
      <c r="A420" s="19">
        <v>43248</v>
      </c>
      <c r="B420">
        <v>851</v>
      </c>
      <c r="C420">
        <v>846.1</v>
      </c>
      <c r="D420">
        <v>3050</v>
      </c>
      <c r="E420">
        <v>3065</v>
      </c>
      <c r="F420">
        <v>0.27605220228384902</v>
      </c>
      <c r="G420">
        <v>0.28188780638503802</v>
      </c>
      <c r="H420">
        <v>9.3168027937749406E-3</v>
      </c>
      <c r="I420">
        <v>-0.626352648044463</v>
      </c>
      <c r="J420">
        <v>-2.11</v>
      </c>
    </row>
    <row r="421" spans="1:10">
      <c r="A421" s="19">
        <v>43245</v>
      </c>
      <c r="B421">
        <v>853.5</v>
      </c>
      <c r="C421">
        <v>853.6</v>
      </c>
      <c r="D421">
        <v>3055</v>
      </c>
      <c r="E421">
        <v>3055</v>
      </c>
      <c r="F421">
        <v>0.27941080196399298</v>
      </c>
      <c r="G421">
        <v>0.28188476110554</v>
      </c>
      <c r="H421">
        <v>9.3187468387637903E-3</v>
      </c>
      <c r="I421">
        <v>-0.265481956356583</v>
      </c>
      <c r="J421">
        <v>-0.89</v>
      </c>
    </row>
    <row r="422" spans="1:10">
      <c r="A422" s="19">
        <v>43244</v>
      </c>
      <c r="B422">
        <v>870.1</v>
      </c>
      <c r="C422">
        <v>857.2</v>
      </c>
      <c r="D422">
        <v>3065</v>
      </c>
      <c r="E422">
        <v>3065</v>
      </c>
      <c r="F422">
        <v>0.27967373572593801</v>
      </c>
      <c r="G422">
        <v>0.28169568099905701</v>
      </c>
      <c r="H422">
        <v>9.5089531902408202E-3</v>
      </c>
      <c r="I422">
        <v>-0.212635947687173</v>
      </c>
      <c r="J422">
        <v>-0.72</v>
      </c>
    </row>
    <row r="423" spans="1:10">
      <c r="A423" s="19">
        <v>43243</v>
      </c>
      <c r="B423">
        <v>888</v>
      </c>
      <c r="C423">
        <v>872.7</v>
      </c>
      <c r="D423">
        <v>3045</v>
      </c>
      <c r="E423">
        <v>3060</v>
      </c>
      <c r="F423">
        <v>0.28519607843137201</v>
      </c>
      <c r="G423">
        <v>0.28161172517844901</v>
      </c>
      <c r="H423">
        <v>9.5541244407682299E-3</v>
      </c>
      <c r="I423">
        <v>0.37516292310660698</v>
      </c>
      <c r="J423">
        <v>1.26</v>
      </c>
    </row>
    <row r="424" spans="1:10">
      <c r="A424" s="19">
        <v>43242</v>
      </c>
      <c r="B424">
        <v>884.5</v>
      </c>
      <c r="C424">
        <v>893.1</v>
      </c>
      <c r="D424">
        <v>3055</v>
      </c>
      <c r="E424">
        <v>3050</v>
      </c>
      <c r="F424">
        <v>0.29281967213114701</v>
      </c>
      <c r="G424">
        <v>0.28148105066248602</v>
      </c>
      <c r="H424">
        <v>9.5712140260262191E-3</v>
      </c>
      <c r="I424">
        <v>1.18465864809096</v>
      </c>
      <c r="J424">
        <v>3.87</v>
      </c>
    </row>
    <row r="425" spans="1:10">
      <c r="A425" s="19">
        <v>43241</v>
      </c>
      <c r="B425">
        <v>883</v>
      </c>
      <c r="C425">
        <v>877.2</v>
      </c>
      <c r="D425">
        <v>3060</v>
      </c>
      <c r="E425">
        <v>3060</v>
      </c>
      <c r="F425">
        <v>0.28666666666666601</v>
      </c>
      <c r="G425">
        <v>0.281280788367404</v>
      </c>
      <c r="H425">
        <v>9.4886516555710895E-3</v>
      </c>
      <c r="I425">
        <v>0.56761260659205004</v>
      </c>
      <c r="J425">
        <v>1.88</v>
      </c>
    </row>
    <row r="426" spans="1:10">
      <c r="A426" s="19">
        <v>43238</v>
      </c>
      <c r="B426">
        <v>877.5</v>
      </c>
      <c r="C426">
        <v>881.3</v>
      </c>
      <c r="D426">
        <v>3060</v>
      </c>
      <c r="E426">
        <v>3075</v>
      </c>
      <c r="F426">
        <v>0.28660162601625999</v>
      </c>
      <c r="G426">
        <v>0.28120118637735397</v>
      </c>
      <c r="H426">
        <v>9.4681548500153302E-3</v>
      </c>
      <c r="I426">
        <v>0.57037931090630101</v>
      </c>
      <c r="J426">
        <v>1.88</v>
      </c>
    </row>
    <row r="427" spans="1:10">
      <c r="A427" s="19">
        <v>43237</v>
      </c>
      <c r="B427">
        <v>868.6</v>
      </c>
      <c r="C427">
        <v>879.4</v>
      </c>
      <c r="D427">
        <v>3075</v>
      </c>
      <c r="E427">
        <v>3060</v>
      </c>
      <c r="F427">
        <v>0.287385620915032</v>
      </c>
      <c r="G427">
        <v>0.28109682915629802</v>
      </c>
      <c r="H427">
        <v>9.4511744406119494E-3</v>
      </c>
      <c r="I427">
        <v>0.66539791411646398</v>
      </c>
      <c r="J427">
        <v>2.19</v>
      </c>
    </row>
    <row r="428" spans="1:10">
      <c r="A428" s="19">
        <v>43236</v>
      </c>
      <c r="B428">
        <v>864.1</v>
      </c>
      <c r="C428">
        <v>862.6</v>
      </c>
      <c r="D428">
        <v>3095</v>
      </c>
      <c r="E428">
        <v>3060</v>
      </c>
      <c r="F428">
        <v>0.28189542483660102</v>
      </c>
      <c r="G428">
        <v>0.28096551348826898</v>
      </c>
      <c r="H428">
        <v>9.4312833734686904E-3</v>
      </c>
      <c r="I428">
        <v>9.8598601219878707E-2</v>
      </c>
      <c r="J428">
        <v>0.33</v>
      </c>
    </row>
    <row r="429" spans="1:10">
      <c r="A429" s="19">
        <v>43235</v>
      </c>
      <c r="B429">
        <v>864.6</v>
      </c>
      <c r="C429">
        <v>866.5</v>
      </c>
      <c r="D429">
        <v>3125</v>
      </c>
      <c r="E429">
        <v>3100</v>
      </c>
      <c r="F429">
        <v>0.27951612903225798</v>
      </c>
      <c r="G429">
        <v>0.28087530609217898</v>
      </c>
      <c r="H429">
        <v>9.4542848490459606E-3</v>
      </c>
      <c r="I429">
        <v>-0.143763074798647</v>
      </c>
      <c r="J429">
        <v>-0.49</v>
      </c>
    </row>
    <row r="430" spans="1:10">
      <c r="A430" s="19">
        <v>43234</v>
      </c>
      <c r="B430">
        <v>874.6</v>
      </c>
      <c r="C430">
        <v>868.3</v>
      </c>
      <c r="D430">
        <v>3085</v>
      </c>
      <c r="E430">
        <v>3140</v>
      </c>
      <c r="F430">
        <v>0.27652866242038199</v>
      </c>
      <c r="G430">
        <v>0.28082573164645003</v>
      </c>
      <c r="H430">
        <v>9.4710151095441803E-3</v>
      </c>
      <c r="I430">
        <v>-0.45370735621972602</v>
      </c>
      <c r="J430">
        <v>-1.55</v>
      </c>
    </row>
    <row r="431" spans="1:10">
      <c r="A431" s="19">
        <v>43231</v>
      </c>
      <c r="B431">
        <v>869</v>
      </c>
      <c r="C431">
        <v>879.3</v>
      </c>
      <c r="D431">
        <v>3030</v>
      </c>
      <c r="E431">
        <v>3085</v>
      </c>
      <c r="F431">
        <v>0.28502431118314397</v>
      </c>
      <c r="G431">
        <v>0.28086110507277101</v>
      </c>
      <c r="H431">
        <v>9.4598476599426704E-3</v>
      </c>
      <c r="I431">
        <v>0.440092299583421</v>
      </c>
      <c r="J431">
        <v>1.46</v>
      </c>
    </row>
    <row r="432" spans="1:10">
      <c r="A432" s="19">
        <v>43230</v>
      </c>
      <c r="B432">
        <v>865.4</v>
      </c>
      <c r="C432">
        <v>866.9</v>
      </c>
      <c r="D432">
        <v>3010</v>
      </c>
      <c r="E432">
        <v>3055</v>
      </c>
      <c r="F432">
        <v>0.28376432078559699</v>
      </c>
      <c r="G432">
        <v>0.28079454786133201</v>
      </c>
      <c r="H432">
        <v>9.4478751467096701E-3</v>
      </c>
      <c r="I432">
        <v>0.31433236343090498</v>
      </c>
      <c r="J432">
        <v>1.05</v>
      </c>
    </row>
    <row r="433" spans="1:10">
      <c r="A433" s="19">
        <v>43229</v>
      </c>
      <c r="B433">
        <v>859</v>
      </c>
      <c r="C433">
        <v>864.7</v>
      </c>
      <c r="D433">
        <v>3040</v>
      </c>
      <c r="E433">
        <v>3005</v>
      </c>
      <c r="F433">
        <v>0.28775374376039897</v>
      </c>
      <c r="G433">
        <v>0.28068456422794402</v>
      </c>
      <c r="H433">
        <v>9.4606672875699304E-3</v>
      </c>
      <c r="I433">
        <v>0.74721785658218798</v>
      </c>
      <c r="J433">
        <v>2.46</v>
      </c>
    </row>
    <row r="434" spans="1:10">
      <c r="A434" s="19">
        <v>43228</v>
      </c>
      <c r="B434">
        <v>813.3</v>
      </c>
      <c r="C434">
        <v>859.8</v>
      </c>
      <c r="D434">
        <v>2957</v>
      </c>
      <c r="E434">
        <v>3030</v>
      </c>
      <c r="F434">
        <v>0.28376237623762302</v>
      </c>
      <c r="G434">
        <v>0.280480373223362</v>
      </c>
      <c r="H434">
        <v>9.4711484676116495E-3</v>
      </c>
      <c r="I434">
        <v>0.34652640336959301</v>
      </c>
      <c r="J434">
        <v>1.1599999999999999</v>
      </c>
    </row>
    <row r="435" spans="1:10">
      <c r="A435" s="19">
        <v>43227</v>
      </c>
      <c r="B435">
        <v>827</v>
      </c>
      <c r="C435">
        <v>820.7</v>
      </c>
      <c r="D435">
        <v>2911</v>
      </c>
      <c r="E435">
        <v>2952</v>
      </c>
      <c r="F435">
        <v>0.27801490514905097</v>
      </c>
      <c r="G435">
        <v>0.28034373323348499</v>
      </c>
      <c r="H435">
        <v>9.4967027753818899E-3</v>
      </c>
      <c r="I435">
        <v>-0.24522491010992301</v>
      </c>
      <c r="J435">
        <v>-0.84</v>
      </c>
    </row>
    <row r="436" spans="1:10">
      <c r="A436" s="19">
        <v>43222</v>
      </c>
      <c r="B436">
        <v>830</v>
      </c>
      <c r="C436">
        <v>827.6</v>
      </c>
      <c r="D436">
        <v>2911</v>
      </c>
      <c r="E436">
        <v>2907</v>
      </c>
      <c r="F436">
        <v>0.28469212246302</v>
      </c>
      <c r="G436">
        <v>0.28028103053619902</v>
      </c>
      <c r="H436">
        <v>9.5273475689215698E-3</v>
      </c>
      <c r="I436">
        <v>0.46299265298244702</v>
      </c>
      <c r="J436">
        <v>1.55</v>
      </c>
    </row>
    <row r="437" spans="1:10">
      <c r="A437" s="19">
        <v>43221</v>
      </c>
      <c r="B437">
        <v>822.8</v>
      </c>
      <c r="C437">
        <v>825.6</v>
      </c>
      <c r="D437">
        <v>2900</v>
      </c>
      <c r="E437">
        <v>2905</v>
      </c>
      <c r="F437">
        <v>0.28419965576591999</v>
      </c>
      <c r="G437">
        <v>0.28013114195980199</v>
      </c>
      <c r="H437">
        <v>9.5451838345441894E-3</v>
      </c>
      <c r="I437">
        <v>0.42623734405142599</v>
      </c>
      <c r="J437">
        <v>1.43</v>
      </c>
    </row>
    <row r="438" spans="1:10">
      <c r="A438" s="19">
        <v>43217</v>
      </c>
      <c r="B438">
        <v>826</v>
      </c>
      <c r="C438">
        <v>824.2</v>
      </c>
      <c r="D438">
        <v>2930</v>
      </c>
      <c r="E438">
        <v>2919</v>
      </c>
      <c r="F438">
        <v>0.28235697156560402</v>
      </c>
      <c r="G438">
        <v>0.27990431321625597</v>
      </c>
      <c r="H438">
        <v>9.6473943282241407E-3</v>
      </c>
      <c r="I438">
        <v>0.25423013364062302</v>
      </c>
      <c r="J438">
        <v>0.87</v>
      </c>
    </row>
    <row r="439" spans="1:10">
      <c r="A439" s="19">
        <v>43216</v>
      </c>
      <c r="B439">
        <v>830</v>
      </c>
      <c r="C439">
        <v>822</v>
      </c>
      <c r="D439">
        <v>2945</v>
      </c>
      <c r="E439">
        <v>2904</v>
      </c>
      <c r="F439">
        <v>0.28305785123966898</v>
      </c>
      <c r="G439">
        <v>0.27967350998167401</v>
      </c>
      <c r="H439">
        <v>9.7919377148989201E-3</v>
      </c>
      <c r="I439">
        <v>0.345625284446546</v>
      </c>
      <c r="J439">
        <v>1.2</v>
      </c>
    </row>
    <row r="440" spans="1:10">
      <c r="A440" s="19">
        <v>43215</v>
      </c>
      <c r="B440">
        <v>817.4</v>
      </c>
      <c r="C440">
        <v>827.6</v>
      </c>
      <c r="D440">
        <v>2899</v>
      </c>
      <c r="E440">
        <v>2929</v>
      </c>
      <c r="F440">
        <v>0.28255377261864101</v>
      </c>
      <c r="G440">
        <v>0.279379757812735</v>
      </c>
      <c r="H440">
        <v>1.0013950966652301E-2</v>
      </c>
      <c r="I440">
        <v>0.31695929173968501</v>
      </c>
      <c r="J440">
        <v>1.1200000000000001</v>
      </c>
    </row>
    <row r="441" spans="1:10">
      <c r="A441" s="19">
        <v>43214</v>
      </c>
      <c r="B441">
        <v>811.8</v>
      </c>
      <c r="C441">
        <v>823</v>
      </c>
      <c r="D441">
        <v>2909</v>
      </c>
      <c r="E441">
        <v>2916</v>
      </c>
      <c r="F441">
        <v>0.28223593964334698</v>
      </c>
      <c r="G441">
        <v>0.27908232795285798</v>
      </c>
      <c r="H441">
        <v>1.0243900380177799E-2</v>
      </c>
      <c r="I441">
        <v>0.30785263165882198</v>
      </c>
      <c r="J441">
        <v>1.1200000000000001</v>
      </c>
    </row>
    <row r="442" spans="1:10">
      <c r="A442" s="19">
        <v>43213</v>
      </c>
      <c r="B442">
        <v>802.4</v>
      </c>
      <c r="C442">
        <v>809.5</v>
      </c>
      <c r="D442">
        <v>2912</v>
      </c>
      <c r="E442">
        <v>2900</v>
      </c>
      <c r="F442">
        <v>0.27913793103448198</v>
      </c>
      <c r="G442">
        <v>0.278738185686221</v>
      </c>
      <c r="H442">
        <v>1.0560824845874299E-2</v>
      </c>
      <c r="I442">
        <v>3.7851716517860602E-2</v>
      </c>
      <c r="J442">
        <v>0.14000000000000001</v>
      </c>
    </row>
    <row r="443" spans="1:10">
      <c r="A443" s="19">
        <v>43210</v>
      </c>
      <c r="B443">
        <v>796.5</v>
      </c>
      <c r="C443">
        <v>801.3</v>
      </c>
      <c r="D443">
        <v>2900</v>
      </c>
      <c r="E443">
        <v>2914</v>
      </c>
      <c r="F443">
        <v>0.27498284145504398</v>
      </c>
      <c r="G443">
        <v>0.278443538206812</v>
      </c>
      <c r="H443">
        <v>1.08498811815507E-2</v>
      </c>
      <c r="I443">
        <v>-0.318961718922049</v>
      </c>
      <c r="J443">
        <v>-1.26</v>
      </c>
    </row>
    <row r="444" spans="1:10">
      <c r="A444" s="19">
        <v>43209</v>
      </c>
      <c r="B444">
        <v>795.6</v>
      </c>
      <c r="C444">
        <v>793.8</v>
      </c>
      <c r="D444">
        <v>2957</v>
      </c>
      <c r="E444">
        <v>2925</v>
      </c>
      <c r="F444">
        <v>0.271384615384615</v>
      </c>
      <c r="G444">
        <v>0.27820044416932499</v>
      </c>
      <c r="H444">
        <v>1.1125442901931499E-2</v>
      </c>
      <c r="I444">
        <v>-0.61263437732680504</v>
      </c>
      <c r="J444">
        <v>-2.5099999999999998</v>
      </c>
    </row>
    <row r="445" spans="1:10">
      <c r="A445" s="19">
        <v>43208</v>
      </c>
      <c r="B445">
        <v>781.4</v>
      </c>
      <c r="C445">
        <v>789.4</v>
      </c>
      <c r="D445">
        <v>2916</v>
      </c>
      <c r="E445">
        <v>2942</v>
      </c>
      <c r="F445">
        <v>0.26832087015635597</v>
      </c>
      <c r="G445">
        <v>0.27797762126014702</v>
      </c>
      <c r="H445">
        <v>1.14230919183868E-2</v>
      </c>
      <c r="I445">
        <v>-0.84537104076412495</v>
      </c>
      <c r="J445">
        <v>-3.6</v>
      </c>
    </row>
    <row r="446" spans="1:10">
      <c r="A446" s="19">
        <v>43207</v>
      </c>
      <c r="B446">
        <v>785</v>
      </c>
      <c r="C446">
        <v>780.9</v>
      </c>
      <c r="D446">
        <v>2928</v>
      </c>
      <c r="E446">
        <v>2898</v>
      </c>
      <c r="F446">
        <v>0.26946169772256701</v>
      </c>
      <c r="G446">
        <v>0.27774375965806197</v>
      </c>
      <c r="H446">
        <v>1.17919832074524E-2</v>
      </c>
      <c r="I446">
        <v>-0.70234682239547996</v>
      </c>
      <c r="J446">
        <v>-3.07</v>
      </c>
    </row>
    <row r="447" spans="1:10">
      <c r="A447" s="19">
        <v>43206</v>
      </c>
      <c r="B447">
        <v>784</v>
      </c>
      <c r="C447">
        <v>785.2</v>
      </c>
      <c r="D447">
        <v>2909</v>
      </c>
      <c r="E447">
        <v>2928</v>
      </c>
      <c r="F447">
        <v>0.26816939890710301</v>
      </c>
      <c r="G447">
        <v>0.27755932276599599</v>
      </c>
      <c r="H447">
        <v>1.20259369306874E-2</v>
      </c>
      <c r="I447">
        <v>-0.78080601228927904</v>
      </c>
      <c r="J447">
        <v>-3.5</v>
      </c>
    </row>
    <row r="448" spans="1:10">
      <c r="A448" s="19">
        <v>43203</v>
      </c>
      <c r="B448">
        <v>787.8</v>
      </c>
      <c r="C448">
        <v>787.5</v>
      </c>
      <c r="D448">
        <v>2883</v>
      </c>
      <c r="E448">
        <v>2896</v>
      </c>
      <c r="F448">
        <v>0.27192679558011001</v>
      </c>
      <c r="G448">
        <v>0.27743850785063101</v>
      </c>
      <c r="H448">
        <v>1.21643810698598E-2</v>
      </c>
      <c r="I448">
        <v>-0.45310256550396499</v>
      </c>
      <c r="J448">
        <v>-2.0299999999999998</v>
      </c>
    </row>
    <row r="449" spans="1:10">
      <c r="A449" s="19">
        <v>43202</v>
      </c>
      <c r="B449">
        <v>788.8</v>
      </c>
      <c r="C449">
        <v>783.7</v>
      </c>
      <c r="D449">
        <v>2880</v>
      </c>
      <c r="E449">
        <v>2863</v>
      </c>
      <c r="F449">
        <v>0.273733845616486</v>
      </c>
      <c r="G449">
        <v>0.27721249724289698</v>
      </c>
      <c r="H449">
        <v>1.24194829404627E-2</v>
      </c>
      <c r="I449">
        <v>-0.28009633276095403</v>
      </c>
      <c r="J449">
        <v>-1.27</v>
      </c>
    </row>
    <row r="450" spans="1:10">
      <c r="A450" s="19">
        <v>43201</v>
      </c>
      <c r="B450">
        <v>789</v>
      </c>
      <c r="C450">
        <v>789.3</v>
      </c>
      <c r="D450">
        <v>2892</v>
      </c>
      <c r="E450">
        <v>2890</v>
      </c>
      <c r="F450">
        <v>0.27311418685121103</v>
      </c>
      <c r="G450">
        <v>0.27697168699365099</v>
      </c>
      <c r="H450">
        <v>1.26574158134003E-2</v>
      </c>
      <c r="I450">
        <v>-0.30476206196502198</v>
      </c>
      <c r="J450">
        <v>-1.41</v>
      </c>
    </row>
    <row r="451" spans="1:10">
      <c r="A451" s="19">
        <v>43200</v>
      </c>
      <c r="B451">
        <v>774</v>
      </c>
      <c r="C451">
        <v>784.8</v>
      </c>
      <c r="D451">
        <v>2899</v>
      </c>
      <c r="E451">
        <v>2892</v>
      </c>
      <c r="F451">
        <v>0.271369294605809</v>
      </c>
      <c r="G451">
        <v>0.27667936064378101</v>
      </c>
      <c r="H451">
        <v>1.2991886712989601E-2</v>
      </c>
      <c r="I451">
        <v>-0.40872170111081901</v>
      </c>
      <c r="J451">
        <v>-1.96</v>
      </c>
    </row>
    <row r="452" spans="1:10">
      <c r="A452" s="19">
        <v>43199</v>
      </c>
      <c r="B452">
        <v>764.5</v>
      </c>
      <c r="C452">
        <v>768.2</v>
      </c>
      <c r="D452">
        <v>2886</v>
      </c>
      <c r="E452">
        <v>2900</v>
      </c>
      <c r="F452">
        <v>0.26489655172413701</v>
      </c>
      <c r="G452">
        <v>0.27641496615924699</v>
      </c>
      <c r="H452">
        <v>1.32954862086528E-2</v>
      </c>
      <c r="I452">
        <v>-0.86634021910485703</v>
      </c>
      <c r="J452">
        <v>-4.3499999999999996</v>
      </c>
    </row>
    <row r="453" spans="1:10">
      <c r="A453" s="19">
        <v>43196</v>
      </c>
      <c r="B453">
        <v>763.1</v>
      </c>
      <c r="C453">
        <v>764.8</v>
      </c>
      <c r="D453">
        <v>2906</v>
      </c>
      <c r="E453">
        <v>2895</v>
      </c>
      <c r="F453">
        <v>0.26417962003454198</v>
      </c>
      <c r="G453">
        <v>0.27620497934937399</v>
      </c>
      <c r="H453">
        <v>1.35967045195625E-2</v>
      </c>
      <c r="I453">
        <v>-0.88443190756481105</v>
      </c>
      <c r="J453">
        <v>-4.55</v>
      </c>
    </row>
    <row r="454" spans="1:10">
      <c r="A454" s="19">
        <v>43195</v>
      </c>
      <c r="B454">
        <v>757.2</v>
      </c>
      <c r="C454">
        <v>761.3</v>
      </c>
      <c r="D454">
        <v>2890</v>
      </c>
      <c r="E454">
        <v>2910</v>
      </c>
      <c r="F454">
        <v>0.26161512027491401</v>
      </c>
      <c r="G454">
        <v>0.27602839722346201</v>
      </c>
      <c r="H454">
        <v>1.38356320097715E-2</v>
      </c>
      <c r="I454">
        <v>-1.04175052779434</v>
      </c>
      <c r="J454">
        <v>-5.51</v>
      </c>
    </row>
    <row r="455" spans="1:10">
      <c r="A455" s="19">
        <v>43194</v>
      </c>
      <c r="B455">
        <v>760.7</v>
      </c>
      <c r="C455">
        <v>760.3</v>
      </c>
      <c r="D455">
        <v>2796</v>
      </c>
      <c r="E455">
        <v>2852</v>
      </c>
      <c r="F455">
        <v>0.266584852734922</v>
      </c>
      <c r="G455">
        <v>0.275880523488648</v>
      </c>
      <c r="H455">
        <v>1.4046548855981901E-2</v>
      </c>
      <c r="I455">
        <v>-0.66177613085134201</v>
      </c>
      <c r="J455">
        <v>-3.49</v>
      </c>
    </row>
    <row r="456" spans="1:10">
      <c r="A456" s="19">
        <v>43193</v>
      </c>
      <c r="B456">
        <v>755</v>
      </c>
      <c r="C456">
        <v>759.9</v>
      </c>
      <c r="D456">
        <v>2789</v>
      </c>
      <c r="E456">
        <v>2792</v>
      </c>
      <c r="F456">
        <v>0.27217048710601699</v>
      </c>
      <c r="G456">
        <v>0.275673623098598</v>
      </c>
      <c r="H456">
        <v>1.4294050008894599E-2</v>
      </c>
      <c r="I456">
        <v>-0.24507651718030099</v>
      </c>
      <c r="J456">
        <v>-1.29</v>
      </c>
    </row>
    <row r="457" spans="1:10">
      <c r="A457" s="19">
        <v>43192</v>
      </c>
      <c r="B457">
        <v>770</v>
      </c>
      <c r="C457">
        <v>767.1</v>
      </c>
      <c r="D457">
        <v>2798</v>
      </c>
      <c r="E457">
        <v>2814</v>
      </c>
      <c r="F457">
        <v>0.27260127931769701</v>
      </c>
      <c r="G457">
        <v>0.27532118600275801</v>
      </c>
      <c r="H457">
        <v>1.46962858195759E-2</v>
      </c>
      <c r="I457">
        <v>-0.185074427542645</v>
      </c>
      <c r="J457">
        <v>-1</v>
      </c>
    </row>
    <row r="458" spans="1:10">
      <c r="A458" s="19">
        <v>43189</v>
      </c>
      <c r="B458">
        <v>773.8</v>
      </c>
      <c r="C458">
        <v>769.9</v>
      </c>
      <c r="D458">
        <v>2804</v>
      </c>
      <c r="E458">
        <v>2790</v>
      </c>
      <c r="F458">
        <v>0.27594982078852998</v>
      </c>
      <c r="G458">
        <v>0.27490601447364399</v>
      </c>
      <c r="H458">
        <v>1.51985019005514E-2</v>
      </c>
      <c r="I458">
        <v>6.8678236954934704E-2</v>
      </c>
      <c r="J458">
        <v>0.38</v>
      </c>
    </row>
    <row r="459" spans="1:10">
      <c r="A459" s="19">
        <v>43188</v>
      </c>
      <c r="B459">
        <v>775.5</v>
      </c>
      <c r="C459">
        <v>766.7</v>
      </c>
      <c r="D459">
        <v>2800</v>
      </c>
      <c r="E459">
        <v>2776</v>
      </c>
      <c r="F459">
        <v>0.27618876080691601</v>
      </c>
      <c r="G459">
        <v>0.27448116857963101</v>
      </c>
      <c r="H459">
        <v>1.56033363373942E-2</v>
      </c>
      <c r="I459">
        <v>0.109437635026359</v>
      </c>
      <c r="J459">
        <v>0.62</v>
      </c>
    </row>
    <row r="460" spans="1:10">
      <c r="A460" s="19">
        <v>43187</v>
      </c>
      <c r="B460">
        <v>746</v>
      </c>
      <c r="C460">
        <v>767.4</v>
      </c>
      <c r="D460">
        <v>2751</v>
      </c>
      <c r="E460">
        <v>2779</v>
      </c>
      <c r="F460">
        <v>0.27614249730118701</v>
      </c>
      <c r="G460">
        <v>0.27407848019194397</v>
      </c>
      <c r="H460">
        <v>1.5940154864897301E-2</v>
      </c>
      <c r="I460">
        <v>0.12948538622970401</v>
      </c>
      <c r="J460">
        <v>0.75</v>
      </c>
    </row>
    <row r="461" spans="1:10">
      <c r="A461" s="19">
        <v>43186</v>
      </c>
      <c r="B461">
        <v>760.7</v>
      </c>
      <c r="C461">
        <v>773.6</v>
      </c>
      <c r="D461">
        <v>2698</v>
      </c>
      <c r="E461">
        <v>2796</v>
      </c>
      <c r="F461">
        <v>0.276680972818311</v>
      </c>
      <c r="G461">
        <v>0.27369724247958399</v>
      </c>
      <c r="H461">
        <v>1.6225600053650001E-2</v>
      </c>
      <c r="I461">
        <v>0.183890292430573</v>
      </c>
      <c r="J461">
        <v>1.08</v>
      </c>
    </row>
    <row r="462" spans="1:10">
      <c r="A462" s="19">
        <v>43185</v>
      </c>
      <c r="B462">
        <v>754.4</v>
      </c>
      <c r="C462">
        <v>750</v>
      </c>
      <c r="D462">
        <v>2651</v>
      </c>
      <c r="E462">
        <v>2698</v>
      </c>
      <c r="F462">
        <v>0.27798369162342401</v>
      </c>
      <c r="G462">
        <v>0.273329415638427</v>
      </c>
      <c r="H462">
        <v>1.64647214427052E-2</v>
      </c>
      <c r="I462">
        <v>0.28268173264838697</v>
      </c>
      <c r="J462">
        <v>1.67</v>
      </c>
    </row>
    <row r="463" spans="1:10">
      <c r="A463" s="19">
        <v>43182</v>
      </c>
      <c r="B463">
        <v>761</v>
      </c>
      <c r="C463">
        <v>756.1</v>
      </c>
      <c r="D463">
        <v>2740</v>
      </c>
      <c r="E463">
        <v>2690</v>
      </c>
      <c r="F463">
        <v>0.28107806691449799</v>
      </c>
      <c r="G463">
        <v>0.272943855305671</v>
      </c>
      <c r="H463">
        <v>1.6688278664539001E-2</v>
      </c>
      <c r="I463">
        <v>0.487420648488543</v>
      </c>
      <c r="J463">
        <v>2.89</v>
      </c>
    </row>
    <row r="464" spans="1:10">
      <c r="A464" s="19">
        <v>43181</v>
      </c>
      <c r="B464">
        <v>777</v>
      </c>
      <c r="C464">
        <v>784.4</v>
      </c>
      <c r="D464">
        <v>2807</v>
      </c>
      <c r="E464">
        <v>2822</v>
      </c>
      <c r="F464">
        <v>0.27795889440113303</v>
      </c>
      <c r="G464">
        <v>0.27248342047408303</v>
      </c>
      <c r="H464">
        <v>1.6932103041476201E-2</v>
      </c>
      <c r="I464">
        <v>0.32337825452855501</v>
      </c>
      <c r="J464">
        <v>1.97</v>
      </c>
    </row>
    <row r="465" spans="1:10">
      <c r="A465" s="19">
        <v>43179</v>
      </c>
      <c r="B465">
        <v>765</v>
      </c>
      <c r="C465">
        <v>777.1</v>
      </c>
      <c r="D465">
        <v>2761</v>
      </c>
      <c r="E465">
        <v>2813</v>
      </c>
      <c r="F465">
        <v>0.27625311055812302</v>
      </c>
      <c r="G465">
        <v>0.272083644662095</v>
      </c>
      <c r="H465">
        <v>1.7150653664677301E-2</v>
      </c>
      <c r="I465">
        <v>0.24310827899315701</v>
      </c>
      <c r="J465">
        <v>1.51</v>
      </c>
    </row>
    <row r="466" spans="1:10">
      <c r="A466" s="19">
        <v>43178</v>
      </c>
      <c r="B466">
        <v>778.8</v>
      </c>
      <c r="C466">
        <v>768.3</v>
      </c>
      <c r="D466">
        <v>2799</v>
      </c>
      <c r="E466">
        <v>2807</v>
      </c>
      <c r="F466">
        <v>0.27370858567866002</v>
      </c>
      <c r="G466">
        <v>0.27169109835789201</v>
      </c>
      <c r="H466">
        <v>1.7386039133153199E-2</v>
      </c>
      <c r="I466">
        <v>0.116040652233457</v>
      </c>
      <c r="J466">
        <v>0.74</v>
      </c>
    </row>
    <row r="467" spans="1:10">
      <c r="A467" s="19">
        <v>43175</v>
      </c>
      <c r="B467">
        <v>783</v>
      </c>
      <c r="C467">
        <v>779.2</v>
      </c>
      <c r="D467">
        <v>2827</v>
      </c>
      <c r="E467">
        <v>2823</v>
      </c>
      <c r="F467">
        <v>0.27601842012043898</v>
      </c>
      <c r="G467">
        <v>0.27131655996913401</v>
      </c>
      <c r="H467">
        <v>1.7639267280219299E-2</v>
      </c>
      <c r="I467">
        <v>0.26655643211313501</v>
      </c>
      <c r="J467">
        <v>1.7</v>
      </c>
    </row>
    <row r="468" spans="1:10">
      <c r="A468" s="19">
        <v>43174</v>
      </c>
      <c r="B468">
        <v>781</v>
      </c>
      <c r="C468">
        <v>781.4</v>
      </c>
      <c r="D468">
        <v>2811</v>
      </c>
      <c r="E468">
        <v>2819</v>
      </c>
      <c r="F468">
        <v>0.27719049308265298</v>
      </c>
      <c r="G468">
        <v>0.27092872000645402</v>
      </c>
      <c r="H468">
        <v>1.7850145085236E-2</v>
      </c>
      <c r="I468">
        <v>0.35079676082731998</v>
      </c>
      <c r="J468">
        <v>2.2599999999999998</v>
      </c>
    </row>
    <row r="469" spans="1:10">
      <c r="A469" s="19">
        <v>43173</v>
      </c>
      <c r="B469">
        <v>780.8</v>
      </c>
      <c r="C469">
        <v>782.5</v>
      </c>
      <c r="D469">
        <v>2789</v>
      </c>
      <c r="E469">
        <v>2812</v>
      </c>
      <c r="F469">
        <v>0.278271692745376</v>
      </c>
      <c r="G469">
        <v>0.27055274199368601</v>
      </c>
      <c r="H469">
        <v>1.8010544191086601E-2</v>
      </c>
      <c r="I469">
        <v>0.428579540395578</v>
      </c>
      <c r="J469">
        <v>2.77</v>
      </c>
    </row>
    <row r="470" spans="1:10">
      <c r="A470" s="19">
        <v>43172</v>
      </c>
      <c r="B470">
        <v>783</v>
      </c>
      <c r="C470">
        <v>784.7</v>
      </c>
      <c r="D470">
        <v>2765</v>
      </c>
      <c r="E470">
        <v>2814</v>
      </c>
      <c r="F470">
        <v>0.278855721393034</v>
      </c>
      <c r="G470">
        <v>0.27019682898554698</v>
      </c>
      <c r="H470">
        <v>1.8117920223593501E-2</v>
      </c>
      <c r="I470">
        <v>0.47791867392216297</v>
      </c>
      <c r="J470">
        <v>3.11</v>
      </c>
    </row>
    <row r="471" spans="1:10">
      <c r="A471" s="19">
        <v>43171</v>
      </c>
      <c r="B471">
        <v>779.5</v>
      </c>
      <c r="C471">
        <v>787.1</v>
      </c>
      <c r="D471">
        <v>2783</v>
      </c>
      <c r="E471">
        <v>2789</v>
      </c>
      <c r="F471">
        <v>0.28221584797418398</v>
      </c>
      <c r="G471">
        <v>0.26983372652229598</v>
      </c>
      <c r="H471">
        <v>1.82133828383618E-2</v>
      </c>
      <c r="I471">
        <v>0.67983644563864598</v>
      </c>
      <c r="J471">
        <v>4.3899999999999997</v>
      </c>
    </row>
    <row r="472" spans="1:10">
      <c r="A472" s="19">
        <v>43168</v>
      </c>
      <c r="B472">
        <v>770</v>
      </c>
      <c r="C472">
        <v>765.8</v>
      </c>
      <c r="D472">
        <v>2771</v>
      </c>
      <c r="E472">
        <v>2746</v>
      </c>
      <c r="F472">
        <v>0.27887836853605202</v>
      </c>
      <c r="G472">
        <v>0.26948416306353901</v>
      </c>
      <c r="H472">
        <v>1.8223968867386101E-2</v>
      </c>
      <c r="I472">
        <v>0.51548625553927097</v>
      </c>
      <c r="J472">
        <v>3.37</v>
      </c>
    </row>
    <row r="473" spans="1:10">
      <c r="A473" s="19">
        <v>43167</v>
      </c>
      <c r="B473">
        <v>774.3</v>
      </c>
      <c r="C473">
        <v>766.2</v>
      </c>
      <c r="D473">
        <v>2751</v>
      </c>
      <c r="E473">
        <v>2721</v>
      </c>
      <c r="F473">
        <v>0.28158765159867699</v>
      </c>
      <c r="G473">
        <v>0.26913339586920698</v>
      </c>
      <c r="H473">
        <v>1.8292825569281201E-2</v>
      </c>
      <c r="I473">
        <v>0.68082733759750802</v>
      </c>
      <c r="J473">
        <v>4.42</v>
      </c>
    </row>
    <row r="474" spans="1:10">
      <c r="A474" s="19">
        <v>43166</v>
      </c>
      <c r="B474">
        <v>773.3</v>
      </c>
      <c r="C474">
        <v>769.2</v>
      </c>
      <c r="D474">
        <v>2710</v>
      </c>
      <c r="E474">
        <v>2736</v>
      </c>
      <c r="F474">
        <v>0.28114035087719302</v>
      </c>
      <c r="G474">
        <v>0.26879368785538199</v>
      </c>
      <c r="H474">
        <v>1.8294959959445401E-2</v>
      </c>
      <c r="I474">
        <v>0.67486690592269205</v>
      </c>
      <c r="J474">
        <v>4.3899999999999997</v>
      </c>
    </row>
    <row r="475" spans="1:10">
      <c r="A475" s="19">
        <v>43165</v>
      </c>
      <c r="B475">
        <v>784.5</v>
      </c>
      <c r="C475">
        <v>773.9</v>
      </c>
      <c r="D475">
        <v>2720</v>
      </c>
      <c r="E475">
        <v>2730</v>
      </c>
      <c r="F475">
        <v>0.28347985347985299</v>
      </c>
      <c r="G475">
        <v>0.26846936120913401</v>
      </c>
      <c r="H475">
        <v>1.8288814929726501E-2</v>
      </c>
      <c r="I475">
        <v>0.82074712486267798</v>
      </c>
      <c r="J475">
        <v>5.3</v>
      </c>
    </row>
    <row r="476" spans="1:10">
      <c r="A476" s="19">
        <v>43164</v>
      </c>
      <c r="B476">
        <v>779.9</v>
      </c>
      <c r="C476">
        <v>769.5</v>
      </c>
      <c r="D476">
        <v>2660</v>
      </c>
      <c r="E476">
        <v>2700</v>
      </c>
      <c r="F476">
        <v>0.28499999999999998</v>
      </c>
      <c r="G476">
        <v>0.26809678715553398</v>
      </c>
      <c r="H476">
        <v>1.8263837414708599E-2</v>
      </c>
      <c r="I476">
        <v>0.92550171470825005</v>
      </c>
      <c r="J476">
        <v>5.93</v>
      </c>
    </row>
    <row r="477" spans="1:10">
      <c r="A477" s="19">
        <v>43161</v>
      </c>
      <c r="B477">
        <v>790</v>
      </c>
      <c r="C477">
        <v>783.8</v>
      </c>
      <c r="D477">
        <v>2607</v>
      </c>
      <c r="E477">
        <v>2637</v>
      </c>
      <c r="F477">
        <v>0.29723170269245303</v>
      </c>
      <c r="G477">
        <v>0.26782291637222899</v>
      </c>
      <c r="H477">
        <v>1.8162035955996199E-2</v>
      </c>
      <c r="I477">
        <v>1.6192450225006001</v>
      </c>
      <c r="J477">
        <v>9.89</v>
      </c>
    </row>
    <row r="478" spans="1:10">
      <c r="A478" s="19">
        <v>43160</v>
      </c>
      <c r="B478">
        <v>809.7</v>
      </c>
      <c r="C478">
        <v>801</v>
      </c>
      <c r="D478">
        <v>2748</v>
      </c>
      <c r="E478">
        <v>2692</v>
      </c>
      <c r="F478">
        <v>0.29754829123328302</v>
      </c>
      <c r="G478">
        <v>0.26738644619594298</v>
      </c>
      <c r="H478">
        <v>1.7840540733454601E-2</v>
      </c>
      <c r="I478">
        <v>1.69063513757632</v>
      </c>
      <c r="J478">
        <v>10.14</v>
      </c>
    </row>
    <row r="479" spans="1:10">
      <c r="A479" s="19">
        <v>43159</v>
      </c>
      <c r="B479">
        <v>827</v>
      </c>
      <c r="C479">
        <v>819.7</v>
      </c>
      <c r="D479">
        <v>2766</v>
      </c>
      <c r="E479">
        <v>2749</v>
      </c>
      <c r="F479">
        <v>0.29818115678428497</v>
      </c>
      <c r="G479">
        <v>0.26697559823119998</v>
      </c>
      <c r="H479">
        <v>1.7492625191175799E-2</v>
      </c>
      <c r="I479">
        <v>1.78392655259235</v>
      </c>
      <c r="J479">
        <v>10.47</v>
      </c>
    </row>
    <row r="480" spans="1:10">
      <c r="A480" s="19">
        <v>43158</v>
      </c>
      <c r="B480">
        <v>830</v>
      </c>
      <c r="C480">
        <v>831.2</v>
      </c>
      <c r="D480">
        <v>2784</v>
      </c>
      <c r="E480">
        <v>2762</v>
      </c>
      <c r="F480">
        <v>0.30094134685010798</v>
      </c>
      <c r="G480">
        <v>0.26660675154241098</v>
      </c>
      <c r="H480">
        <v>1.71183920184751E-2</v>
      </c>
      <c r="I480">
        <v>2.0057138118253599</v>
      </c>
      <c r="J480">
        <v>11.41</v>
      </c>
    </row>
    <row r="481" spans="1:10">
      <c r="A481" s="19">
        <v>43157</v>
      </c>
      <c r="B481">
        <v>821.9</v>
      </c>
      <c r="C481">
        <v>828.3</v>
      </c>
      <c r="D481">
        <v>2755</v>
      </c>
      <c r="E481">
        <v>2753</v>
      </c>
      <c r="F481">
        <v>0.300871776244097</v>
      </c>
      <c r="G481">
        <v>0.266204852225365</v>
      </c>
      <c r="H481">
        <v>1.66551478830082E-2</v>
      </c>
      <c r="I481">
        <v>2.08145399021641</v>
      </c>
      <c r="J481">
        <v>11.52</v>
      </c>
    </row>
    <row r="482" spans="1:10">
      <c r="A482" s="19">
        <v>43154</v>
      </c>
      <c r="B482">
        <v>801.1</v>
      </c>
      <c r="C482">
        <v>814.5</v>
      </c>
      <c r="D482">
        <v>2706</v>
      </c>
      <c r="E482">
        <v>2724</v>
      </c>
      <c r="F482">
        <v>0.29900881057268702</v>
      </c>
      <c r="G482">
        <v>0.26571542386091601</v>
      </c>
      <c r="H482">
        <v>1.6161248971832399E-2</v>
      </c>
      <c r="I482">
        <v>2.0600751074250598</v>
      </c>
      <c r="J482">
        <v>11.13</v>
      </c>
    </row>
    <row r="483" spans="1:10">
      <c r="A483" s="19">
        <v>43153</v>
      </c>
      <c r="B483">
        <v>796.6</v>
      </c>
      <c r="C483">
        <v>799</v>
      </c>
      <c r="D483">
        <v>2700</v>
      </c>
      <c r="E483">
        <v>2701</v>
      </c>
      <c r="F483">
        <v>0.29581636430951402</v>
      </c>
      <c r="G483">
        <v>0.26531272484601698</v>
      </c>
      <c r="H483">
        <v>1.5696237161021601E-2</v>
      </c>
      <c r="I483">
        <v>1.9433727428155401</v>
      </c>
      <c r="J483">
        <v>10.31</v>
      </c>
    </row>
    <row r="484" spans="1:10">
      <c r="A484" s="19">
        <v>43152</v>
      </c>
      <c r="B484">
        <v>810</v>
      </c>
      <c r="C484">
        <v>807.1</v>
      </c>
      <c r="D484">
        <v>2703</v>
      </c>
      <c r="E484">
        <v>2739</v>
      </c>
      <c r="F484">
        <v>0.29466958744067101</v>
      </c>
      <c r="G484">
        <v>0.26485239247474401</v>
      </c>
      <c r="H484">
        <v>1.52960541203524E-2</v>
      </c>
      <c r="I484">
        <v>1.94933900804217</v>
      </c>
      <c r="J484">
        <v>10.119999999999999</v>
      </c>
    </row>
    <row r="485" spans="1:10">
      <c r="A485" s="19">
        <v>43151</v>
      </c>
      <c r="B485">
        <v>809.6</v>
      </c>
      <c r="C485">
        <v>810.5</v>
      </c>
      <c r="D485">
        <v>2700</v>
      </c>
      <c r="E485">
        <v>2689</v>
      </c>
      <c r="F485">
        <v>0.30141316474525798</v>
      </c>
      <c r="G485">
        <v>0.26446811264312398</v>
      </c>
      <c r="H485">
        <v>1.48990144478158E-2</v>
      </c>
      <c r="I485">
        <v>2.4796977163513199</v>
      </c>
      <c r="J485">
        <v>12.26</v>
      </c>
    </row>
    <row r="486" spans="1:10">
      <c r="A486" s="19">
        <v>43150</v>
      </c>
      <c r="B486">
        <v>793.2</v>
      </c>
      <c r="C486">
        <v>812.5</v>
      </c>
      <c r="D486">
        <v>2710</v>
      </c>
      <c r="E486">
        <v>2712</v>
      </c>
      <c r="F486">
        <v>0.29959439528023601</v>
      </c>
      <c r="G486">
        <v>0.26397559224622302</v>
      </c>
      <c r="H486">
        <v>1.42667059031643E-2</v>
      </c>
      <c r="I486">
        <v>2.49663820616867</v>
      </c>
      <c r="J486">
        <v>11.89</v>
      </c>
    </row>
    <row r="487" spans="1:10">
      <c r="A487" s="19">
        <v>43147</v>
      </c>
      <c r="B487">
        <v>776</v>
      </c>
      <c r="C487">
        <v>782.7</v>
      </c>
      <c r="D487">
        <v>2676</v>
      </c>
      <c r="E487">
        <v>2660</v>
      </c>
      <c r="F487">
        <v>0.29424812030075098</v>
      </c>
      <c r="G487">
        <v>0.26350375892984301</v>
      </c>
      <c r="H487">
        <v>1.36528749943134E-2</v>
      </c>
      <c r="I487">
        <v>2.2518598744743099</v>
      </c>
      <c r="J487">
        <v>10.45</v>
      </c>
    </row>
    <row r="488" spans="1:10">
      <c r="A488" s="19">
        <v>43146</v>
      </c>
      <c r="B488">
        <v>775.7</v>
      </c>
      <c r="C488">
        <v>772</v>
      </c>
      <c r="D488">
        <v>2685</v>
      </c>
      <c r="E488">
        <v>2658</v>
      </c>
      <c r="F488">
        <v>0.29044394281414598</v>
      </c>
      <c r="G488">
        <v>0.26313338093482103</v>
      </c>
      <c r="H488">
        <v>1.31824973106506E-2</v>
      </c>
      <c r="I488">
        <v>2.0717289930534899</v>
      </c>
      <c r="J488">
        <v>9.4</v>
      </c>
    </row>
    <row r="489" spans="1:10">
      <c r="A489" s="19">
        <v>43145</v>
      </c>
      <c r="B489">
        <v>781.8</v>
      </c>
      <c r="C489">
        <v>770.2</v>
      </c>
      <c r="D489">
        <v>2705</v>
      </c>
      <c r="E489">
        <v>2652</v>
      </c>
      <c r="F489">
        <v>0.29042232277526397</v>
      </c>
      <c r="G489">
        <v>0.26278723181224101</v>
      </c>
      <c r="H489">
        <v>1.279600731465E-2</v>
      </c>
      <c r="I489">
        <v>2.1596651426873401</v>
      </c>
      <c r="J489">
        <v>9.52</v>
      </c>
    </row>
    <row r="490" spans="1:10">
      <c r="A490" s="19">
        <v>43144</v>
      </c>
      <c r="B490">
        <v>797.6</v>
      </c>
      <c r="C490">
        <v>782.6</v>
      </c>
      <c r="D490">
        <v>2771</v>
      </c>
      <c r="E490">
        <v>2682</v>
      </c>
      <c r="F490">
        <v>0.29179716629380997</v>
      </c>
      <c r="G490">
        <v>0.26242902688429898</v>
      </c>
      <c r="H490">
        <v>1.2386878084172799E-2</v>
      </c>
      <c r="I490">
        <v>2.3709072786496299</v>
      </c>
      <c r="J490">
        <v>10.06</v>
      </c>
    </row>
    <row r="491" spans="1:10">
      <c r="A491" s="19">
        <v>43140</v>
      </c>
      <c r="B491">
        <v>777</v>
      </c>
      <c r="C491">
        <v>789.4</v>
      </c>
      <c r="D491">
        <v>2724</v>
      </c>
      <c r="E491">
        <v>2746</v>
      </c>
      <c r="F491">
        <v>0.28747268754552002</v>
      </c>
      <c r="G491">
        <v>0.262018735079033</v>
      </c>
      <c r="H491">
        <v>1.19076802042026E-2</v>
      </c>
      <c r="I491">
        <v>2.1376080000454798</v>
      </c>
      <c r="J491">
        <v>8.85</v>
      </c>
    </row>
    <row r="492" spans="1:10">
      <c r="A492" s="19">
        <v>43139</v>
      </c>
      <c r="B492">
        <v>780</v>
      </c>
      <c r="C492">
        <v>801.7</v>
      </c>
      <c r="D492">
        <v>2807</v>
      </c>
      <c r="E492">
        <v>2806</v>
      </c>
      <c r="F492">
        <v>0.28570919458303601</v>
      </c>
      <c r="G492">
        <v>0.26167402882255802</v>
      </c>
      <c r="H492">
        <v>1.15341853787708E-2</v>
      </c>
      <c r="I492">
        <v>2.0838199639755701</v>
      </c>
      <c r="J492">
        <v>8.41</v>
      </c>
    </row>
    <row r="493" spans="1:10">
      <c r="A493" s="19">
        <v>43138</v>
      </c>
      <c r="B493">
        <v>835.9</v>
      </c>
      <c r="C493">
        <v>785.4</v>
      </c>
      <c r="D493">
        <v>2833</v>
      </c>
      <c r="E493">
        <v>2806</v>
      </c>
      <c r="F493">
        <v>0.27990021382751201</v>
      </c>
      <c r="G493">
        <v>0.26136952338983399</v>
      </c>
      <c r="H493">
        <v>1.11920194149313E-2</v>
      </c>
      <c r="I493">
        <v>1.6557057087442499</v>
      </c>
      <c r="J493">
        <v>6.62</v>
      </c>
    </row>
    <row r="494" spans="1:10">
      <c r="A494" s="19">
        <v>43137</v>
      </c>
      <c r="B494">
        <v>780</v>
      </c>
      <c r="C494">
        <v>813.6</v>
      </c>
      <c r="D494">
        <v>2874</v>
      </c>
      <c r="E494">
        <v>2816</v>
      </c>
      <c r="F494">
        <v>0.28892045454545401</v>
      </c>
      <c r="G494">
        <v>0.261143085858074</v>
      </c>
      <c r="H494">
        <v>1.0984693154731001E-2</v>
      </c>
      <c r="I494">
        <v>2.52873414815569</v>
      </c>
      <c r="J494">
        <v>9.61</v>
      </c>
    </row>
    <row r="495" spans="1:10">
      <c r="A495" s="19">
        <v>43136</v>
      </c>
      <c r="B495">
        <v>812</v>
      </c>
      <c r="C495">
        <v>820.3</v>
      </c>
      <c r="D495">
        <v>2994</v>
      </c>
      <c r="E495">
        <v>2974</v>
      </c>
      <c r="F495">
        <v>0.27582380632145198</v>
      </c>
      <c r="G495">
        <v>0.26078599073607001</v>
      </c>
      <c r="H495">
        <v>1.05005433439715E-2</v>
      </c>
      <c r="I495">
        <v>1.4320988060122699</v>
      </c>
      <c r="J495">
        <v>5.45</v>
      </c>
    </row>
    <row r="496" spans="1:10">
      <c r="A496" s="19">
        <v>43133</v>
      </c>
      <c r="B496">
        <v>832.2</v>
      </c>
      <c r="C496">
        <v>836.8</v>
      </c>
      <c r="D496">
        <v>3030</v>
      </c>
      <c r="E496">
        <v>3155</v>
      </c>
      <c r="F496">
        <v>0.26522979397781299</v>
      </c>
      <c r="G496">
        <v>0.260589451888183</v>
      </c>
      <c r="H496">
        <v>1.0354169063945901E-2</v>
      </c>
      <c r="I496">
        <v>0.448161707711344</v>
      </c>
      <c r="J496">
        <v>1.75</v>
      </c>
    </row>
    <row r="497" spans="1:10">
      <c r="A497" s="19">
        <v>43132</v>
      </c>
      <c r="B497">
        <v>823.3</v>
      </c>
      <c r="C497">
        <v>833.8</v>
      </c>
      <c r="D497">
        <v>2987</v>
      </c>
      <c r="E497">
        <v>3050</v>
      </c>
      <c r="F497">
        <v>0.27337704918032701</v>
      </c>
      <c r="G497">
        <v>0.26056529636451298</v>
      </c>
      <c r="H497">
        <v>1.0345424854899501E-2</v>
      </c>
      <c r="I497">
        <v>1.23839793875131</v>
      </c>
      <c r="J497">
        <v>4.6900000000000004</v>
      </c>
    </row>
    <row r="498" spans="1:10">
      <c r="A498" s="19">
        <v>43131</v>
      </c>
      <c r="B498">
        <v>822</v>
      </c>
      <c r="C498">
        <v>818.2</v>
      </c>
      <c r="D498">
        <v>2995</v>
      </c>
      <c r="E498">
        <v>2971</v>
      </c>
      <c r="F498">
        <v>0.275395489734096</v>
      </c>
      <c r="G498">
        <v>0.26044009600678097</v>
      </c>
      <c r="H498">
        <v>1.02459603232484E-2</v>
      </c>
      <c r="I498">
        <v>1.45963806763731</v>
      </c>
      <c r="J498">
        <v>5.43</v>
      </c>
    </row>
    <row r="499" spans="1:10">
      <c r="A499" s="19">
        <v>43130</v>
      </c>
      <c r="B499">
        <v>839.9</v>
      </c>
      <c r="C499">
        <v>833.4</v>
      </c>
      <c r="D499">
        <v>3020</v>
      </c>
      <c r="E499">
        <v>3000</v>
      </c>
      <c r="F499">
        <v>0.27779999999999999</v>
      </c>
      <c r="G499">
        <v>0.26031370968267897</v>
      </c>
      <c r="H499">
        <v>1.01183708018773E-2</v>
      </c>
      <c r="I499">
        <v>1.7281725150926099</v>
      </c>
      <c r="J499">
        <v>6.29</v>
      </c>
    </row>
    <row r="500" spans="1:10">
      <c r="A500" s="19">
        <v>43129</v>
      </c>
      <c r="B500">
        <v>844.4</v>
      </c>
      <c r="C500">
        <v>846.3</v>
      </c>
      <c r="D500">
        <v>3020</v>
      </c>
      <c r="E500">
        <v>3015</v>
      </c>
      <c r="F500">
        <v>0.280696517412935</v>
      </c>
      <c r="G500">
        <v>0.26026904902201897</v>
      </c>
      <c r="H500">
        <v>1.0048240027453499E-2</v>
      </c>
      <c r="I500">
        <v>2.0329399312819501</v>
      </c>
      <c r="J500">
        <v>7.28</v>
      </c>
    </row>
    <row r="501" spans="1:10">
      <c r="A501" s="19">
        <v>43126</v>
      </c>
      <c r="B501">
        <v>845</v>
      </c>
      <c r="C501">
        <v>841.9</v>
      </c>
      <c r="D501">
        <v>3050</v>
      </c>
      <c r="E501">
        <v>3020</v>
      </c>
      <c r="F501">
        <v>0.27877483443708601</v>
      </c>
      <c r="G501">
        <v>0.26016218723016998</v>
      </c>
      <c r="H501">
        <v>9.8714910043095402E-3</v>
      </c>
      <c r="I501">
        <v>1.8854950279334901</v>
      </c>
      <c r="J501">
        <v>6.68</v>
      </c>
    </row>
    <row r="502" spans="1:10">
      <c r="A502" s="19">
        <v>43125</v>
      </c>
      <c r="B502">
        <v>843.2</v>
      </c>
      <c r="C502">
        <v>845.1</v>
      </c>
      <c r="D502">
        <v>3055</v>
      </c>
      <c r="E502">
        <v>3045</v>
      </c>
      <c r="F502">
        <v>0.27753694581280702</v>
      </c>
      <c r="G502">
        <v>0.26004894530622003</v>
      </c>
      <c r="H502">
        <v>9.7046291508893507E-3</v>
      </c>
      <c r="I502">
        <v>1.80202666528323</v>
      </c>
      <c r="J502">
        <v>6.3</v>
      </c>
    </row>
    <row r="503" spans="1:10">
      <c r="A503" s="19">
        <v>43124</v>
      </c>
      <c r="B503">
        <v>846.3</v>
      </c>
      <c r="C503">
        <v>847.4</v>
      </c>
      <c r="D503">
        <v>3085</v>
      </c>
      <c r="E503">
        <v>3080</v>
      </c>
      <c r="F503">
        <v>0.27512987012987</v>
      </c>
      <c r="G503">
        <v>0.25999399841809601</v>
      </c>
      <c r="H503">
        <v>9.6167261799263402E-3</v>
      </c>
      <c r="I503">
        <v>1.5739110616841201</v>
      </c>
      <c r="J503">
        <v>5.5</v>
      </c>
    </row>
    <row r="504" spans="1:10">
      <c r="A504" s="19">
        <v>43123</v>
      </c>
      <c r="B504">
        <v>853.2</v>
      </c>
      <c r="C504">
        <v>846.7</v>
      </c>
      <c r="D504">
        <v>3085</v>
      </c>
      <c r="E504">
        <v>3070</v>
      </c>
      <c r="F504">
        <v>0.27579804560260501</v>
      </c>
      <c r="G504">
        <v>0.259986665576941</v>
      </c>
      <c r="H504">
        <v>9.6053851330945E-3</v>
      </c>
      <c r="I504">
        <v>1.64609537322842</v>
      </c>
      <c r="J504">
        <v>5.73</v>
      </c>
    </row>
    <row r="505" spans="1:10">
      <c r="A505" s="19">
        <v>43122</v>
      </c>
      <c r="B505">
        <v>859.9</v>
      </c>
      <c r="C505">
        <v>852.9</v>
      </c>
      <c r="D505">
        <v>3065</v>
      </c>
      <c r="E505">
        <v>3055</v>
      </c>
      <c r="F505">
        <v>0.27918166939443501</v>
      </c>
      <c r="G505">
        <v>0.25999255983590902</v>
      </c>
      <c r="H505">
        <v>9.6152164417369693E-3</v>
      </c>
      <c r="I505">
        <v>1.9957022990383699</v>
      </c>
      <c r="J505">
        <v>6.87</v>
      </c>
    </row>
    <row r="506" spans="1:10">
      <c r="A506" s="19">
        <v>43119</v>
      </c>
      <c r="B506">
        <v>844</v>
      </c>
      <c r="C506">
        <v>861.1</v>
      </c>
      <c r="D506">
        <v>3075</v>
      </c>
      <c r="E506">
        <v>3075</v>
      </c>
      <c r="F506">
        <v>0.28003252032520298</v>
      </c>
      <c r="G506">
        <v>0.25996774200731498</v>
      </c>
      <c r="H506">
        <v>9.5679413448904096E-3</v>
      </c>
      <c r="I506">
        <v>2.0970841683308201</v>
      </c>
      <c r="J506">
        <v>7.17</v>
      </c>
    </row>
    <row r="507" spans="1:10">
      <c r="A507" s="19">
        <v>43118</v>
      </c>
      <c r="B507">
        <v>850</v>
      </c>
      <c r="C507">
        <v>841.7</v>
      </c>
      <c r="D507">
        <v>3115</v>
      </c>
      <c r="E507">
        <v>3055</v>
      </c>
      <c r="F507">
        <v>0.27551554828150498</v>
      </c>
      <c r="G507">
        <v>0.259888188586754</v>
      </c>
      <c r="H507">
        <v>9.4245098196552406E-3</v>
      </c>
      <c r="I507">
        <v>1.6581615377130701</v>
      </c>
      <c r="J507">
        <v>5.67</v>
      </c>
    </row>
    <row r="508" spans="1:10">
      <c r="A508" s="19">
        <v>43117</v>
      </c>
      <c r="B508">
        <v>841.1</v>
      </c>
      <c r="C508">
        <v>843.2</v>
      </c>
      <c r="D508">
        <v>3100</v>
      </c>
      <c r="E508">
        <v>3095</v>
      </c>
      <c r="F508">
        <v>0.27243941841680103</v>
      </c>
      <c r="G508">
        <v>0.25989906041302402</v>
      </c>
      <c r="H508">
        <v>9.4429829910359399E-3</v>
      </c>
      <c r="I508">
        <v>1.32800811096247</v>
      </c>
      <c r="J508">
        <v>4.5999999999999996</v>
      </c>
    </row>
    <row r="509" spans="1:10">
      <c r="A509" s="19">
        <v>43116</v>
      </c>
      <c r="B509">
        <v>860</v>
      </c>
      <c r="C509">
        <v>856.1</v>
      </c>
      <c r="D509">
        <v>3155</v>
      </c>
      <c r="E509">
        <v>3130</v>
      </c>
      <c r="F509">
        <v>0.27351437699680498</v>
      </c>
      <c r="G509">
        <v>0.260001714620334</v>
      </c>
      <c r="H509">
        <v>9.6189590067793599E-3</v>
      </c>
      <c r="I509">
        <v>1.40479467340979</v>
      </c>
      <c r="J509">
        <v>4.9400000000000004</v>
      </c>
    </row>
    <row r="510" spans="1:10">
      <c r="A510" s="19">
        <v>43115</v>
      </c>
      <c r="B510">
        <v>860</v>
      </c>
      <c r="C510">
        <v>862.3</v>
      </c>
      <c r="D510">
        <v>3155</v>
      </c>
      <c r="E510">
        <v>3155</v>
      </c>
      <c r="F510">
        <v>0.27331220285261398</v>
      </c>
      <c r="G510">
        <v>0.26009523029777998</v>
      </c>
      <c r="H510">
        <v>9.7825767254476892E-3</v>
      </c>
      <c r="I510">
        <v>1.3510727209992099</v>
      </c>
      <c r="J510">
        <v>4.84</v>
      </c>
    </row>
    <row r="511" spans="1:10">
      <c r="A511" s="19">
        <v>43112</v>
      </c>
      <c r="B511">
        <v>855.4</v>
      </c>
      <c r="C511">
        <v>855.9</v>
      </c>
      <c r="D511">
        <v>3160</v>
      </c>
      <c r="E511">
        <v>3130</v>
      </c>
      <c r="F511">
        <v>0.27345047923322602</v>
      </c>
      <c r="G511">
        <v>0.26019663334231402</v>
      </c>
      <c r="H511">
        <v>9.9569172253790601E-3</v>
      </c>
      <c r="I511">
        <v>1.3311194208916</v>
      </c>
      <c r="J511">
        <v>4.8499999999999996</v>
      </c>
    </row>
    <row r="512" spans="1:10">
      <c r="A512" s="19">
        <v>43111</v>
      </c>
      <c r="B512">
        <v>845.5</v>
      </c>
      <c r="C512">
        <v>855</v>
      </c>
      <c r="D512">
        <v>3200</v>
      </c>
      <c r="E512">
        <v>3200</v>
      </c>
      <c r="F512">
        <v>0.26718750000000002</v>
      </c>
      <c r="G512">
        <v>0.26028625055223897</v>
      </c>
      <c r="H512">
        <v>1.01049521568079E-2</v>
      </c>
      <c r="I512">
        <v>0.68295716205949397</v>
      </c>
      <c r="J512">
        <v>2.58</v>
      </c>
    </row>
    <row r="513" spans="1:10">
      <c r="A513" s="19">
        <v>43110</v>
      </c>
      <c r="B513">
        <v>839</v>
      </c>
      <c r="C513">
        <v>850.8</v>
      </c>
      <c r="D513">
        <v>3215</v>
      </c>
      <c r="E513">
        <v>3210</v>
      </c>
      <c r="F513">
        <v>0.26504672897196202</v>
      </c>
      <c r="G513">
        <v>0.26043361322389902</v>
      </c>
      <c r="H513">
        <v>1.02835303870863E-2</v>
      </c>
      <c r="I513">
        <v>0.448592611138248</v>
      </c>
      <c r="J513">
        <v>1.74</v>
      </c>
    </row>
    <row r="514" spans="1:10">
      <c r="A514" s="19">
        <v>43109</v>
      </c>
      <c r="B514">
        <v>848.3</v>
      </c>
      <c r="C514">
        <v>839.2</v>
      </c>
      <c r="D514">
        <v>3220</v>
      </c>
      <c r="E514">
        <v>3215</v>
      </c>
      <c r="F514">
        <v>0.26102643856920599</v>
      </c>
      <c r="G514">
        <v>0.26066205326845399</v>
      </c>
      <c r="H514">
        <v>1.0569783212012299E-2</v>
      </c>
      <c r="I514">
        <v>3.4474245445066498E-2</v>
      </c>
      <c r="J514">
        <v>0.14000000000000001</v>
      </c>
    </row>
    <row r="515" spans="1:10">
      <c r="A515" s="19">
        <v>43105</v>
      </c>
      <c r="B515">
        <v>836.7</v>
      </c>
      <c r="C515">
        <v>844.5</v>
      </c>
      <c r="D515">
        <v>3250</v>
      </c>
      <c r="E515">
        <v>3245</v>
      </c>
      <c r="F515">
        <v>0.26024653312788898</v>
      </c>
      <c r="G515">
        <v>0.26091065248009299</v>
      </c>
      <c r="H515">
        <v>1.0792349372586199E-2</v>
      </c>
      <c r="I515">
        <v>-6.1536124274427097E-2</v>
      </c>
      <c r="J515">
        <v>-0.26</v>
      </c>
    </row>
    <row r="516" spans="1:10">
      <c r="A516" s="19">
        <v>43104</v>
      </c>
      <c r="B516">
        <v>829</v>
      </c>
      <c r="C516">
        <v>832.1</v>
      </c>
      <c r="D516">
        <v>3200</v>
      </c>
      <c r="E516">
        <v>3245</v>
      </c>
      <c r="F516">
        <v>0.25642526964560802</v>
      </c>
      <c r="G516">
        <v>0.26117413397518702</v>
      </c>
      <c r="H516">
        <v>1.1011907352102999E-2</v>
      </c>
      <c r="I516">
        <v>-0.43124811876227398</v>
      </c>
      <c r="J516">
        <v>-1.85</v>
      </c>
    </row>
    <row r="517" spans="1:10">
      <c r="A517" s="19">
        <v>43098</v>
      </c>
      <c r="B517">
        <v>816.2</v>
      </c>
      <c r="C517">
        <v>816.1</v>
      </c>
      <c r="D517">
        <v>3175</v>
      </c>
      <c r="E517">
        <v>3175</v>
      </c>
      <c r="F517">
        <v>0.25703937007874</v>
      </c>
      <c r="G517">
        <v>0.26150732923268499</v>
      </c>
      <c r="H517">
        <v>1.1238901960461701E-2</v>
      </c>
      <c r="I517">
        <v>-0.39754409902882198</v>
      </c>
      <c r="J517">
        <v>-1.74</v>
      </c>
    </row>
    <row r="518" spans="1:10">
      <c r="A518" s="19">
        <v>43097</v>
      </c>
      <c r="B518">
        <v>816.8</v>
      </c>
      <c r="C518">
        <v>813.9</v>
      </c>
      <c r="D518">
        <v>3205</v>
      </c>
      <c r="E518">
        <v>3170</v>
      </c>
      <c r="F518">
        <v>0.25675078864353301</v>
      </c>
      <c r="G518">
        <v>0.261804293341869</v>
      </c>
      <c r="H518">
        <v>1.1409871109502799E-2</v>
      </c>
      <c r="I518">
        <v>-0.44290637903244301</v>
      </c>
      <c r="J518">
        <v>-1.97</v>
      </c>
    </row>
    <row r="519" spans="1:10">
      <c r="A519" s="19">
        <v>43096</v>
      </c>
      <c r="B519">
        <v>804.7</v>
      </c>
      <c r="C519">
        <v>817.5</v>
      </c>
      <c r="D519">
        <v>3205</v>
      </c>
      <c r="E519">
        <v>3210</v>
      </c>
      <c r="F519">
        <v>0.25467289719626102</v>
      </c>
      <c r="G519">
        <v>0.26207989088239297</v>
      </c>
      <c r="H519">
        <v>1.15334421629041E-2</v>
      </c>
      <c r="I519">
        <v>-0.64221882604618497</v>
      </c>
      <c r="J519">
        <v>-2.91</v>
      </c>
    </row>
    <row r="520" spans="1:10">
      <c r="A520" s="19">
        <v>43095</v>
      </c>
      <c r="B520">
        <v>811</v>
      </c>
      <c r="C520">
        <v>802.5</v>
      </c>
      <c r="D520">
        <v>3185</v>
      </c>
      <c r="E520">
        <v>3200</v>
      </c>
      <c r="F520">
        <v>0.25078125000000001</v>
      </c>
      <c r="G520">
        <v>0.26244073771784698</v>
      </c>
      <c r="H520">
        <v>1.17179469243524E-2</v>
      </c>
      <c r="I520">
        <v>-0.99501113916264405</v>
      </c>
      <c r="J520">
        <v>-4.6500000000000004</v>
      </c>
    </row>
    <row r="521" spans="1:10">
      <c r="A521" s="19">
        <v>43094</v>
      </c>
      <c r="B521">
        <v>813.3</v>
      </c>
      <c r="C521">
        <v>812.9</v>
      </c>
      <c r="D521">
        <v>3145</v>
      </c>
      <c r="E521">
        <v>3180</v>
      </c>
      <c r="F521">
        <v>0.25562893081761001</v>
      </c>
      <c r="G521">
        <v>0.26289780880114699</v>
      </c>
      <c r="H521">
        <v>1.19210521734493E-2</v>
      </c>
      <c r="I521">
        <v>-0.60975137746035701</v>
      </c>
      <c r="J521">
        <v>-2.84</v>
      </c>
    </row>
    <row r="522" spans="1:10">
      <c r="A522" s="19">
        <v>43091</v>
      </c>
      <c r="B522">
        <v>805</v>
      </c>
      <c r="C522">
        <v>813.6</v>
      </c>
      <c r="D522">
        <v>3145</v>
      </c>
      <c r="E522">
        <v>3140</v>
      </c>
      <c r="F522">
        <v>0.259108280254777</v>
      </c>
      <c r="G522">
        <v>0.26327349432403102</v>
      </c>
      <c r="H522">
        <v>1.2128239433891E-2</v>
      </c>
      <c r="I522">
        <v>-0.34343105542715502</v>
      </c>
      <c r="J522">
        <v>-1.61</v>
      </c>
    </row>
    <row r="523" spans="1:10">
      <c r="A523" s="19">
        <v>43090</v>
      </c>
      <c r="B523">
        <v>801.8</v>
      </c>
      <c r="C523">
        <v>796.8</v>
      </c>
      <c r="D523">
        <v>3110</v>
      </c>
      <c r="E523">
        <v>3125</v>
      </c>
      <c r="F523">
        <v>0.25497599999999998</v>
      </c>
      <c r="G523">
        <v>0.26360019873544899</v>
      </c>
      <c r="H523">
        <v>1.2339815691674199E-2</v>
      </c>
      <c r="I523">
        <v>-0.69889202164244202</v>
      </c>
      <c r="J523">
        <v>-3.38</v>
      </c>
    </row>
    <row r="524" spans="1:10">
      <c r="A524" s="19">
        <v>43089</v>
      </c>
      <c r="B524">
        <v>781.2</v>
      </c>
      <c r="C524">
        <v>797.7</v>
      </c>
      <c r="D524">
        <v>3135</v>
      </c>
      <c r="E524">
        <v>3120</v>
      </c>
      <c r="F524">
        <v>0.255673076923076</v>
      </c>
      <c r="G524">
        <v>0.263918916246145</v>
      </c>
      <c r="H524">
        <v>1.2421379473282E-2</v>
      </c>
      <c r="I524">
        <v>-0.66384247746437397</v>
      </c>
      <c r="J524">
        <v>-3.23</v>
      </c>
    </row>
    <row r="525" spans="1:10">
      <c r="A525" s="19">
        <v>43088</v>
      </c>
      <c r="B525">
        <v>779</v>
      </c>
      <c r="C525">
        <v>781.2</v>
      </c>
      <c r="D525">
        <v>3100</v>
      </c>
      <c r="E525">
        <v>3110</v>
      </c>
      <c r="F525">
        <v>0.25118971061093198</v>
      </c>
      <c r="G525">
        <v>0.26419852141797801</v>
      </c>
      <c r="H525">
        <v>1.24685508072975E-2</v>
      </c>
      <c r="I525">
        <v>-1.04332981499597</v>
      </c>
      <c r="J525">
        <v>-5.18</v>
      </c>
    </row>
    <row r="526" spans="1:10">
      <c r="A526" s="19">
        <v>43087</v>
      </c>
      <c r="B526">
        <v>766.7</v>
      </c>
      <c r="C526">
        <v>776</v>
      </c>
      <c r="D526">
        <v>3070</v>
      </c>
      <c r="E526">
        <v>3085</v>
      </c>
      <c r="F526">
        <v>0.25153970826580202</v>
      </c>
      <c r="G526">
        <v>0.26448035576665702</v>
      </c>
      <c r="H526">
        <v>1.2410075108533E-2</v>
      </c>
      <c r="I526">
        <v>-1.04275335867686</v>
      </c>
      <c r="J526">
        <v>-5.14</v>
      </c>
    </row>
    <row r="527" spans="1:10">
      <c r="A527" s="19">
        <v>43084</v>
      </c>
      <c r="B527">
        <v>768.6</v>
      </c>
      <c r="C527">
        <v>759.9</v>
      </c>
      <c r="D527">
        <v>3075</v>
      </c>
      <c r="E527">
        <v>3050</v>
      </c>
      <c r="F527">
        <v>0.249147540983606</v>
      </c>
      <c r="G527">
        <v>0.26475744537073198</v>
      </c>
      <c r="H527">
        <v>1.2349904712881599E-2</v>
      </c>
      <c r="I527">
        <v>-1.26396962163146</v>
      </c>
      <c r="J527">
        <v>-6.27</v>
      </c>
    </row>
    <row r="528" spans="1:10">
      <c r="A528" s="19">
        <v>43083</v>
      </c>
      <c r="B528">
        <v>764.1</v>
      </c>
      <c r="C528">
        <v>764.1</v>
      </c>
      <c r="D528">
        <v>3100</v>
      </c>
      <c r="E528">
        <v>3045</v>
      </c>
      <c r="F528">
        <v>0.25093596059113299</v>
      </c>
      <c r="G528">
        <v>0.265059673781813</v>
      </c>
      <c r="H528">
        <v>1.2241076020494899E-2</v>
      </c>
      <c r="I528">
        <v>-1.15379670602756</v>
      </c>
      <c r="J528">
        <v>-5.63</v>
      </c>
    </row>
    <row r="529" spans="1:10">
      <c r="A529" s="19">
        <v>43082</v>
      </c>
      <c r="B529">
        <v>767.3</v>
      </c>
      <c r="C529">
        <v>764.1</v>
      </c>
      <c r="D529">
        <v>3055</v>
      </c>
      <c r="E529">
        <v>3050</v>
      </c>
      <c r="F529">
        <v>0.25052459016393402</v>
      </c>
      <c r="G529">
        <v>0.26531920260494302</v>
      </c>
      <c r="H529">
        <v>1.21448427884821E-2</v>
      </c>
      <c r="I529">
        <v>-1.21818064660666</v>
      </c>
      <c r="J529">
        <v>-5.91</v>
      </c>
    </row>
    <row r="530" spans="1:10">
      <c r="A530" s="19">
        <v>43081</v>
      </c>
      <c r="B530">
        <v>750.9</v>
      </c>
      <c r="C530">
        <v>764.5</v>
      </c>
      <c r="D530">
        <v>3045</v>
      </c>
      <c r="E530">
        <v>3045</v>
      </c>
      <c r="F530">
        <v>0.25106732348111599</v>
      </c>
      <c r="G530">
        <v>0.26555921794982001</v>
      </c>
      <c r="H530">
        <v>1.202739720013E-2</v>
      </c>
      <c r="I530">
        <v>-1.2049069493228901</v>
      </c>
      <c r="J530">
        <v>-5.77</v>
      </c>
    </row>
    <row r="531" spans="1:10">
      <c r="A531" s="19">
        <v>43080</v>
      </c>
      <c r="B531">
        <v>749.5</v>
      </c>
      <c r="C531">
        <v>749.5</v>
      </c>
      <c r="D531">
        <v>3065</v>
      </c>
      <c r="E531">
        <v>3050</v>
      </c>
      <c r="F531">
        <v>0.24573770491803201</v>
      </c>
      <c r="G531">
        <v>0.26579289962260799</v>
      </c>
      <c r="H531">
        <v>1.1913279578589999E-2</v>
      </c>
      <c r="I531">
        <v>-1.6834318855924499</v>
      </c>
      <c r="J531">
        <v>-8.16</v>
      </c>
    </row>
    <row r="532" spans="1:10">
      <c r="A532" s="19">
        <v>43077</v>
      </c>
      <c r="B532">
        <v>726.1</v>
      </c>
      <c r="C532">
        <v>742.5</v>
      </c>
      <c r="D532">
        <v>3000</v>
      </c>
      <c r="E532">
        <v>3075</v>
      </c>
      <c r="F532">
        <v>0.241463414634146</v>
      </c>
      <c r="G532">
        <v>0.26610887499443803</v>
      </c>
      <c r="H532">
        <v>1.16893339136358E-2</v>
      </c>
      <c r="I532">
        <v>-2.10837166106981</v>
      </c>
      <c r="J532">
        <v>-10.210000000000001</v>
      </c>
    </row>
    <row r="533" spans="1:10">
      <c r="A533" s="19">
        <v>43076</v>
      </c>
      <c r="B533">
        <v>730</v>
      </c>
      <c r="C533">
        <v>734.7</v>
      </c>
      <c r="D533">
        <v>2960</v>
      </c>
      <c r="E533">
        <v>3010</v>
      </c>
      <c r="F533">
        <v>0.24408637873754099</v>
      </c>
      <c r="G533">
        <v>0.26650885719598</v>
      </c>
      <c r="H533">
        <v>1.13474218531503E-2</v>
      </c>
      <c r="I533">
        <v>-1.9759976097313801</v>
      </c>
      <c r="J533">
        <v>-9.19</v>
      </c>
    </row>
    <row r="534" spans="1:10">
      <c r="A534" s="19">
        <v>43075</v>
      </c>
      <c r="B534">
        <v>740.7</v>
      </c>
      <c r="C534">
        <v>726.4</v>
      </c>
      <c r="D534">
        <v>2980</v>
      </c>
      <c r="E534">
        <v>2953</v>
      </c>
      <c r="F534">
        <v>0.24598713173044301</v>
      </c>
      <c r="G534">
        <v>0.266878866205423</v>
      </c>
      <c r="H534">
        <v>1.1059025182588601E-2</v>
      </c>
      <c r="I534">
        <v>-1.8891117553354999</v>
      </c>
      <c r="J534">
        <v>-8.49</v>
      </c>
    </row>
    <row r="535" spans="1:10">
      <c r="A535" s="19">
        <v>43074</v>
      </c>
      <c r="B535">
        <v>746.8</v>
      </c>
      <c r="C535">
        <v>747.6</v>
      </c>
      <c r="D535">
        <v>2951</v>
      </c>
      <c r="E535">
        <v>3020</v>
      </c>
      <c r="F535">
        <v>0.24754966887417201</v>
      </c>
      <c r="G535">
        <v>0.26723753543493201</v>
      </c>
      <c r="H535">
        <v>1.0809034229439201E-2</v>
      </c>
      <c r="I535">
        <v>-1.8214269788450801</v>
      </c>
      <c r="J535">
        <v>-7.95</v>
      </c>
    </row>
    <row r="536" spans="1:10">
      <c r="A536" s="19">
        <v>43073</v>
      </c>
      <c r="B536">
        <v>754.6</v>
      </c>
      <c r="C536">
        <v>742.3</v>
      </c>
      <c r="D536">
        <v>3070</v>
      </c>
      <c r="E536">
        <v>2980</v>
      </c>
      <c r="F536">
        <v>0.249093959731543</v>
      </c>
      <c r="G536">
        <v>0.267526098772502</v>
      </c>
      <c r="H536">
        <v>1.05657332537218E-2</v>
      </c>
      <c r="I536">
        <v>-1.7445205740421501</v>
      </c>
      <c r="J536">
        <v>-7.4</v>
      </c>
    </row>
    <row r="537" spans="1:10">
      <c r="A537" s="19">
        <v>43070</v>
      </c>
      <c r="B537">
        <v>750</v>
      </c>
      <c r="C537">
        <v>747.2</v>
      </c>
      <c r="D537">
        <v>3025</v>
      </c>
      <c r="E537">
        <v>3000</v>
      </c>
      <c r="F537">
        <v>0.24906666666666599</v>
      </c>
      <c r="G537">
        <v>0.26780947596697802</v>
      </c>
      <c r="H537">
        <v>1.03503921873229E-2</v>
      </c>
      <c r="I537">
        <v>-1.81083083240725</v>
      </c>
      <c r="J537">
        <v>-7.53</v>
      </c>
    </row>
    <row r="538" spans="1:10">
      <c r="A538" s="19">
        <v>43069</v>
      </c>
      <c r="B538">
        <v>741</v>
      </c>
      <c r="C538">
        <v>745.8</v>
      </c>
      <c r="D538">
        <v>2972</v>
      </c>
      <c r="E538">
        <v>3025</v>
      </c>
      <c r="F538">
        <v>0.24654545454545401</v>
      </c>
      <c r="G538">
        <v>0.26808705693694701</v>
      </c>
      <c r="H538">
        <v>1.01206280675721E-2</v>
      </c>
      <c r="I538">
        <v>-2.1284847390563399</v>
      </c>
      <c r="J538">
        <v>-8.74</v>
      </c>
    </row>
    <row r="539" spans="1:10">
      <c r="A539" s="19">
        <v>43068</v>
      </c>
      <c r="B539">
        <v>732.8</v>
      </c>
      <c r="C539">
        <v>735</v>
      </c>
      <c r="D539">
        <v>2965</v>
      </c>
      <c r="E539">
        <v>2964</v>
      </c>
      <c r="F539">
        <v>0.24797570850202399</v>
      </c>
      <c r="G539">
        <v>0.26838677734349897</v>
      </c>
      <c r="H539">
        <v>9.8062117387237701E-3</v>
      </c>
      <c r="I539">
        <v>-2.08144280230808</v>
      </c>
      <c r="J539">
        <v>-8.23</v>
      </c>
    </row>
    <row r="540" spans="1:10">
      <c r="A540" s="19">
        <v>43067</v>
      </c>
      <c r="B540">
        <v>722.4</v>
      </c>
      <c r="C540">
        <v>723.9</v>
      </c>
      <c r="D540">
        <v>2944</v>
      </c>
      <c r="E540">
        <v>2933</v>
      </c>
      <c r="F540">
        <v>0.24681213774292499</v>
      </c>
      <c r="G540">
        <v>0.26870980244725701</v>
      </c>
      <c r="H540">
        <v>9.5234846306751896E-3</v>
      </c>
      <c r="I540">
        <v>-2.2993332329009002</v>
      </c>
      <c r="J540">
        <v>-8.8699999999999992</v>
      </c>
    </row>
    <row r="541" spans="1:10">
      <c r="A541" s="19">
        <v>43066</v>
      </c>
      <c r="B541">
        <v>726.6</v>
      </c>
      <c r="C541">
        <v>723.1</v>
      </c>
      <c r="D541">
        <v>2936</v>
      </c>
      <c r="E541">
        <v>2944</v>
      </c>
      <c r="F541">
        <v>0.24561820652173899</v>
      </c>
      <c r="G541">
        <v>0.26903351281350502</v>
      </c>
      <c r="H541">
        <v>9.1800925419022201E-3</v>
      </c>
      <c r="I541">
        <v>-2.5506612471375099</v>
      </c>
      <c r="J541">
        <v>-9.5299999999999994</v>
      </c>
    </row>
    <row r="542" spans="1:10">
      <c r="A542" s="19">
        <v>43063</v>
      </c>
      <c r="B542">
        <v>724.5</v>
      </c>
      <c r="C542">
        <v>724</v>
      </c>
      <c r="D542">
        <v>2899</v>
      </c>
      <c r="E542">
        <v>2932</v>
      </c>
      <c r="F542">
        <v>0.24693042291950801</v>
      </c>
      <c r="G542">
        <v>0.26933828006757998</v>
      </c>
      <c r="H542">
        <v>8.7678395133425294E-3</v>
      </c>
      <c r="I542">
        <v>-2.5556874203698698</v>
      </c>
      <c r="J542">
        <v>-9.07</v>
      </c>
    </row>
    <row r="543" spans="1:10">
      <c r="A543" s="19">
        <v>43061</v>
      </c>
      <c r="B543">
        <v>731.5</v>
      </c>
      <c r="C543">
        <v>728.8</v>
      </c>
      <c r="D543">
        <v>2892</v>
      </c>
      <c r="E543">
        <v>2927</v>
      </c>
      <c r="F543">
        <v>0.248992142125042</v>
      </c>
      <c r="G543">
        <v>0.26952326388123998</v>
      </c>
      <c r="H543">
        <v>8.4330916529308797E-3</v>
      </c>
      <c r="I543">
        <v>-2.4345901362357401</v>
      </c>
      <c r="J543">
        <v>-8.25</v>
      </c>
    </row>
    <row r="544" spans="1:10">
      <c r="A544" s="19">
        <v>43060</v>
      </c>
      <c r="B544">
        <v>728.7</v>
      </c>
      <c r="C544">
        <v>725.3</v>
      </c>
      <c r="D544">
        <v>2881</v>
      </c>
      <c r="E544">
        <v>2883</v>
      </c>
      <c r="F544">
        <v>0.25157821713492801</v>
      </c>
      <c r="G544">
        <v>0.26971607418354898</v>
      </c>
      <c r="H544">
        <v>8.1210111057481108E-3</v>
      </c>
      <c r="I544">
        <v>-2.23344812763303</v>
      </c>
      <c r="J544">
        <v>-7.21</v>
      </c>
    </row>
    <row r="545" spans="1:10">
      <c r="A545" s="19">
        <v>43059</v>
      </c>
      <c r="B545">
        <v>726</v>
      </c>
      <c r="C545">
        <v>720.9</v>
      </c>
      <c r="D545">
        <v>2824</v>
      </c>
      <c r="E545">
        <v>2865</v>
      </c>
      <c r="F545">
        <v>0.25162303664921398</v>
      </c>
      <c r="G545">
        <v>0.26996844518569701</v>
      </c>
      <c r="H545">
        <v>7.8427690352957501E-3</v>
      </c>
      <c r="I545">
        <v>-2.3391494067874499</v>
      </c>
      <c r="J545">
        <v>-7.29</v>
      </c>
    </row>
    <row r="546" spans="1:10">
      <c r="A546" s="19">
        <v>43056</v>
      </c>
      <c r="B546">
        <v>733.6</v>
      </c>
      <c r="C546">
        <v>725.5</v>
      </c>
      <c r="D546">
        <v>2861</v>
      </c>
      <c r="E546">
        <v>2834</v>
      </c>
      <c r="F546">
        <v>0.25599858856739499</v>
      </c>
      <c r="G546">
        <v>0.27034690547809398</v>
      </c>
      <c r="H546">
        <v>7.6303467194777297E-3</v>
      </c>
      <c r="I546">
        <v>-1.8804279069091701</v>
      </c>
      <c r="J546">
        <v>-5.6</v>
      </c>
    </row>
    <row r="547" spans="1:10">
      <c r="A547" s="19">
        <v>43055</v>
      </c>
      <c r="B547">
        <v>725</v>
      </c>
      <c r="C547">
        <v>722.1</v>
      </c>
      <c r="D547">
        <v>2805</v>
      </c>
      <c r="E547">
        <v>2859</v>
      </c>
      <c r="F547">
        <v>0.252570828961175</v>
      </c>
      <c r="G547">
        <v>0.27066947857561202</v>
      </c>
      <c r="H547">
        <v>7.5276411205148696E-3</v>
      </c>
      <c r="I547">
        <v>-2.4042923041473601</v>
      </c>
      <c r="J547">
        <v>-7.17</v>
      </c>
    </row>
    <row r="548" spans="1:10">
      <c r="A548" s="19">
        <v>43054</v>
      </c>
      <c r="B548">
        <v>748</v>
      </c>
      <c r="C548">
        <v>729.4</v>
      </c>
      <c r="D548">
        <v>2922</v>
      </c>
      <c r="E548">
        <v>2848</v>
      </c>
      <c r="F548">
        <v>0.25610955056179702</v>
      </c>
      <c r="G548">
        <v>0.27105186752279598</v>
      </c>
      <c r="H548">
        <v>7.3242276322454903E-3</v>
      </c>
      <c r="I548">
        <v>-2.0401218683065299</v>
      </c>
      <c r="J548">
        <v>-5.83</v>
      </c>
    </row>
    <row r="549" spans="1:10">
      <c r="A549" s="19">
        <v>43053</v>
      </c>
      <c r="B549">
        <v>756.4</v>
      </c>
      <c r="C549">
        <v>751.7</v>
      </c>
      <c r="D549">
        <v>2936</v>
      </c>
      <c r="E549">
        <v>2927</v>
      </c>
      <c r="F549">
        <v>0.25681585240860899</v>
      </c>
      <c r="G549">
        <v>0.27141933366529303</v>
      </c>
      <c r="H549">
        <v>7.2563792856302402E-3</v>
      </c>
      <c r="I549">
        <v>-2.0125024729072201</v>
      </c>
      <c r="J549">
        <v>-5.69</v>
      </c>
    </row>
    <row r="550" spans="1:10">
      <c r="A550" s="19">
        <v>43052</v>
      </c>
      <c r="B550">
        <v>768</v>
      </c>
      <c r="C550">
        <v>756.9</v>
      </c>
      <c r="D550">
        <v>3085</v>
      </c>
      <c r="E550">
        <v>2962</v>
      </c>
      <c r="F550">
        <v>0.25553679945982399</v>
      </c>
      <c r="G550">
        <v>0.27181116064678101</v>
      </c>
      <c r="H550">
        <v>7.2506596079326604E-3</v>
      </c>
      <c r="I550">
        <v>-2.2445352653366202</v>
      </c>
      <c r="J550">
        <v>-6.37</v>
      </c>
    </row>
    <row r="551" spans="1:10">
      <c r="A551" s="19">
        <v>43049</v>
      </c>
      <c r="B551">
        <v>770</v>
      </c>
      <c r="C551">
        <v>770.9</v>
      </c>
      <c r="D551">
        <v>2913</v>
      </c>
      <c r="E551">
        <v>2915</v>
      </c>
      <c r="F551">
        <v>0.26445969125214402</v>
      </c>
      <c r="G551">
        <v>0.272213377912633</v>
      </c>
      <c r="H551">
        <v>7.1730072195811496E-3</v>
      </c>
      <c r="I551">
        <v>-1.0809534164866099</v>
      </c>
      <c r="J551">
        <v>-2.93</v>
      </c>
    </row>
    <row r="552" spans="1:10">
      <c r="A552" s="19">
        <v>43048</v>
      </c>
      <c r="B552">
        <v>785.9</v>
      </c>
      <c r="C552">
        <v>780</v>
      </c>
      <c r="D552">
        <v>2955</v>
      </c>
      <c r="E552">
        <v>2949</v>
      </c>
      <c r="F552">
        <v>0.26449643947100698</v>
      </c>
      <c r="G552">
        <v>0.27247541068970699</v>
      </c>
      <c r="H552">
        <v>7.2435847147025003E-3</v>
      </c>
      <c r="I552">
        <v>-1.10152245510504</v>
      </c>
      <c r="J552">
        <v>-3.02</v>
      </c>
    </row>
    <row r="553" spans="1:10">
      <c r="A553" s="19">
        <v>43047</v>
      </c>
      <c r="B553">
        <v>786</v>
      </c>
      <c r="C553">
        <v>784.2</v>
      </c>
      <c r="D553">
        <v>2922</v>
      </c>
      <c r="E553">
        <v>2940</v>
      </c>
      <c r="F553">
        <v>0.266734693877551</v>
      </c>
      <c r="G553">
        <v>0.27273992501104199</v>
      </c>
      <c r="H553">
        <v>7.3093114821782797E-3</v>
      </c>
      <c r="I553">
        <v>-0.82158643097012696</v>
      </c>
      <c r="J553">
        <v>-2.25</v>
      </c>
    </row>
    <row r="554" spans="1:10">
      <c r="A554" s="19">
        <v>43046</v>
      </c>
      <c r="B554">
        <v>786.4</v>
      </c>
      <c r="C554">
        <v>789.1</v>
      </c>
      <c r="D554">
        <v>2882</v>
      </c>
      <c r="E554">
        <v>2917</v>
      </c>
      <c r="F554">
        <v>0.27051765512512799</v>
      </c>
      <c r="G554">
        <v>0.27299830597397801</v>
      </c>
      <c r="H554">
        <v>7.4339123593317796E-3</v>
      </c>
      <c r="I554">
        <v>-0.33369385176250199</v>
      </c>
      <c r="J554">
        <v>-0.92</v>
      </c>
    </row>
    <row r="555" spans="1:10">
      <c r="A555" s="19">
        <v>43045</v>
      </c>
      <c r="B555">
        <v>774.2</v>
      </c>
      <c r="C555">
        <v>786.4</v>
      </c>
      <c r="D555">
        <v>2904</v>
      </c>
      <c r="E555">
        <v>2904</v>
      </c>
      <c r="F555">
        <v>0.27079889807162499</v>
      </c>
      <c r="G555">
        <v>0.27319423912478802</v>
      </c>
      <c r="H555">
        <v>7.5585590334299596E-3</v>
      </c>
      <c r="I555">
        <v>-0.316904457922282</v>
      </c>
      <c r="J555">
        <v>-0.88</v>
      </c>
    </row>
    <row r="556" spans="1:10">
      <c r="A556" s="19">
        <v>43041</v>
      </c>
      <c r="B556">
        <v>775.3</v>
      </c>
      <c r="C556">
        <v>763.7</v>
      </c>
      <c r="D556">
        <v>2878</v>
      </c>
      <c r="E556">
        <v>2891</v>
      </c>
      <c r="F556">
        <v>0.26416464891041103</v>
      </c>
      <c r="G556">
        <v>0.27345162079928997</v>
      </c>
      <c r="H556">
        <v>7.7974954331930402E-3</v>
      </c>
      <c r="I556">
        <v>-1.1910198561124099</v>
      </c>
      <c r="J556">
        <v>-3.52</v>
      </c>
    </row>
    <row r="557" spans="1:10">
      <c r="A557" s="19">
        <v>43040</v>
      </c>
      <c r="B557">
        <v>764</v>
      </c>
      <c r="C557">
        <v>774.7</v>
      </c>
      <c r="D557">
        <v>2898</v>
      </c>
      <c r="E557">
        <v>2882</v>
      </c>
      <c r="F557">
        <v>0.26880638445523902</v>
      </c>
      <c r="G557">
        <v>0.27380201690793199</v>
      </c>
      <c r="H557">
        <v>7.9610443691281191E-3</v>
      </c>
      <c r="I557">
        <v>-0.62750968604896395</v>
      </c>
      <c r="J557">
        <v>-1.86</v>
      </c>
    </row>
    <row r="558" spans="1:10">
      <c r="A558" s="19">
        <v>43039</v>
      </c>
      <c r="B558">
        <v>761</v>
      </c>
      <c r="C558">
        <v>756.7</v>
      </c>
      <c r="D558">
        <v>2888</v>
      </c>
      <c r="E558">
        <v>2896</v>
      </c>
      <c r="F558">
        <v>0.26129143646408798</v>
      </c>
      <c r="G558">
        <v>0.27408107166869</v>
      </c>
      <c r="H558">
        <v>8.1457113140897802E-3</v>
      </c>
      <c r="I558">
        <v>-1.5701066133388899</v>
      </c>
      <c r="J558">
        <v>-4.8899999999999997</v>
      </c>
    </row>
    <row r="559" spans="1:10">
      <c r="A559" s="19">
        <v>43038</v>
      </c>
      <c r="B559">
        <v>770.5</v>
      </c>
      <c r="C559">
        <v>769.1</v>
      </c>
      <c r="D559">
        <v>2906</v>
      </c>
      <c r="E559">
        <v>2893</v>
      </c>
      <c r="F559">
        <v>0.26584860006913202</v>
      </c>
      <c r="G559">
        <v>0.27450583271385498</v>
      </c>
      <c r="H559">
        <v>8.29691262730692E-3</v>
      </c>
      <c r="I559">
        <v>-1.0434282043937899</v>
      </c>
      <c r="J559">
        <v>-3.26</v>
      </c>
    </row>
    <row r="560" spans="1:10">
      <c r="A560" s="19">
        <v>43035</v>
      </c>
      <c r="B560">
        <v>766.5</v>
      </c>
      <c r="C560">
        <v>772</v>
      </c>
      <c r="D560">
        <v>2914</v>
      </c>
      <c r="E560">
        <v>2919</v>
      </c>
      <c r="F560">
        <v>0.26447413497773198</v>
      </c>
      <c r="G560">
        <v>0.27483019971619499</v>
      </c>
      <c r="H560">
        <v>8.4266452640076595E-3</v>
      </c>
      <c r="I560">
        <v>-1.22896650019154</v>
      </c>
      <c r="J560">
        <v>-3.92</v>
      </c>
    </row>
    <row r="561" spans="1:10">
      <c r="A561" s="19">
        <v>43034</v>
      </c>
      <c r="B561">
        <v>764.3</v>
      </c>
      <c r="C561">
        <v>766.2</v>
      </c>
      <c r="D561">
        <v>2878</v>
      </c>
      <c r="E561">
        <v>2900</v>
      </c>
      <c r="F561">
        <v>0.26420689655172402</v>
      </c>
      <c r="G561">
        <v>0.27518681754903801</v>
      </c>
      <c r="H561">
        <v>8.5459394042851702E-3</v>
      </c>
      <c r="I561">
        <v>-1.2848114733657401</v>
      </c>
      <c r="J561">
        <v>-4.16</v>
      </c>
    </row>
    <row r="562" spans="1:10">
      <c r="A562" s="19">
        <v>43033</v>
      </c>
      <c r="B562">
        <v>770</v>
      </c>
      <c r="C562">
        <v>766.9</v>
      </c>
      <c r="D562">
        <v>2892</v>
      </c>
      <c r="E562">
        <v>2878</v>
      </c>
      <c r="F562">
        <v>0.26646977067407901</v>
      </c>
      <c r="G562">
        <v>0.27554900770691398</v>
      </c>
      <c r="H562">
        <v>8.6479412715951397E-3</v>
      </c>
      <c r="I562">
        <v>-1.0498726515010499</v>
      </c>
      <c r="J562">
        <v>-3.41</v>
      </c>
    </row>
    <row r="563" spans="1:10">
      <c r="A563" s="19">
        <v>43032</v>
      </c>
      <c r="B563">
        <v>754.4</v>
      </c>
      <c r="C563">
        <v>767</v>
      </c>
      <c r="D563">
        <v>2862</v>
      </c>
      <c r="E563">
        <v>2900</v>
      </c>
      <c r="F563">
        <v>0.26448275862068898</v>
      </c>
      <c r="G563">
        <v>0.27584671495402802</v>
      </c>
      <c r="H563">
        <v>8.7143312812811395E-3</v>
      </c>
      <c r="I563">
        <v>-1.30405374394582</v>
      </c>
      <c r="J563">
        <v>-4.3</v>
      </c>
    </row>
    <row r="564" spans="1:10">
      <c r="A564" s="19">
        <v>43031</v>
      </c>
      <c r="B564">
        <v>751</v>
      </c>
      <c r="C564">
        <v>754.3</v>
      </c>
      <c r="D564">
        <v>2857</v>
      </c>
      <c r="E564">
        <v>2862</v>
      </c>
      <c r="F564">
        <v>0.26355695317959399</v>
      </c>
      <c r="G564">
        <v>0.276212127702199</v>
      </c>
      <c r="H564">
        <v>8.8042864512191503E-3</v>
      </c>
      <c r="I564">
        <v>-1.4373878670034399</v>
      </c>
      <c r="J564">
        <v>-4.8</v>
      </c>
    </row>
    <row r="565" spans="1:10">
      <c r="A565" s="19">
        <v>43028</v>
      </c>
      <c r="B565">
        <v>739.2</v>
      </c>
      <c r="C565">
        <v>743.4</v>
      </c>
      <c r="D565">
        <v>2826</v>
      </c>
      <c r="E565">
        <v>2848</v>
      </c>
      <c r="F565">
        <v>0.261025280898876</v>
      </c>
      <c r="G565">
        <v>0.27654258376726398</v>
      </c>
      <c r="H565">
        <v>8.78819612740004E-3</v>
      </c>
      <c r="I565">
        <v>-1.7656982893233599</v>
      </c>
      <c r="J565">
        <v>-5.94</v>
      </c>
    </row>
    <row r="566" spans="1:10">
      <c r="A566" s="19">
        <v>43027</v>
      </c>
      <c r="B566">
        <v>743.5</v>
      </c>
      <c r="C566">
        <v>743</v>
      </c>
      <c r="D566">
        <v>2823</v>
      </c>
      <c r="E566">
        <v>2840</v>
      </c>
      <c r="F566">
        <v>0.26161971830985897</v>
      </c>
      <c r="G566">
        <v>0.27684028437542202</v>
      </c>
      <c r="H566">
        <v>8.6343308036634595E-3</v>
      </c>
      <c r="I566">
        <v>-1.76279626199932</v>
      </c>
      <c r="J566">
        <v>-5.82</v>
      </c>
    </row>
    <row r="567" spans="1:10">
      <c r="A567" s="19">
        <v>43026</v>
      </c>
      <c r="B567">
        <v>749.9</v>
      </c>
      <c r="C567">
        <v>743.4</v>
      </c>
      <c r="D567">
        <v>2841</v>
      </c>
      <c r="E567">
        <v>2828</v>
      </c>
      <c r="F567">
        <v>0.26287128712871199</v>
      </c>
      <c r="G567">
        <v>0.27707980780258001</v>
      </c>
      <c r="H567">
        <v>8.4561098072417108E-3</v>
      </c>
      <c r="I567">
        <v>-1.6802668127251099</v>
      </c>
      <c r="J567">
        <v>-5.41</v>
      </c>
    </row>
    <row r="568" spans="1:10">
      <c r="A568" s="19">
        <v>43025</v>
      </c>
      <c r="B568">
        <v>748.1</v>
      </c>
      <c r="C568">
        <v>748</v>
      </c>
      <c r="D568">
        <v>2841</v>
      </c>
      <c r="E568">
        <v>2845</v>
      </c>
      <c r="F568">
        <v>0.26291739894551802</v>
      </c>
      <c r="G568">
        <v>0.27727229320496599</v>
      </c>
      <c r="H568">
        <v>8.2932306168004895E-3</v>
      </c>
      <c r="I568">
        <v>-1.7309170482209999</v>
      </c>
      <c r="J568">
        <v>-5.46</v>
      </c>
    </row>
    <row r="569" spans="1:10">
      <c r="A569" s="19">
        <v>43024</v>
      </c>
      <c r="B569">
        <v>737.9</v>
      </c>
      <c r="C569">
        <v>742.9</v>
      </c>
      <c r="D569">
        <v>2798</v>
      </c>
      <c r="E569">
        <v>2834</v>
      </c>
      <c r="F569">
        <v>0.26213832039520102</v>
      </c>
      <c r="G569">
        <v>0.27746784158680599</v>
      </c>
      <c r="H569">
        <v>8.1236211093930494E-3</v>
      </c>
      <c r="I569">
        <v>-1.8870305477296101</v>
      </c>
      <c r="J569">
        <v>-5.85</v>
      </c>
    </row>
    <row r="570" spans="1:10">
      <c r="A570" s="19">
        <v>43021</v>
      </c>
      <c r="B570">
        <v>730.7</v>
      </c>
      <c r="C570">
        <v>732.6</v>
      </c>
      <c r="D570">
        <v>2787</v>
      </c>
      <c r="E570">
        <v>2806</v>
      </c>
      <c r="F570">
        <v>0.26108339272986397</v>
      </c>
      <c r="G570">
        <v>0.27758486946628003</v>
      </c>
      <c r="H570">
        <v>7.9635875100772108E-3</v>
      </c>
      <c r="I570">
        <v>-2.07211595471701</v>
      </c>
      <c r="J570">
        <v>-6.32</v>
      </c>
    </row>
    <row r="571" spans="1:10">
      <c r="A571" s="19">
        <v>43020</v>
      </c>
      <c r="B571">
        <v>736</v>
      </c>
      <c r="C571">
        <v>735.2</v>
      </c>
      <c r="D571">
        <v>2785</v>
      </c>
      <c r="E571">
        <v>2791</v>
      </c>
      <c r="F571">
        <v>0.26341812970261502</v>
      </c>
      <c r="G571">
        <v>0.277652285651659</v>
      </c>
      <c r="H571">
        <v>7.8441136218868699E-3</v>
      </c>
      <c r="I571">
        <v>-1.81462898616446</v>
      </c>
      <c r="J571">
        <v>-5.4</v>
      </c>
    </row>
    <row r="572" spans="1:10">
      <c r="A572" s="19">
        <v>43019</v>
      </c>
      <c r="B572">
        <v>732.6</v>
      </c>
      <c r="C572">
        <v>732.3</v>
      </c>
      <c r="D572">
        <v>2753</v>
      </c>
      <c r="E572">
        <v>2774</v>
      </c>
      <c r="F572">
        <v>0.26398702235039601</v>
      </c>
      <c r="G572">
        <v>0.27769320539465198</v>
      </c>
      <c r="H572">
        <v>7.7774745247983501E-3</v>
      </c>
      <c r="I572">
        <v>-1.76229224545237</v>
      </c>
      <c r="J572">
        <v>-5.19</v>
      </c>
    </row>
    <row r="573" spans="1:10">
      <c r="A573" s="19">
        <v>43018</v>
      </c>
      <c r="B573">
        <v>741.1</v>
      </c>
      <c r="C573">
        <v>732.6</v>
      </c>
      <c r="D573">
        <v>2755</v>
      </c>
      <c r="E573">
        <v>2755</v>
      </c>
      <c r="F573">
        <v>0.26591651542649702</v>
      </c>
      <c r="G573">
        <v>0.27771800642332101</v>
      </c>
      <c r="H573">
        <v>7.7365865756381502E-3</v>
      </c>
      <c r="I573">
        <v>-1.52541316269705</v>
      </c>
      <c r="J573">
        <v>-4.4400000000000004</v>
      </c>
    </row>
    <row r="574" spans="1:10">
      <c r="A574" s="19">
        <v>43014</v>
      </c>
      <c r="B574">
        <v>764</v>
      </c>
      <c r="C574">
        <v>761.6</v>
      </c>
      <c r="D574">
        <v>2804</v>
      </c>
      <c r="E574">
        <v>2775</v>
      </c>
      <c r="F574">
        <v>0.27445045045045002</v>
      </c>
      <c r="G574">
        <v>0.27774634134485099</v>
      </c>
      <c r="H574">
        <v>7.69710305343902E-3</v>
      </c>
      <c r="I574">
        <v>-0.42819887839854798</v>
      </c>
      <c r="J574">
        <v>-1.2</v>
      </c>
    </row>
    <row r="575" spans="1:10">
      <c r="A575" s="19">
        <v>43013</v>
      </c>
      <c r="B575">
        <v>767</v>
      </c>
      <c r="C575">
        <v>764.6</v>
      </c>
      <c r="D575">
        <v>2829</v>
      </c>
      <c r="E575">
        <v>2804</v>
      </c>
      <c r="F575">
        <v>0.272681883024251</v>
      </c>
      <c r="G575">
        <v>0.27763505926522503</v>
      </c>
      <c r="H575">
        <v>7.8035464048947702E-3</v>
      </c>
      <c r="I575">
        <v>-0.634734002205398</v>
      </c>
      <c r="J575">
        <v>-1.82</v>
      </c>
    </row>
    <row r="576" spans="1:10">
      <c r="A576" s="19">
        <v>43012</v>
      </c>
      <c r="B576">
        <v>769.5</v>
      </c>
      <c r="C576">
        <v>767.6</v>
      </c>
      <c r="D576">
        <v>2830</v>
      </c>
      <c r="E576">
        <v>2840</v>
      </c>
      <c r="F576">
        <v>0.27028169014084502</v>
      </c>
      <c r="G576">
        <v>0.27754032646592702</v>
      </c>
      <c r="H576">
        <v>7.9055607920144808E-3</v>
      </c>
      <c r="I576">
        <v>-0.91816842802786602</v>
      </c>
      <c r="J576">
        <v>-2.69</v>
      </c>
    </row>
    <row r="577" spans="1:10">
      <c r="A577" s="19">
        <v>43011</v>
      </c>
      <c r="B577">
        <v>767.8</v>
      </c>
      <c r="C577">
        <v>772.4</v>
      </c>
      <c r="D577">
        <v>2824</v>
      </c>
      <c r="E577">
        <v>2825</v>
      </c>
      <c r="F577">
        <v>0.27341592920353902</v>
      </c>
      <c r="G577">
        <v>0.27754554246306401</v>
      </c>
      <c r="H577">
        <v>7.9008975866033098E-3</v>
      </c>
      <c r="I577">
        <v>-0.52267646988955296</v>
      </c>
      <c r="J577">
        <v>-1.51</v>
      </c>
    </row>
    <row r="578" spans="1:10">
      <c r="A578" s="19">
        <v>43010</v>
      </c>
      <c r="B578">
        <v>768.8</v>
      </c>
      <c r="C578">
        <v>768</v>
      </c>
      <c r="D578">
        <v>2764</v>
      </c>
      <c r="E578">
        <v>2797</v>
      </c>
      <c r="F578">
        <v>0.27457990704326002</v>
      </c>
      <c r="G578">
        <v>0.27754620136081198</v>
      </c>
      <c r="H578">
        <v>7.9005552219487008E-3</v>
      </c>
      <c r="I578">
        <v>-0.37545390598768202</v>
      </c>
      <c r="J578">
        <v>-1.08</v>
      </c>
    </row>
    <row r="579" spans="1:10">
      <c r="A579" s="19">
        <v>43007</v>
      </c>
      <c r="B579">
        <v>766.8</v>
      </c>
      <c r="C579">
        <v>768.5</v>
      </c>
      <c r="D579">
        <v>2750</v>
      </c>
      <c r="E579">
        <v>2782</v>
      </c>
      <c r="F579">
        <v>0.27624011502516099</v>
      </c>
      <c r="G579">
        <v>0.27761168601306002</v>
      </c>
      <c r="H579">
        <v>7.89605021815863E-3</v>
      </c>
      <c r="I579">
        <v>-0.17370342766367899</v>
      </c>
      <c r="J579">
        <v>-0.5</v>
      </c>
    </row>
    <row r="580" spans="1:10">
      <c r="A580" s="19">
        <v>43006</v>
      </c>
      <c r="B580">
        <v>759.4</v>
      </c>
      <c r="C580">
        <v>767.9</v>
      </c>
      <c r="D580">
        <v>2756</v>
      </c>
      <c r="E580">
        <v>2769</v>
      </c>
      <c r="F580">
        <v>0.27732033224990899</v>
      </c>
      <c r="G580">
        <v>0.27766690121224802</v>
      </c>
      <c r="H580">
        <v>7.9007437033148595E-3</v>
      </c>
      <c r="I580">
        <v>-4.38653594336052E-2</v>
      </c>
      <c r="J580">
        <v>-0.12</v>
      </c>
    </row>
    <row r="581" spans="1:10">
      <c r="A581" s="19">
        <v>43005</v>
      </c>
      <c r="B581">
        <v>753.9</v>
      </c>
      <c r="C581">
        <v>755.6</v>
      </c>
      <c r="D581">
        <v>2785</v>
      </c>
      <c r="E581">
        <v>2757</v>
      </c>
      <c r="F581">
        <v>0.27406601378309697</v>
      </c>
      <c r="G581">
        <v>0.277691031286107</v>
      </c>
      <c r="H581">
        <v>7.9024118388324998E-3</v>
      </c>
      <c r="I581">
        <v>-0.45872292876410897</v>
      </c>
      <c r="J581">
        <v>-1.32</v>
      </c>
    </row>
    <row r="582" spans="1:10">
      <c r="A582" s="19">
        <v>43004</v>
      </c>
      <c r="B582">
        <v>767.7</v>
      </c>
      <c r="C582">
        <v>768.2</v>
      </c>
      <c r="D582">
        <v>2741</v>
      </c>
      <c r="E582">
        <v>2780</v>
      </c>
      <c r="F582">
        <v>0.27633093525179803</v>
      </c>
      <c r="G582">
        <v>0.27768977851417498</v>
      </c>
      <c r="H582">
        <v>7.9029938408969394E-3</v>
      </c>
      <c r="I582">
        <v>-0.17194031650953501</v>
      </c>
      <c r="J582">
        <v>-0.49</v>
      </c>
    </row>
    <row r="583" spans="1:10">
      <c r="A583" s="19">
        <v>43003</v>
      </c>
      <c r="B583">
        <v>768.7</v>
      </c>
      <c r="C583">
        <v>768.7</v>
      </c>
      <c r="D583">
        <v>2742</v>
      </c>
      <c r="E583">
        <v>2744</v>
      </c>
      <c r="F583">
        <v>0.28013848396501401</v>
      </c>
      <c r="G583">
        <v>0.27757327708465901</v>
      </c>
      <c r="H583">
        <v>7.9861315517729802E-3</v>
      </c>
      <c r="I583">
        <v>0.321207691574457</v>
      </c>
      <c r="J583">
        <v>0.92</v>
      </c>
    </row>
    <row r="584" spans="1:10">
      <c r="A584" s="19">
        <v>43000</v>
      </c>
      <c r="B584">
        <v>765.5</v>
      </c>
      <c r="C584">
        <v>765</v>
      </c>
      <c r="D584">
        <v>2713</v>
      </c>
      <c r="E584">
        <v>2727</v>
      </c>
      <c r="F584">
        <v>0.28052805280527998</v>
      </c>
      <c r="G584">
        <v>0.27738128297727799</v>
      </c>
      <c r="H584">
        <v>8.0945077990980507E-3</v>
      </c>
      <c r="I584">
        <v>0.38875369646971702</v>
      </c>
      <c r="J584">
        <v>1.1200000000000001</v>
      </c>
    </row>
    <row r="585" spans="1:10">
      <c r="A585" s="19">
        <v>42999</v>
      </c>
      <c r="B585">
        <v>753</v>
      </c>
      <c r="C585">
        <v>765.5</v>
      </c>
      <c r="D585">
        <v>2678</v>
      </c>
      <c r="E585">
        <v>2725</v>
      </c>
      <c r="F585">
        <v>0.28091743119265999</v>
      </c>
      <c r="G585">
        <v>0.27717691312945197</v>
      </c>
      <c r="H585">
        <v>8.2052182990880497E-3</v>
      </c>
      <c r="I585">
        <v>0.455870633402082</v>
      </c>
      <c r="J585">
        <v>1.33</v>
      </c>
    </row>
    <row r="586" spans="1:10">
      <c r="A586" s="19">
        <v>42998</v>
      </c>
      <c r="B586">
        <v>744.2</v>
      </c>
      <c r="C586">
        <v>750.3</v>
      </c>
      <c r="D586">
        <v>2667</v>
      </c>
      <c r="E586">
        <v>2678</v>
      </c>
      <c r="F586">
        <v>0.28017176997759502</v>
      </c>
      <c r="G586">
        <v>0.27698396188650998</v>
      </c>
      <c r="H586">
        <v>8.2847550112194399E-3</v>
      </c>
      <c r="I586">
        <v>0.38478000698484</v>
      </c>
      <c r="J586">
        <v>1.1399999999999999</v>
      </c>
    </row>
    <row r="587" spans="1:10">
      <c r="A587" s="19">
        <v>42997</v>
      </c>
      <c r="B587">
        <v>742.8</v>
      </c>
      <c r="C587">
        <v>742.9</v>
      </c>
      <c r="D587">
        <v>2631</v>
      </c>
      <c r="E587">
        <v>2670</v>
      </c>
      <c r="F587">
        <v>0.278239700374531</v>
      </c>
      <c r="G587">
        <v>0.27690119207883401</v>
      </c>
      <c r="H587">
        <v>8.2835028405472497E-3</v>
      </c>
      <c r="I587">
        <v>0.161587232051841</v>
      </c>
      <c r="J587">
        <v>0.48</v>
      </c>
    </row>
    <row r="588" spans="1:10">
      <c r="A588" s="19">
        <v>42993</v>
      </c>
      <c r="B588">
        <v>734.6</v>
      </c>
      <c r="C588">
        <v>737.9</v>
      </c>
      <c r="D588">
        <v>2630</v>
      </c>
      <c r="E588">
        <v>2615</v>
      </c>
      <c r="F588">
        <v>0.28217973231357502</v>
      </c>
      <c r="G588">
        <v>0.276861471080523</v>
      </c>
      <c r="H588">
        <v>8.2841317956774494E-3</v>
      </c>
      <c r="I588">
        <v>0.64198172653738805</v>
      </c>
      <c r="J588">
        <v>1.88</v>
      </c>
    </row>
    <row r="589" spans="1:10">
      <c r="A589" s="19">
        <v>42992</v>
      </c>
      <c r="B589">
        <v>733.1</v>
      </c>
      <c r="C589">
        <v>731.9</v>
      </c>
      <c r="D589">
        <v>2600</v>
      </c>
      <c r="E589">
        <v>2617</v>
      </c>
      <c r="F589">
        <v>0.27967137944210901</v>
      </c>
      <c r="G589">
        <v>0.27683831204204901</v>
      </c>
      <c r="H589">
        <v>8.2716502110400398E-3</v>
      </c>
      <c r="I589">
        <v>0.342503288676132</v>
      </c>
      <c r="J589">
        <v>1.01</v>
      </c>
    </row>
    <row r="590" spans="1:10">
      <c r="A590" s="19">
        <v>42991</v>
      </c>
      <c r="B590">
        <v>738</v>
      </c>
      <c r="C590">
        <v>732.5</v>
      </c>
      <c r="D590">
        <v>2625</v>
      </c>
      <c r="E590">
        <v>2616</v>
      </c>
      <c r="F590">
        <v>0.28000764525993799</v>
      </c>
      <c r="G590">
        <v>0.276844771003594</v>
      </c>
      <c r="H590">
        <v>8.2740486888957798E-3</v>
      </c>
      <c r="I590">
        <v>0.38226439984437999</v>
      </c>
      <c r="J590">
        <v>1.1299999999999999</v>
      </c>
    </row>
    <row r="591" spans="1:10">
      <c r="A591" s="19">
        <v>42990</v>
      </c>
      <c r="B591">
        <v>726</v>
      </c>
      <c r="C591">
        <v>735.9</v>
      </c>
      <c r="D591">
        <v>2600</v>
      </c>
      <c r="E591">
        <v>2615</v>
      </c>
      <c r="F591">
        <v>0.281414913957935</v>
      </c>
      <c r="G591">
        <v>0.27684554589923799</v>
      </c>
      <c r="H591">
        <v>8.2743475836747505E-3</v>
      </c>
      <c r="I591">
        <v>0.55223303257308698</v>
      </c>
      <c r="J591">
        <v>1.62</v>
      </c>
    </row>
    <row r="592" spans="1:10">
      <c r="A592" s="19">
        <v>42989</v>
      </c>
      <c r="B592">
        <v>720</v>
      </c>
      <c r="C592">
        <v>722.3</v>
      </c>
      <c r="D592">
        <v>2609</v>
      </c>
      <c r="E592">
        <v>2586</v>
      </c>
      <c r="F592">
        <v>0.27931167826759401</v>
      </c>
      <c r="G592">
        <v>0.27686277888027999</v>
      </c>
      <c r="H592">
        <v>8.2851850793305305E-3</v>
      </c>
      <c r="I592">
        <v>0.29557570094882202</v>
      </c>
      <c r="J592">
        <v>0.88</v>
      </c>
    </row>
    <row r="593" spans="1:10">
      <c r="A593" s="19">
        <v>42986</v>
      </c>
      <c r="B593">
        <v>725</v>
      </c>
      <c r="C593">
        <v>716.3</v>
      </c>
      <c r="D593">
        <v>2541</v>
      </c>
      <c r="E593">
        <v>2582</v>
      </c>
      <c r="F593">
        <v>0.27742060418280401</v>
      </c>
      <c r="G593">
        <v>0.27691075431758699</v>
      </c>
      <c r="H593">
        <v>8.3096081368547996E-3</v>
      </c>
      <c r="I593">
        <v>6.13566677055985E-2</v>
      </c>
      <c r="J593">
        <v>0.18</v>
      </c>
    </row>
    <row r="594" spans="1:10">
      <c r="A594" s="19">
        <v>42985</v>
      </c>
      <c r="B594">
        <v>720</v>
      </c>
      <c r="C594">
        <v>720.4</v>
      </c>
      <c r="D594">
        <v>2524</v>
      </c>
      <c r="E594">
        <v>2557</v>
      </c>
      <c r="F594">
        <v>0.28173640985529902</v>
      </c>
      <c r="G594">
        <v>0.27701092992627502</v>
      </c>
      <c r="H594">
        <v>8.3602833516508608E-3</v>
      </c>
      <c r="I594">
        <v>0.56522963759241196</v>
      </c>
      <c r="J594">
        <v>1.68</v>
      </c>
    </row>
    <row r="595" spans="1:10">
      <c r="A595" s="19">
        <v>42984</v>
      </c>
      <c r="B595">
        <v>709.9</v>
      </c>
      <c r="C595">
        <v>717.5</v>
      </c>
      <c r="D595">
        <v>2500</v>
      </c>
      <c r="E595">
        <v>2517</v>
      </c>
      <c r="F595">
        <v>0.28506158124751602</v>
      </c>
      <c r="G595">
        <v>0.27703806287344201</v>
      </c>
      <c r="H595">
        <v>8.3788572418447699E-3</v>
      </c>
      <c r="I595">
        <v>0.957591010621895</v>
      </c>
      <c r="J595">
        <v>2.81</v>
      </c>
    </row>
    <row r="596" spans="1:10">
      <c r="A596" s="19">
        <v>42983</v>
      </c>
      <c r="B596">
        <v>714.4</v>
      </c>
      <c r="C596">
        <v>711.5</v>
      </c>
      <c r="D596">
        <v>2528</v>
      </c>
      <c r="E596">
        <v>2507</v>
      </c>
      <c r="F596">
        <v>0.28380534503390498</v>
      </c>
      <c r="G596">
        <v>0.27703143266151098</v>
      </c>
      <c r="H596">
        <v>8.3727000688708104E-3</v>
      </c>
      <c r="I596">
        <v>0.809047537434056</v>
      </c>
      <c r="J596">
        <v>2.39</v>
      </c>
    </row>
    <row r="597" spans="1:10">
      <c r="A597" s="19">
        <v>42982</v>
      </c>
      <c r="B597">
        <v>716.6</v>
      </c>
      <c r="C597">
        <v>714.7</v>
      </c>
      <c r="D597">
        <v>2560</v>
      </c>
      <c r="E597">
        <v>2520</v>
      </c>
      <c r="F597">
        <v>0.28361111111111098</v>
      </c>
      <c r="G597">
        <v>0.27707756320371701</v>
      </c>
      <c r="H597">
        <v>8.4192962257456892E-3</v>
      </c>
      <c r="I597">
        <v>0.77602067111197504</v>
      </c>
      <c r="J597">
        <v>2.2999999999999998</v>
      </c>
    </row>
    <row r="598" spans="1:10">
      <c r="A598" s="19">
        <v>42979</v>
      </c>
      <c r="B598">
        <v>715.9</v>
      </c>
      <c r="C598">
        <v>717</v>
      </c>
      <c r="D598">
        <v>2587</v>
      </c>
      <c r="E598">
        <v>2571</v>
      </c>
      <c r="F598">
        <v>0.27887981330221701</v>
      </c>
      <c r="G598">
        <v>0.27712920715536099</v>
      </c>
      <c r="H598">
        <v>8.4709356410083304E-3</v>
      </c>
      <c r="I598">
        <v>0.206660305430823</v>
      </c>
      <c r="J598">
        <v>0.63</v>
      </c>
    </row>
    <row r="599" spans="1:10">
      <c r="A599" s="19">
        <v>42978</v>
      </c>
      <c r="B599">
        <v>707.8</v>
      </c>
      <c r="C599">
        <v>715.4</v>
      </c>
      <c r="D599">
        <v>2579</v>
      </c>
      <c r="E599">
        <v>2586</v>
      </c>
      <c r="F599">
        <v>0.27664346481051799</v>
      </c>
      <c r="G599">
        <v>0.27729572538654701</v>
      </c>
      <c r="H599">
        <v>8.6250601209352899E-3</v>
      </c>
      <c r="I599">
        <v>-7.5623887472535206E-2</v>
      </c>
      <c r="J599">
        <v>-0.24</v>
      </c>
    </row>
    <row r="600" spans="1:10">
      <c r="A600" s="19">
        <v>42977</v>
      </c>
      <c r="B600">
        <v>704.5</v>
      </c>
      <c r="C600">
        <v>705.6</v>
      </c>
      <c r="D600">
        <v>2589</v>
      </c>
      <c r="E600">
        <v>2591</v>
      </c>
      <c r="F600">
        <v>0.27232728676186801</v>
      </c>
      <c r="G600">
        <v>0.27752565829763298</v>
      </c>
      <c r="H600">
        <v>8.8319888117058196E-3</v>
      </c>
      <c r="I600">
        <v>-0.58858447928229896</v>
      </c>
      <c r="J600">
        <v>-1.91</v>
      </c>
    </row>
    <row r="601" spans="1:10">
      <c r="A601" s="19">
        <v>42976</v>
      </c>
      <c r="B601">
        <v>700</v>
      </c>
      <c r="C601">
        <v>701.5</v>
      </c>
      <c r="D601">
        <v>2567</v>
      </c>
      <c r="E601">
        <v>2576</v>
      </c>
      <c r="F601">
        <v>0.27232142857142799</v>
      </c>
      <c r="G601">
        <v>0.27779409216676598</v>
      </c>
      <c r="H601">
        <v>8.9747082022903196E-3</v>
      </c>
      <c r="I601">
        <v>-0.60978735709100096</v>
      </c>
      <c r="J601">
        <v>-2.0099999999999998</v>
      </c>
    </row>
    <row r="602" spans="1:10">
      <c r="A602" s="19">
        <v>42975</v>
      </c>
      <c r="B602">
        <v>700</v>
      </c>
      <c r="C602">
        <v>704</v>
      </c>
      <c r="D602">
        <v>2582</v>
      </c>
      <c r="E602">
        <v>2590</v>
      </c>
      <c r="F602">
        <v>0.27181467181467101</v>
      </c>
      <c r="G602">
        <v>0.27816760656414902</v>
      </c>
      <c r="H602">
        <v>9.3156380565360096E-3</v>
      </c>
      <c r="I602">
        <v>-0.68196453221158304</v>
      </c>
      <c r="J602">
        <v>-2.34</v>
      </c>
    </row>
    <row r="603" spans="1:10">
      <c r="A603" s="19">
        <v>42972</v>
      </c>
      <c r="B603">
        <v>690.3</v>
      </c>
      <c r="C603">
        <v>695.2</v>
      </c>
      <c r="D603">
        <v>2574</v>
      </c>
      <c r="E603">
        <v>2571</v>
      </c>
      <c r="F603">
        <v>0.27040062232594297</v>
      </c>
      <c r="G603">
        <v>0.27848874372661497</v>
      </c>
      <c r="H603">
        <v>9.5043325504449005E-3</v>
      </c>
      <c r="I603">
        <v>-0.85099309791023803</v>
      </c>
      <c r="J603">
        <v>-2.99</v>
      </c>
    </row>
    <row r="604" spans="1:10">
      <c r="A604" s="19">
        <v>42971</v>
      </c>
      <c r="B604">
        <v>695</v>
      </c>
      <c r="C604">
        <v>688.5</v>
      </c>
      <c r="D604">
        <v>2584</v>
      </c>
      <c r="E604">
        <v>2564</v>
      </c>
      <c r="F604">
        <v>0.268525741029641</v>
      </c>
      <c r="G604">
        <v>0.27882834622206698</v>
      </c>
      <c r="H604">
        <v>9.6629837043721092E-3</v>
      </c>
      <c r="I604">
        <v>-1.06619295940292</v>
      </c>
      <c r="J604">
        <v>-3.84</v>
      </c>
    </row>
    <row r="605" spans="1:10">
      <c r="A605" s="19">
        <v>42970</v>
      </c>
      <c r="B605">
        <v>704</v>
      </c>
      <c r="C605">
        <v>697</v>
      </c>
      <c r="D605">
        <v>2622</v>
      </c>
      <c r="E605">
        <v>2595</v>
      </c>
      <c r="F605">
        <v>0.26859344894026899</v>
      </c>
      <c r="G605">
        <v>0.279041293051629</v>
      </c>
      <c r="H605">
        <v>9.6094260968780394E-3</v>
      </c>
      <c r="I605">
        <v>-1.0872495408184499</v>
      </c>
      <c r="J605">
        <v>-3.89</v>
      </c>
    </row>
    <row r="606" spans="1:10">
      <c r="A606" s="19">
        <v>42969</v>
      </c>
      <c r="B606">
        <v>698.9</v>
      </c>
      <c r="C606">
        <v>697.3</v>
      </c>
      <c r="D606">
        <v>2558</v>
      </c>
      <c r="E606">
        <v>2588</v>
      </c>
      <c r="F606">
        <v>0.26943585780525497</v>
      </c>
      <c r="G606">
        <v>0.27924736150570501</v>
      </c>
      <c r="H606">
        <v>9.54868991627013E-3</v>
      </c>
      <c r="I606">
        <v>-1.0275235436991299</v>
      </c>
      <c r="J606">
        <v>-3.64</v>
      </c>
    </row>
    <row r="607" spans="1:10">
      <c r="A607" s="19">
        <v>42968</v>
      </c>
      <c r="B607">
        <v>694.8</v>
      </c>
      <c r="C607">
        <v>694.4</v>
      </c>
      <c r="D607">
        <v>2556</v>
      </c>
      <c r="E607">
        <v>2558</v>
      </c>
      <c r="F607">
        <v>0.27146207974980402</v>
      </c>
      <c r="G607">
        <v>0.27950809441080898</v>
      </c>
      <c r="H607">
        <v>9.5442001932096801E-3</v>
      </c>
      <c r="I607">
        <v>-0.84302660234738902</v>
      </c>
      <c r="J607">
        <v>-2.96</v>
      </c>
    </row>
    <row r="608" spans="1:10">
      <c r="A608" s="19">
        <v>42965</v>
      </c>
      <c r="B608">
        <v>688</v>
      </c>
      <c r="C608">
        <v>694</v>
      </c>
      <c r="D608">
        <v>2527</v>
      </c>
      <c r="E608">
        <v>2553</v>
      </c>
      <c r="F608">
        <v>0.27183705444575001</v>
      </c>
      <c r="G608">
        <v>0.27977192633583903</v>
      </c>
      <c r="H608">
        <v>9.5915121497921405E-3</v>
      </c>
      <c r="I608">
        <v>-0.827280596236453</v>
      </c>
      <c r="J608">
        <v>-2.92</v>
      </c>
    </row>
    <row r="609" spans="1:10">
      <c r="A609" s="19">
        <v>42964</v>
      </c>
      <c r="B609">
        <v>693.2</v>
      </c>
      <c r="C609">
        <v>697.5</v>
      </c>
      <c r="D609">
        <v>2569</v>
      </c>
      <c r="E609">
        <v>2556</v>
      </c>
      <c r="F609">
        <v>0.272887323943662</v>
      </c>
      <c r="G609">
        <v>0.28007364420277397</v>
      </c>
      <c r="H609">
        <v>9.6925441318734904E-3</v>
      </c>
      <c r="I609">
        <v>-0.74142765421935397</v>
      </c>
      <c r="J609">
        <v>-2.63</v>
      </c>
    </row>
    <row r="610" spans="1:10">
      <c r="A610" s="19">
        <v>42963</v>
      </c>
      <c r="B610">
        <v>696</v>
      </c>
      <c r="C610">
        <v>692.9</v>
      </c>
      <c r="D610">
        <v>2564</v>
      </c>
      <c r="E610">
        <v>2574</v>
      </c>
      <c r="F610">
        <v>0.26919191919191898</v>
      </c>
      <c r="G610">
        <v>0.28031143520998603</v>
      </c>
      <c r="H610">
        <v>9.7320103140815604E-3</v>
      </c>
      <c r="I610">
        <v>-1.1425713351308</v>
      </c>
      <c r="J610">
        <v>-4.13</v>
      </c>
    </row>
    <row r="611" spans="1:10">
      <c r="A611" s="19">
        <v>42962</v>
      </c>
      <c r="B611">
        <v>688.5</v>
      </c>
      <c r="C611">
        <v>692.9</v>
      </c>
      <c r="D611">
        <v>2557</v>
      </c>
      <c r="E611">
        <v>2563</v>
      </c>
      <c r="F611">
        <v>0.270347249317206</v>
      </c>
      <c r="G611">
        <v>0.28055860694155199</v>
      </c>
      <c r="H611">
        <v>9.6817410984901403E-3</v>
      </c>
      <c r="I611">
        <v>-1.0547026119030301</v>
      </c>
      <c r="J611">
        <v>-3.78</v>
      </c>
    </row>
    <row r="612" spans="1:10">
      <c r="A612" s="19">
        <v>42961</v>
      </c>
      <c r="B612">
        <v>686.5</v>
      </c>
      <c r="C612">
        <v>682</v>
      </c>
      <c r="D612">
        <v>2565</v>
      </c>
      <c r="E612">
        <v>2527</v>
      </c>
      <c r="F612">
        <v>0.26988523941432502</v>
      </c>
      <c r="G612">
        <v>0.28074832142366402</v>
      </c>
      <c r="H612">
        <v>9.6189917933724896E-3</v>
      </c>
      <c r="I612">
        <v>-1.12933686218798</v>
      </c>
      <c r="J612">
        <v>-4.03</v>
      </c>
    </row>
    <row r="613" spans="1:10">
      <c r="A613" s="19">
        <v>42957</v>
      </c>
      <c r="B613">
        <v>695.3</v>
      </c>
      <c r="C613">
        <v>692.2</v>
      </c>
      <c r="D613">
        <v>2557</v>
      </c>
      <c r="E613">
        <v>2573</v>
      </c>
      <c r="F613">
        <v>0.269024485036921</v>
      </c>
      <c r="G613">
        <v>0.28093079982824498</v>
      </c>
      <c r="H613">
        <v>9.5406774715120091E-3</v>
      </c>
      <c r="I613">
        <v>-1.2479527608888501</v>
      </c>
      <c r="J613">
        <v>-4.43</v>
      </c>
    </row>
    <row r="614" spans="1:10">
      <c r="A614" s="19">
        <v>42956</v>
      </c>
      <c r="B614">
        <v>696.2</v>
      </c>
      <c r="C614">
        <v>693.3</v>
      </c>
      <c r="D614">
        <v>2563</v>
      </c>
      <c r="E614">
        <v>2547</v>
      </c>
      <c r="F614">
        <v>0.27220259128386298</v>
      </c>
      <c r="G614">
        <v>0.28117794306469202</v>
      </c>
      <c r="H614">
        <v>9.4688594847449296E-3</v>
      </c>
      <c r="I614">
        <v>-0.94788097714296604</v>
      </c>
      <c r="J614">
        <v>-3.3</v>
      </c>
    </row>
    <row r="615" spans="1:10">
      <c r="A615" s="19">
        <v>42955</v>
      </c>
      <c r="B615">
        <v>700</v>
      </c>
      <c r="C615">
        <v>698.6</v>
      </c>
      <c r="D615">
        <v>2608</v>
      </c>
      <c r="E615">
        <v>2577</v>
      </c>
      <c r="F615">
        <v>0.27109041521148602</v>
      </c>
      <c r="G615">
        <v>0.28136263814060197</v>
      </c>
      <c r="H615">
        <v>9.4269932345216901E-3</v>
      </c>
      <c r="I615">
        <v>-1.08966058143532</v>
      </c>
      <c r="J615">
        <v>-3.79</v>
      </c>
    </row>
    <row r="616" spans="1:10">
      <c r="A616" s="19">
        <v>42954</v>
      </c>
      <c r="B616">
        <v>698.1</v>
      </c>
      <c r="C616">
        <v>697.5</v>
      </c>
      <c r="D616">
        <v>2611</v>
      </c>
      <c r="E616">
        <v>2598</v>
      </c>
      <c r="F616">
        <v>0.268475750577367</v>
      </c>
      <c r="G616">
        <v>0.28155569569287803</v>
      </c>
      <c r="H616">
        <v>9.3626925177419992E-3</v>
      </c>
      <c r="I616">
        <v>-1.3970281615811799</v>
      </c>
      <c r="J616">
        <v>-4.87</v>
      </c>
    </row>
    <row r="617" spans="1:10">
      <c r="A617" s="19">
        <v>42951</v>
      </c>
      <c r="B617">
        <v>701.3</v>
      </c>
      <c r="C617">
        <v>694</v>
      </c>
      <c r="D617">
        <v>2676</v>
      </c>
      <c r="E617">
        <v>2661</v>
      </c>
      <c r="F617">
        <v>0.26080420894400602</v>
      </c>
      <c r="G617">
        <v>0.28177187228805001</v>
      </c>
      <c r="H617">
        <v>9.2446225928256107E-3</v>
      </c>
      <c r="I617">
        <v>-2.26809295171411</v>
      </c>
      <c r="J617">
        <v>-8.0399999999999991</v>
      </c>
    </row>
    <row r="618" spans="1:10">
      <c r="A618" s="19">
        <v>42950</v>
      </c>
      <c r="B618">
        <v>717</v>
      </c>
      <c r="C618">
        <v>705</v>
      </c>
      <c r="D618">
        <v>2638</v>
      </c>
      <c r="E618">
        <v>2676</v>
      </c>
      <c r="F618">
        <v>0.26345291479820598</v>
      </c>
      <c r="G618">
        <v>0.28210866661294998</v>
      </c>
      <c r="H618">
        <v>8.9293514726144999E-3</v>
      </c>
      <c r="I618">
        <v>-2.0892616750454698</v>
      </c>
      <c r="J618">
        <v>-7.08</v>
      </c>
    </row>
    <row r="619" spans="1:10">
      <c r="A619" s="19">
        <v>42949</v>
      </c>
      <c r="B619">
        <v>741</v>
      </c>
      <c r="C619">
        <v>716.3</v>
      </c>
      <c r="D619">
        <v>2649</v>
      </c>
      <c r="E619">
        <v>2648</v>
      </c>
      <c r="F619">
        <v>0.270506042296072</v>
      </c>
      <c r="G619">
        <v>0.28242578564371101</v>
      </c>
      <c r="H619">
        <v>8.6800288795545206E-3</v>
      </c>
      <c r="I619">
        <v>-1.3732377522055701</v>
      </c>
      <c r="J619">
        <v>-4.41</v>
      </c>
    </row>
    <row r="620" spans="1:10">
      <c r="A620" s="19">
        <v>42948</v>
      </c>
      <c r="B620">
        <v>735.3</v>
      </c>
      <c r="C620">
        <v>740.9</v>
      </c>
      <c r="D620">
        <v>2617</v>
      </c>
      <c r="E620">
        <v>2646</v>
      </c>
      <c r="F620">
        <v>0.28000755857898701</v>
      </c>
      <c r="G620">
        <v>0.28265055620539897</v>
      </c>
      <c r="H620">
        <v>8.5862157051148896E-3</v>
      </c>
      <c r="I620">
        <v>-0.30781868487621999</v>
      </c>
      <c r="J620">
        <v>-0.94</v>
      </c>
    </row>
    <row r="621" spans="1:10">
      <c r="A621" s="19">
        <v>42947</v>
      </c>
      <c r="B621">
        <v>730.3</v>
      </c>
      <c r="C621">
        <v>731.3</v>
      </c>
      <c r="D621">
        <v>2604</v>
      </c>
      <c r="E621">
        <v>2610</v>
      </c>
      <c r="F621">
        <v>0.28019157088122598</v>
      </c>
      <c r="G621">
        <v>0.28280773809561799</v>
      </c>
      <c r="H621">
        <v>8.64410158770622E-3</v>
      </c>
      <c r="I621">
        <v>-0.302653455405132</v>
      </c>
      <c r="J621">
        <v>-0.93</v>
      </c>
    </row>
    <row r="622" spans="1:10">
      <c r="A622" s="19">
        <v>42944</v>
      </c>
      <c r="B622">
        <v>730.3</v>
      </c>
      <c r="C622">
        <v>733.5</v>
      </c>
      <c r="D622">
        <v>2574</v>
      </c>
      <c r="E622">
        <v>2608</v>
      </c>
      <c r="F622">
        <v>0.28125</v>
      </c>
      <c r="G622">
        <v>0.28302147120806997</v>
      </c>
      <c r="H622">
        <v>8.7739743300436698E-3</v>
      </c>
      <c r="I622">
        <v>-0.20190066000135301</v>
      </c>
      <c r="J622">
        <v>-0.63</v>
      </c>
    </row>
    <row r="623" spans="1:10">
      <c r="A623" s="19">
        <v>42943</v>
      </c>
      <c r="B623">
        <v>735</v>
      </c>
      <c r="C623">
        <v>731.3</v>
      </c>
      <c r="D623">
        <v>2578</v>
      </c>
      <c r="E623">
        <v>2578</v>
      </c>
      <c r="F623">
        <v>0.28366951124903</v>
      </c>
      <c r="G623">
        <v>0.28320985374979002</v>
      </c>
      <c r="H623">
        <v>8.8848921049493098E-3</v>
      </c>
      <c r="I623">
        <v>5.1734730575205001E-2</v>
      </c>
      <c r="J623">
        <v>0.16</v>
      </c>
    </row>
    <row r="624" spans="1:10">
      <c r="A624" s="19">
        <v>42942</v>
      </c>
      <c r="B624">
        <v>736.1</v>
      </c>
      <c r="C624">
        <v>736.4</v>
      </c>
      <c r="D624">
        <v>2575</v>
      </c>
      <c r="E624">
        <v>2573</v>
      </c>
      <c r="F624">
        <v>0.286202876020209</v>
      </c>
      <c r="G624">
        <v>0.283328679934852</v>
      </c>
      <c r="H624">
        <v>8.9496034223698496E-3</v>
      </c>
      <c r="I624">
        <v>0.32115345783627403</v>
      </c>
      <c r="J624">
        <v>1</v>
      </c>
    </row>
    <row r="625" spans="1:10">
      <c r="A625" s="19">
        <v>42941</v>
      </c>
      <c r="B625">
        <v>730</v>
      </c>
      <c r="C625">
        <v>729.4</v>
      </c>
      <c r="D625">
        <v>2565</v>
      </c>
      <c r="E625">
        <v>2553</v>
      </c>
      <c r="F625">
        <v>0.28570309439874603</v>
      </c>
      <c r="G625">
        <v>0.28342995873159899</v>
      </c>
      <c r="H625">
        <v>9.0242251116421594E-3</v>
      </c>
      <c r="I625">
        <v>0.25189261560137399</v>
      </c>
      <c r="J625">
        <v>0.8</v>
      </c>
    </row>
    <row r="626" spans="1:10">
      <c r="A626" s="19">
        <v>42940</v>
      </c>
      <c r="B626">
        <v>730.9</v>
      </c>
      <c r="C626">
        <v>729.6</v>
      </c>
      <c r="D626">
        <v>2561</v>
      </c>
      <c r="E626">
        <v>2568</v>
      </c>
      <c r="F626">
        <v>0.28411214953271002</v>
      </c>
      <c r="G626">
        <v>0.283484181752574</v>
      </c>
      <c r="H626">
        <v>9.0499017395649205E-3</v>
      </c>
      <c r="I626">
        <v>6.9389458383904201E-2</v>
      </c>
      <c r="J626">
        <v>0.22</v>
      </c>
    </row>
    <row r="627" spans="1:10">
      <c r="A627" s="19">
        <v>42937</v>
      </c>
      <c r="B627">
        <v>737.3</v>
      </c>
      <c r="C627">
        <v>733.3</v>
      </c>
      <c r="D627">
        <v>2565</v>
      </c>
      <c r="E627">
        <v>2579</v>
      </c>
      <c r="F627">
        <v>0.28433501357115099</v>
      </c>
      <c r="G627">
        <v>0.28348958997877099</v>
      </c>
      <c r="H627">
        <v>9.0503965824024792E-3</v>
      </c>
      <c r="I627">
        <v>9.3412878063750204E-2</v>
      </c>
      <c r="J627">
        <v>0.3</v>
      </c>
    </row>
    <row r="628" spans="1:10">
      <c r="A628" s="19">
        <v>42936</v>
      </c>
      <c r="B628">
        <v>731</v>
      </c>
      <c r="C628">
        <v>737.6</v>
      </c>
      <c r="D628">
        <v>2570</v>
      </c>
      <c r="E628">
        <v>2578</v>
      </c>
      <c r="F628">
        <v>0.28611326609775001</v>
      </c>
      <c r="G628">
        <v>0.28349856813394703</v>
      </c>
      <c r="H628">
        <v>9.0515647224761308E-3</v>
      </c>
      <c r="I628">
        <v>0.28886695769961201</v>
      </c>
      <c r="J628">
        <v>0.91</v>
      </c>
    </row>
    <row r="629" spans="1:10">
      <c r="A629" s="19">
        <v>42935</v>
      </c>
      <c r="B629">
        <v>730.3</v>
      </c>
      <c r="C629">
        <v>731</v>
      </c>
      <c r="D629">
        <v>2536</v>
      </c>
      <c r="E629">
        <v>2563</v>
      </c>
      <c r="F629">
        <v>0.28521264143581698</v>
      </c>
      <c r="G629">
        <v>0.28353214563860801</v>
      </c>
      <c r="H629">
        <v>9.0658615257425395E-3</v>
      </c>
      <c r="I629">
        <v>0.18536526202575401</v>
      </c>
      <c r="J629">
        <v>0.59</v>
      </c>
    </row>
    <row r="630" spans="1:10">
      <c r="A630" s="19">
        <v>42934</v>
      </c>
      <c r="B630">
        <v>736.3</v>
      </c>
      <c r="C630">
        <v>735.7</v>
      </c>
      <c r="D630">
        <v>2535</v>
      </c>
      <c r="E630">
        <v>2536</v>
      </c>
      <c r="F630">
        <v>0.290102523659306</v>
      </c>
      <c r="G630">
        <v>0.28365415384326398</v>
      </c>
      <c r="H630">
        <v>9.1488511793816896E-3</v>
      </c>
      <c r="I630">
        <v>0.70482836474310495</v>
      </c>
      <c r="J630">
        <v>2.2200000000000002</v>
      </c>
    </row>
    <row r="631" spans="1:10">
      <c r="A631" s="19">
        <v>42930</v>
      </c>
      <c r="B631">
        <v>734.3</v>
      </c>
      <c r="C631">
        <v>738.6</v>
      </c>
      <c r="D631">
        <v>2545</v>
      </c>
      <c r="E631">
        <v>2543</v>
      </c>
      <c r="F631">
        <v>0.29044435705859201</v>
      </c>
      <c r="G631">
        <v>0.28362578961596102</v>
      </c>
      <c r="H631">
        <v>9.1320976244769307E-3</v>
      </c>
      <c r="I631">
        <v>0.74665949960446099</v>
      </c>
      <c r="J631">
        <v>2.35</v>
      </c>
    </row>
    <row r="632" spans="1:10">
      <c r="A632" s="19">
        <v>42929</v>
      </c>
      <c r="B632">
        <v>740</v>
      </c>
      <c r="C632">
        <v>733.9</v>
      </c>
      <c r="D632">
        <v>2541</v>
      </c>
      <c r="E632">
        <v>2533</v>
      </c>
      <c r="F632">
        <v>0.28973549151204098</v>
      </c>
      <c r="G632">
        <v>0.28359665741128198</v>
      </c>
      <c r="H632">
        <v>9.1137659578316398E-3</v>
      </c>
      <c r="I632">
        <v>0.67357820347393604</v>
      </c>
      <c r="J632">
        <v>2.12</v>
      </c>
    </row>
    <row r="633" spans="1:10">
      <c r="A633" s="19">
        <v>42928</v>
      </c>
      <c r="B633">
        <v>741</v>
      </c>
      <c r="C633">
        <v>740.2</v>
      </c>
      <c r="D633">
        <v>2546</v>
      </c>
      <c r="E633">
        <v>2525</v>
      </c>
      <c r="F633">
        <v>0.29314851485148502</v>
      </c>
      <c r="G633">
        <v>0.28357809149059499</v>
      </c>
      <c r="H633">
        <v>9.1026529667170408E-3</v>
      </c>
      <c r="I633">
        <v>1.05138835852399</v>
      </c>
      <c r="J633">
        <v>3.26</v>
      </c>
    </row>
    <row r="634" spans="1:10">
      <c r="A634" s="19">
        <v>42927</v>
      </c>
      <c r="B634">
        <v>740</v>
      </c>
      <c r="C634">
        <v>741.4</v>
      </c>
      <c r="D634">
        <v>2537</v>
      </c>
      <c r="E634">
        <v>2555</v>
      </c>
      <c r="F634">
        <v>0.290176125244618</v>
      </c>
      <c r="G634">
        <v>0.28349736625900801</v>
      </c>
      <c r="H634">
        <v>9.0440791356110797E-3</v>
      </c>
      <c r="I634">
        <v>0.73846755269000197</v>
      </c>
      <c r="J634">
        <v>2.2999999999999998</v>
      </c>
    </row>
    <row r="635" spans="1:10">
      <c r="A635" s="19">
        <v>42926</v>
      </c>
      <c r="B635">
        <v>741.2</v>
      </c>
      <c r="C635">
        <v>739.7</v>
      </c>
      <c r="D635">
        <v>2551</v>
      </c>
      <c r="E635">
        <v>2540</v>
      </c>
      <c r="F635">
        <v>0.29122047244094401</v>
      </c>
      <c r="G635">
        <v>0.283478070164289</v>
      </c>
      <c r="H635">
        <v>9.0313438969676502E-3</v>
      </c>
      <c r="I635">
        <v>0.85728130441966499</v>
      </c>
      <c r="J635">
        <v>2.66</v>
      </c>
    </row>
    <row r="636" spans="1:10">
      <c r="A636" s="19">
        <v>42923</v>
      </c>
      <c r="B636">
        <v>734</v>
      </c>
      <c r="C636">
        <v>739.5</v>
      </c>
      <c r="D636">
        <v>2556</v>
      </c>
      <c r="E636">
        <v>2538</v>
      </c>
      <c r="F636">
        <v>0.29137115839243499</v>
      </c>
      <c r="G636">
        <v>0.28343235571268</v>
      </c>
      <c r="H636">
        <v>9.0006632676277697E-3</v>
      </c>
      <c r="I636">
        <v>0.88202418462952203</v>
      </c>
      <c r="J636">
        <v>2.72</v>
      </c>
    </row>
    <row r="637" spans="1:10">
      <c r="A637" s="19">
        <v>42922</v>
      </c>
      <c r="B637">
        <v>742</v>
      </c>
      <c r="C637">
        <v>739.9</v>
      </c>
      <c r="D637">
        <v>2552</v>
      </c>
      <c r="E637">
        <v>2562</v>
      </c>
      <c r="F637">
        <v>0.28879781420764999</v>
      </c>
      <c r="G637">
        <v>0.283374901626259</v>
      </c>
      <c r="H637">
        <v>8.9634802324864704E-3</v>
      </c>
      <c r="I637">
        <v>0.60500078549140401</v>
      </c>
      <c r="J637">
        <v>1.88</v>
      </c>
    </row>
    <row r="638" spans="1:10">
      <c r="A638" s="19">
        <v>42921</v>
      </c>
      <c r="B638">
        <v>736.7</v>
      </c>
      <c r="C638">
        <v>744.9</v>
      </c>
      <c r="D638">
        <v>2548</v>
      </c>
      <c r="E638">
        <v>2552</v>
      </c>
      <c r="F638">
        <v>0.291888714733542</v>
      </c>
      <c r="G638">
        <v>0.28336796426298</v>
      </c>
      <c r="H638">
        <v>8.9594808916390999E-3</v>
      </c>
      <c r="I638">
        <v>0.951031714182629</v>
      </c>
      <c r="J638">
        <v>2.92</v>
      </c>
    </row>
    <row r="639" spans="1:10">
      <c r="A639" s="19">
        <v>42920</v>
      </c>
      <c r="B639">
        <v>732.5</v>
      </c>
      <c r="C639">
        <v>737</v>
      </c>
      <c r="D639">
        <v>2587</v>
      </c>
      <c r="E639">
        <v>2556</v>
      </c>
      <c r="F639">
        <v>0.28834115805946697</v>
      </c>
      <c r="G639">
        <v>0.28330105192743399</v>
      </c>
      <c r="H639">
        <v>8.9142205776185698E-3</v>
      </c>
      <c r="I639">
        <v>0.56540065260305805</v>
      </c>
      <c r="J639">
        <v>1.75</v>
      </c>
    </row>
    <row r="640" spans="1:10">
      <c r="A640" s="19">
        <v>42919</v>
      </c>
      <c r="B640">
        <v>724.9</v>
      </c>
      <c r="C640">
        <v>726.8</v>
      </c>
      <c r="D640">
        <v>2583</v>
      </c>
      <c r="E640">
        <v>2565</v>
      </c>
      <c r="F640">
        <v>0.28335282651072102</v>
      </c>
      <c r="G640">
        <v>0.28331166822253101</v>
      </c>
      <c r="H640">
        <v>8.9206884957307893E-3</v>
      </c>
      <c r="I640">
        <v>4.6138017496991698E-3</v>
      </c>
      <c r="J640">
        <v>0.01</v>
      </c>
    </row>
    <row r="641" spans="1:10">
      <c r="A641" s="19">
        <v>42916</v>
      </c>
      <c r="B641">
        <v>719</v>
      </c>
      <c r="C641">
        <v>725.8</v>
      </c>
      <c r="D641">
        <v>2573</v>
      </c>
      <c r="E641">
        <v>2596</v>
      </c>
      <c r="F641">
        <v>0.279583975346687</v>
      </c>
      <c r="G641">
        <v>0.28339646945119201</v>
      </c>
      <c r="H641">
        <v>8.9508556107769505E-3</v>
      </c>
      <c r="I641">
        <v>-0.425936275847696</v>
      </c>
      <c r="J641">
        <v>-1.36</v>
      </c>
    </row>
    <row r="642" spans="1:10">
      <c r="A642" s="19">
        <v>42915</v>
      </c>
      <c r="B642">
        <v>718</v>
      </c>
      <c r="C642">
        <v>721</v>
      </c>
      <c r="D642">
        <v>2595</v>
      </c>
      <c r="E642">
        <v>2600</v>
      </c>
      <c r="F642">
        <v>0.27730769230769198</v>
      </c>
      <c r="G642">
        <v>0.28350399586066199</v>
      </c>
      <c r="H642">
        <v>8.9528493390036903E-3</v>
      </c>
      <c r="I642">
        <v>-0.69210407975659904</v>
      </c>
      <c r="J642">
        <v>-2.23</v>
      </c>
    </row>
    <row r="643" spans="1:10">
      <c r="A643" s="19">
        <v>42914</v>
      </c>
      <c r="B643">
        <v>702.2</v>
      </c>
      <c r="C643">
        <v>714.5</v>
      </c>
      <c r="D643">
        <v>2586</v>
      </c>
      <c r="E643">
        <v>2574</v>
      </c>
      <c r="F643">
        <v>0.277583527583527</v>
      </c>
      <c r="G643">
        <v>0.28364929229046998</v>
      </c>
      <c r="H643">
        <v>8.9395261398185002E-3</v>
      </c>
      <c r="I643">
        <v>-0.67853313610495902</v>
      </c>
      <c r="J643">
        <v>-2.19</v>
      </c>
    </row>
    <row r="644" spans="1:10">
      <c r="A644" s="19">
        <v>42913</v>
      </c>
      <c r="B644">
        <v>693</v>
      </c>
      <c r="C644">
        <v>701.4</v>
      </c>
      <c r="D644">
        <v>2595</v>
      </c>
      <c r="E644">
        <v>2589</v>
      </c>
      <c r="F644">
        <v>0.27091541135573499</v>
      </c>
      <c r="G644">
        <v>0.28386548292550901</v>
      </c>
      <c r="H644">
        <v>8.9861585489421393E-3</v>
      </c>
      <c r="I644">
        <v>-1.44111318526628</v>
      </c>
      <c r="J644">
        <v>-4.78</v>
      </c>
    </row>
    <row r="645" spans="1:10">
      <c r="A645" s="19">
        <v>42912</v>
      </c>
      <c r="B645">
        <v>694.5</v>
      </c>
      <c r="C645">
        <v>690.1</v>
      </c>
      <c r="D645">
        <v>2594</v>
      </c>
      <c r="E645">
        <v>2593</v>
      </c>
      <c r="F645">
        <v>0.26613960663324299</v>
      </c>
      <c r="G645">
        <v>0.28411525452576503</v>
      </c>
      <c r="H645">
        <v>8.8824815416461804E-3</v>
      </c>
      <c r="I645">
        <v>-2.0237191384233801</v>
      </c>
      <c r="J645">
        <v>-6.75</v>
      </c>
    </row>
    <row r="646" spans="1:10">
      <c r="A646" s="19">
        <v>42909</v>
      </c>
      <c r="B646">
        <v>693.1</v>
      </c>
      <c r="C646">
        <v>692.6</v>
      </c>
      <c r="D646">
        <v>2606</v>
      </c>
      <c r="E646">
        <v>2599</v>
      </c>
      <c r="F646">
        <v>0.266487110427087</v>
      </c>
      <c r="G646">
        <v>0.28442852151277798</v>
      </c>
      <c r="H646">
        <v>8.6543748133045099E-3</v>
      </c>
      <c r="I646">
        <v>-2.0731030805494699</v>
      </c>
      <c r="J646">
        <v>-6.73</v>
      </c>
    </row>
    <row r="647" spans="1:10">
      <c r="A647" s="19">
        <v>42908</v>
      </c>
      <c r="B647">
        <v>695</v>
      </c>
      <c r="C647">
        <v>692</v>
      </c>
      <c r="D647">
        <v>2608</v>
      </c>
      <c r="E647">
        <v>2603</v>
      </c>
      <c r="F647">
        <v>0.265847099500576</v>
      </c>
      <c r="G647">
        <v>0.284806459488674</v>
      </c>
      <c r="H647">
        <v>8.4797799875042101E-3</v>
      </c>
      <c r="I647">
        <v>-2.2358315918617002</v>
      </c>
      <c r="J647">
        <v>-7.13</v>
      </c>
    </row>
    <row r="648" spans="1:10">
      <c r="A648" s="19">
        <v>42907</v>
      </c>
      <c r="B648">
        <v>693.1</v>
      </c>
      <c r="C648">
        <v>695.3</v>
      </c>
      <c r="D648">
        <v>2600</v>
      </c>
      <c r="E648">
        <v>2594</v>
      </c>
      <c r="F648">
        <v>0.26804163454124902</v>
      </c>
      <c r="G648">
        <v>0.28514265086218599</v>
      </c>
      <c r="H648">
        <v>8.2172103184735695E-3</v>
      </c>
      <c r="I648">
        <v>-2.0811218963803202</v>
      </c>
      <c r="J648">
        <v>-6.38</v>
      </c>
    </row>
    <row r="649" spans="1:10">
      <c r="A649" s="19">
        <v>42906</v>
      </c>
      <c r="B649">
        <v>700</v>
      </c>
      <c r="C649">
        <v>694</v>
      </c>
      <c r="D649">
        <v>2610</v>
      </c>
      <c r="E649">
        <v>2608</v>
      </c>
      <c r="F649">
        <v>0.26610429447852701</v>
      </c>
      <c r="G649">
        <v>0.28549554314178799</v>
      </c>
      <c r="H649">
        <v>8.04166346387368E-3</v>
      </c>
      <c r="I649">
        <v>-2.4113479444114301</v>
      </c>
      <c r="J649">
        <v>-7.29</v>
      </c>
    </row>
    <row r="650" spans="1:10">
      <c r="A650" s="19">
        <v>42905</v>
      </c>
      <c r="B650">
        <v>694.5</v>
      </c>
      <c r="C650">
        <v>690.5</v>
      </c>
      <c r="D650">
        <v>2578</v>
      </c>
      <c r="E650">
        <v>2600</v>
      </c>
      <c r="F650">
        <v>0.26557692307692299</v>
      </c>
      <c r="G650">
        <v>0.28587700130057597</v>
      </c>
      <c r="H650">
        <v>7.7873111812662103E-3</v>
      </c>
      <c r="I650">
        <v>-2.6068148236439899</v>
      </c>
      <c r="J650">
        <v>-7.64</v>
      </c>
    </row>
    <row r="651" spans="1:10">
      <c r="A651" s="19">
        <v>42902</v>
      </c>
      <c r="B651">
        <v>695.8</v>
      </c>
      <c r="C651">
        <v>695.9</v>
      </c>
      <c r="D651">
        <v>2553</v>
      </c>
      <c r="E651">
        <v>2571</v>
      </c>
      <c r="F651">
        <v>0.270672889926098</v>
      </c>
      <c r="G651">
        <v>0.28624035384918201</v>
      </c>
      <c r="H651">
        <v>7.4605563220013901E-3</v>
      </c>
      <c r="I651">
        <v>-2.08663580183359</v>
      </c>
      <c r="J651">
        <v>-5.75</v>
      </c>
    </row>
    <row r="652" spans="1:10">
      <c r="A652" s="19">
        <v>42901</v>
      </c>
      <c r="B652">
        <v>694</v>
      </c>
      <c r="C652">
        <v>690.5</v>
      </c>
      <c r="D652">
        <v>2515</v>
      </c>
      <c r="E652">
        <v>2525</v>
      </c>
      <c r="F652">
        <v>0.27346534653465299</v>
      </c>
      <c r="G652">
        <v>0.28654929746885299</v>
      </c>
      <c r="H652">
        <v>7.2872477093053802E-3</v>
      </c>
      <c r="I652">
        <v>-1.7954585127512801</v>
      </c>
      <c r="J652">
        <v>-4.78</v>
      </c>
    </row>
    <row r="653" spans="1:10">
      <c r="A653" s="19">
        <v>42900</v>
      </c>
      <c r="B653">
        <v>707.3</v>
      </c>
      <c r="C653">
        <v>703.2</v>
      </c>
      <c r="D653">
        <v>2524</v>
      </c>
      <c r="E653">
        <v>2516</v>
      </c>
      <c r="F653">
        <v>0.27949125596184399</v>
      </c>
      <c r="G653">
        <v>0.28683873243004798</v>
      </c>
      <c r="H653">
        <v>7.1923046150264101E-3</v>
      </c>
      <c r="I653">
        <v>-1.02157470539464</v>
      </c>
      <c r="J653">
        <v>-2.63</v>
      </c>
    </row>
    <row r="654" spans="1:10">
      <c r="A654" s="19">
        <v>42899</v>
      </c>
      <c r="B654">
        <v>698.6</v>
      </c>
      <c r="C654">
        <v>706</v>
      </c>
      <c r="D654">
        <v>2517</v>
      </c>
      <c r="E654">
        <v>2518</v>
      </c>
      <c r="F654">
        <v>0.28038125496425698</v>
      </c>
      <c r="G654">
        <v>0.28707787059610002</v>
      </c>
      <c r="H654">
        <v>7.2420276305840596E-3</v>
      </c>
      <c r="I654">
        <v>-0.92468794285768097</v>
      </c>
      <c r="J654">
        <v>-2.39</v>
      </c>
    </row>
    <row r="655" spans="1:10">
      <c r="A655" s="19">
        <v>42898</v>
      </c>
      <c r="B655">
        <v>688.8</v>
      </c>
      <c r="C655">
        <v>699.5</v>
      </c>
      <c r="D655">
        <v>2496</v>
      </c>
      <c r="E655">
        <v>2506</v>
      </c>
      <c r="F655">
        <v>0.27913008778930498</v>
      </c>
      <c r="G655">
        <v>0.28730772063748</v>
      </c>
      <c r="H655">
        <v>7.29917985219112E-3</v>
      </c>
      <c r="I655">
        <v>-1.1203495480002901</v>
      </c>
      <c r="J655">
        <v>-2.93</v>
      </c>
    </row>
    <row r="656" spans="1:10">
      <c r="A656" s="19">
        <v>42895</v>
      </c>
      <c r="B656">
        <v>673</v>
      </c>
      <c r="C656">
        <v>686.3</v>
      </c>
      <c r="D656">
        <v>2513</v>
      </c>
      <c r="E656">
        <v>2505</v>
      </c>
      <c r="F656">
        <v>0.27397205588822299</v>
      </c>
      <c r="G656">
        <v>0.28761774520275402</v>
      </c>
      <c r="H656">
        <v>7.4377429020226196E-3</v>
      </c>
      <c r="I656">
        <v>-1.83465461152465</v>
      </c>
      <c r="J656">
        <v>-4.9800000000000004</v>
      </c>
    </row>
    <row r="657" spans="1:10">
      <c r="A657" s="19">
        <v>42894</v>
      </c>
      <c r="B657">
        <v>684.6</v>
      </c>
      <c r="C657">
        <v>673.8</v>
      </c>
      <c r="D657">
        <v>2564</v>
      </c>
      <c r="E657">
        <v>2518</v>
      </c>
      <c r="F657">
        <v>0.26759332803812502</v>
      </c>
      <c r="G657">
        <v>0.28800572498316501</v>
      </c>
      <c r="H657">
        <v>7.4746646299055901E-3</v>
      </c>
      <c r="I657">
        <v>-2.7308779665339902</v>
      </c>
      <c r="J657">
        <v>-7.63</v>
      </c>
    </row>
    <row r="658" spans="1:10">
      <c r="A658" s="19">
        <v>42893</v>
      </c>
      <c r="B658">
        <v>675.7</v>
      </c>
      <c r="C658">
        <v>677.9</v>
      </c>
      <c r="D658">
        <v>2546</v>
      </c>
      <c r="E658">
        <v>2551</v>
      </c>
      <c r="F658">
        <v>0.26573892591140702</v>
      </c>
      <c r="G658">
        <v>0.28854029142013399</v>
      </c>
      <c r="H658">
        <v>7.4292247986751199E-3</v>
      </c>
      <c r="I658">
        <v>-3.06914464518474</v>
      </c>
      <c r="J658">
        <v>-8.58</v>
      </c>
    </row>
    <row r="659" spans="1:10">
      <c r="A659" s="19">
        <v>42892</v>
      </c>
      <c r="B659">
        <v>681.8</v>
      </c>
      <c r="C659">
        <v>675.2</v>
      </c>
      <c r="D659">
        <v>2568</v>
      </c>
      <c r="E659">
        <v>2546</v>
      </c>
      <c r="F659">
        <v>0.26520031421838097</v>
      </c>
      <c r="G659">
        <v>0.28905186964184598</v>
      </c>
      <c r="H659">
        <v>7.1575642199671304E-3</v>
      </c>
      <c r="I659">
        <v>-3.33235646799052</v>
      </c>
      <c r="J659">
        <v>-8.99</v>
      </c>
    </row>
    <row r="660" spans="1:10">
      <c r="A660" s="19">
        <v>42891</v>
      </c>
      <c r="B660">
        <v>698</v>
      </c>
      <c r="C660">
        <v>684.5</v>
      </c>
      <c r="D660">
        <v>2518</v>
      </c>
      <c r="E660">
        <v>2569</v>
      </c>
      <c r="F660">
        <v>0.266446087971973</v>
      </c>
      <c r="G660">
        <v>0.28962111379896799</v>
      </c>
      <c r="H660">
        <v>6.9321632848407498E-3</v>
      </c>
      <c r="I660">
        <v>-3.34311597617361</v>
      </c>
      <c r="J660">
        <v>-8.6999999999999993</v>
      </c>
    </row>
    <row r="661" spans="1:10">
      <c r="A661" s="19">
        <v>42888</v>
      </c>
      <c r="B661">
        <v>692</v>
      </c>
      <c r="C661">
        <v>700.8</v>
      </c>
      <c r="D661">
        <v>2505</v>
      </c>
      <c r="E661">
        <v>2558</v>
      </c>
      <c r="F661">
        <v>0.273964034401876</v>
      </c>
      <c r="G661">
        <v>0.29014853334972102</v>
      </c>
      <c r="H661">
        <v>6.6478302244548501E-3</v>
      </c>
      <c r="I661">
        <v>-2.4345535913820799</v>
      </c>
      <c r="J661">
        <v>-5.91</v>
      </c>
    </row>
    <row r="662" spans="1:10">
      <c r="A662" s="19">
        <v>42887</v>
      </c>
      <c r="B662">
        <v>684</v>
      </c>
      <c r="C662">
        <v>686.5</v>
      </c>
      <c r="D662">
        <v>2441</v>
      </c>
      <c r="E662">
        <v>2494</v>
      </c>
      <c r="F662">
        <v>0.27526062550120201</v>
      </c>
      <c r="G662">
        <v>0.29060679066880701</v>
      </c>
      <c r="H662">
        <v>6.7007685762675998E-3</v>
      </c>
      <c r="I662">
        <v>-2.2902096965349199</v>
      </c>
      <c r="J662">
        <v>-5.58</v>
      </c>
    </row>
    <row r="663" spans="1:10">
      <c r="A663" s="19">
        <v>42886</v>
      </c>
      <c r="B663">
        <v>682.1</v>
      </c>
      <c r="C663">
        <v>684</v>
      </c>
      <c r="D663">
        <v>2437</v>
      </c>
      <c r="E663">
        <v>2439</v>
      </c>
      <c r="F663">
        <v>0.28044280442804398</v>
      </c>
      <c r="G663">
        <v>0.29102180401760402</v>
      </c>
      <c r="H663">
        <v>6.7013463284763602E-3</v>
      </c>
      <c r="I663">
        <v>-1.57863794393165</v>
      </c>
      <c r="J663">
        <v>-3.77</v>
      </c>
    </row>
    <row r="664" spans="1:10">
      <c r="A664" s="19">
        <v>42885</v>
      </c>
      <c r="B664">
        <v>681.3</v>
      </c>
      <c r="C664">
        <v>683.3</v>
      </c>
      <c r="D664">
        <v>2435</v>
      </c>
      <c r="E664">
        <v>2439</v>
      </c>
      <c r="F664">
        <v>0.28015580155801501</v>
      </c>
      <c r="G664">
        <v>0.29140712802873803</v>
      </c>
      <c r="H664">
        <v>6.9095931447603499E-3</v>
      </c>
      <c r="I664">
        <v>-1.62836309389004</v>
      </c>
      <c r="J664">
        <v>-4.0199999999999996</v>
      </c>
    </row>
    <row r="665" spans="1:10">
      <c r="A665" s="19">
        <v>42884</v>
      </c>
      <c r="B665">
        <v>685.1</v>
      </c>
      <c r="C665">
        <v>681.4</v>
      </c>
      <c r="D665">
        <v>2426</v>
      </c>
      <c r="E665">
        <v>2433</v>
      </c>
      <c r="F665">
        <v>0.28006576243321002</v>
      </c>
      <c r="G665">
        <v>0.29174872883555097</v>
      </c>
      <c r="H665">
        <v>6.9778718285599403E-3</v>
      </c>
      <c r="I665">
        <v>-1.67428790459063</v>
      </c>
      <c r="J665">
        <v>-4.17</v>
      </c>
    </row>
    <row r="666" spans="1:10">
      <c r="A666" s="19">
        <v>42881</v>
      </c>
      <c r="B666">
        <v>689.9</v>
      </c>
      <c r="C666">
        <v>685</v>
      </c>
      <c r="D666">
        <v>2430</v>
      </c>
      <c r="E666">
        <v>2423</v>
      </c>
      <c r="F666">
        <v>0.28270738753611202</v>
      </c>
      <c r="G666">
        <v>0.29208296974480802</v>
      </c>
      <c r="H666">
        <v>7.0105564365946999E-3</v>
      </c>
      <c r="I666">
        <v>-1.3373520766135101</v>
      </c>
      <c r="J666">
        <v>-3.32</v>
      </c>
    </row>
    <row r="667" spans="1:10">
      <c r="A667" s="19">
        <v>42880</v>
      </c>
      <c r="B667">
        <v>684.6</v>
      </c>
      <c r="C667">
        <v>690.3</v>
      </c>
      <c r="D667">
        <v>2405</v>
      </c>
      <c r="E667">
        <v>2440</v>
      </c>
      <c r="F667">
        <v>0.28290983606557302</v>
      </c>
      <c r="G667">
        <v>0.29235098123408798</v>
      </c>
      <c r="H667">
        <v>7.0312022990390698E-3</v>
      </c>
      <c r="I667">
        <v>-1.3427497555866099</v>
      </c>
      <c r="J667">
        <v>-3.34</v>
      </c>
    </row>
    <row r="668" spans="1:10">
      <c r="A668" s="19">
        <v>42879</v>
      </c>
      <c r="B668">
        <v>686</v>
      </c>
      <c r="C668">
        <v>688.4</v>
      </c>
      <c r="D668">
        <v>2419</v>
      </c>
      <c r="E668">
        <v>2416</v>
      </c>
      <c r="F668">
        <v>0.28493377483443699</v>
      </c>
      <c r="G668">
        <v>0.29243786835138702</v>
      </c>
      <c r="H668">
        <v>6.9538357371964898E-3</v>
      </c>
      <c r="I668">
        <v>-1.07913010898585</v>
      </c>
      <c r="J668">
        <v>-2.63</v>
      </c>
    </row>
    <row r="669" spans="1:10">
      <c r="A669" s="19">
        <v>42878</v>
      </c>
      <c r="B669">
        <v>683.8</v>
      </c>
      <c r="C669">
        <v>680.2</v>
      </c>
      <c r="D669">
        <v>2395</v>
      </c>
      <c r="E669">
        <v>2397</v>
      </c>
      <c r="F669">
        <v>0.28377138089278198</v>
      </c>
      <c r="G669">
        <v>0.292587157150696</v>
      </c>
      <c r="H669">
        <v>6.9111884659695004E-3</v>
      </c>
      <c r="I669">
        <v>-1.2755803580415499</v>
      </c>
      <c r="J669">
        <v>-3.11</v>
      </c>
    </row>
    <row r="670" spans="1:10">
      <c r="A670" s="19">
        <v>42877</v>
      </c>
      <c r="B670">
        <v>698</v>
      </c>
      <c r="C670">
        <v>685.8</v>
      </c>
      <c r="D670">
        <v>2403</v>
      </c>
      <c r="E670">
        <v>2410</v>
      </c>
      <c r="F670">
        <v>0.28456431535269699</v>
      </c>
      <c r="G670">
        <v>0.29271949071134801</v>
      </c>
      <c r="H670">
        <v>6.8357282393498899E-3</v>
      </c>
      <c r="I670">
        <v>-1.1930221730738599</v>
      </c>
      <c r="J670">
        <v>-2.87</v>
      </c>
    </row>
    <row r="671" spans="1:10">
      <c r="A671" s="19">
        <v>42874</v>
      </c>
      <c r="B671">
        <v>690</v>
      </c>
      <c r="C671">
        <v>688</v>
      </c>
      <c r="D671">
        <v>2410</v>
      </c>
      <c r="E671">
        <v>2395</v>
      </c>
      <c r="F671">
        <v>0.28726513569937301</v>
      </c>
      <c r="G671">
        <v>0.29283990274347999</v>
      </c>
      <c r="H671">
        <v>6.7702399027855104E-3</v>
      </c>
      <c r="I671">
        <v>-0.82342237855016898</v>
      </c>
      <c r="J671">
        <v>-1.94</v>
      </c>
    </row>
    <row r="672" spans="1:10">
      <c r="A672" s="19">
        <v>42873</v>
      </c>
      <c r="B672">
        <v>695.6</v>
      </c>
      <c r="C672">
        <v>691.4</v>
      </c>
      <c r="D672">
        <v>2408</v>
      </c>
      <c r="E672">
        <v>2405</v>
      </c>
      <c r="F672">
        <v>0.28748440748440701</v>
      </c>
      <c r="G672">
        <v>0.29292771054682099</v>
      </c>
      <c r="H672">
        <v>6.7400065140137697E-3</v>
      </c>
      <c r="I672">
        <v>-0.80761094979605297</v>
      </c>
      <c r="J672">
        <v>-1.89</v>
      </c>
    </row>
    <row r="673" spans="1:10">
      <c r="A673" s="19">
        <v>42872</v>
      </c>
      <c r="B673">
        <v>710</v>
      </c>
      <c r="C673">
        <v>708.9</v>
      </c>
      <c r="D673">
        <v>2414</v>
      </c>
      <c r="E673">
        <v>2433</v>
      </c>
      <c r="F673">
        <v>0.29136868064118299</v>
      </c>
      <c r="G673">
        <v>0.29303410751019199</v>
      </c>
      <c r="H673">
        <v>6.7161811469111498E-3</v>
      </c>
      <c r="I673">
        <v>-0.24797229743784099</v>
      </c>
      <c r="J673">
        <v>-0.56999999999999995</v>
      </c>
    </row>
    <row r="674" spans="1:10">
      <c r="A674" s="19">
        <v>42871</v>
      </c>
      <c r="B674">
        <v>716.4</v>
      </c>
      <c r="C674">
        <v>716.5</v>
      </c>
      <c r="D674">
        <v>2434</v>
      </c>
      <c r="E674">
        <v>2438</v>
      </c>
      <c r="F674">
        <v>0.29388843314191898</v>
      </c>
      <c r="G674">
        <v>0.29310169388875001</v>
      </c>
      <c r="H674">
        <v>6.7245813870007703E-3</v>
      </c>
      <c r="I674">
        <v>0.11699453213397901</v>
      </c>
      <c r="J674">
        <v>0.27</v>
      </c>
    </row>
    <row r="675" spans="1:10">
      <c r="A675" s="19">
        <v>42870</v>
      </c>
      <c r="B675">
        <v>712.6</v>
      </c>
      <c r="C675">
        <v>709.8</v>
      </c>
      <c r="D675">
        <v>2361</v>
      </c>
      <c r="E675">
        <v>2427</v>
      </c>
      <c r="F675">
        <v>0.29245982694684702</v>
      </c>
      <c r="G675">
        <v>0.29310689337398599</v>
      </c>
      <c r="H675">
        <v>6.7253384057990896E-3</v>
      </c>
      <c r="I675">
        <v>-9.6213214576717401E-2</v>
      </c>
      <c r="J675">
        <v>-0.22</v>
      </c>
    </row>
    <row r="676" spans="1:10">
      <c r="A676" s="19">
        <v>42867</v>
      </c>
      <c r="B676">
        <v>719</v>
      </c>
      <c r="C676">
        <v>717.2</v>
      </c>
      <c r="D676">
        <v>2414</v>
      </c>
      <c r="E676">
        <v>2388</v>
      </c>
      <c r="F676">
        <v>0.30033500837520899</v>
      </c>
      <c r="G676">
        <v>0.29315220899743799</v>
      </c>
      <c r="H676">
        <v>6.7322723993709496E-3</v>
      </c>
      <c r="I676">
        <v>1.0669204915775501</v>
      </c>
      <c r="J676">
        <v>2.39</v>
      </c>
    </row>
    <row r="677" spans="1:10">
      <c r="A677" s="19">
        <v>42866</v>
      </c>
      <c r="B677">
        <v>722.5</v>
      </c>
      <c r="C677">
        <v>721.7</v>
      </c>
      <c r="D677">
        <v>2446</v>
      </c>
      <c r="E677">
        <v>2439</v>
      </c>
      <c r="F677">
        <v>0.29589995899958998</v>
      </c>
      <c r="G677">
        <v>0.293070289551288</v>
      </c>
      <c r="H677">
        <v>6.6815618416894802E-3</v>
      </c>
      <c r="I677">
        <v>0.42350419188610799</v>
      </c>
      <c r="J677">
        <v>0.96</v>
      </c>
    </row>
    <row r="678" spans="1:10">
      <c r="A678" s="19">
        <v>42865</v>
      </c>
      <c r="B678">
        <v>705</v>
      </c>
      <c r="C678">
        <v>723.7</v>
      </c>
      <c r="D678">
        <v>2444</v>
      </c>
      <c r="E678">
        <v>2446</v>
      </c>
      <c r="F678">
        <v>0.29587080948487299</v>
      </c>
      <c r="G678">
        <v>0.29302291594829999</v>
      </c>
      <c r="H678">
        <v>6.6739224209982403E-3</v>
      </c>
      <c r="I678">
        <v>0.42671960459299801</v>
      </c>
      <c r="J678">
        <v>0.96</v>
      </c>
    </row>
    <row r="679" spans="1:10">
      <c r="A679" s="19">
        <v>42864</v>
      </c>
      <c r="B679">
        <v>703</v>
      </c>
      <c r="C679">
        <v>701</v>
      </c>
      <c r="D679">
        <v>2469</v>
      </c>
      <c r="E679">
        <v>2464</v>
      </c>
      <c r="F679">
        <v>0.284496753246753</v>
      </c>
      <c r="G679">
        <v>0.29294685219646299</v>
      </c>
      <c r="H679">
        <v>6.6735402095498102E-3</v>
      </c>
      <c r="I679">
        <v>-1.26620934082598</v>
      </c>
      <c r="J679">
        <v>-2.97</v>
      </c>
    </row>
    <row r="680" spans="1:10">
      <c r="A680" s="19">
        <v>42863</v>
      </c>
      <c r="B680">
        <v>702.4</v>
      </c>
      <c r="C680">
        <v>701.6</v>
      </c>
      <c r="D680">
        <v>2421</v>
      </c>
      <c r="E680">
        <v>2470</v>
      </c>
      <c r="F680">
        <v>0.28404858299595098</v>
      </c>
      <c r="G680">
        <v>0.292901444979773</v>
      </c>
      <c r="H680">
        <v>6.74211422410201E-3</v>
      </c>
      <c r="I680">
        <v>-1.31306911890842</v>
      </c>
      <c r="J680">
        <v>-3.12</v>
      </c>
    </row>
    <row r="681" spans="1:10">
      <c r="A681" s="19">
        <v>42857</v>
      </c>
      <c r="B681">
        <v>693.1</v>
      </c>
      <c r="C681">
        <v>693</v>
      </c>
      <c r="D681">
        <v>2385</v>
      </c>
      <c r="E681">
        <v>2398</v>
      </c>
      <c r="F681">
        <v>0.28899082568807299</v>
      </c>
      <c r="G681">
        <v>0.29284323636655402</v>
      </c>
      <c r="H681">
        <v>6.8364800742285996E-3</v>
      </c>
      <c r="I681">
        <v>-0.56350792171600805</v>
      </c>
      <c r="J681">
        <v>-1.33</v>
      </c>
    </row>
    <row r="682" spans="1:10">
      <c r="A682" s="19">
        <v>42856</v>
      </c>
      <c r="B682">
        <v>687.3</v>
      </c>
      <c r="C682">
        <v>692.3</v>
      </c>
      <c r="D682">
        <v>2335</v>
      </c>
      <c r="E682">
        <v>2377</v>
      </c>
      <c r="F682">
        <v>0.29124947412704999</v>
      </c>
      <c r="G682">
        <v>0.29268759166856401</v>
      </c>
      <c r="H682">
        <v>7.0519036101908102E-3</v>
      </c>
      <c r="I682">
        <v>-0.20393323859892701</v>
      </c>
      <c r="J682">
        <v>-0.49</v>
      </c>
    </row>
    <row r="683" spans="1:10">
      <c r="A683" s="19">
        <v>42853</v>
      </c>
      <c r="B683">
        <v>680.5</v>
      </c>
      <c r="C683">
        <v>686.4</v>
      </c>
      <c r="D683">
        <v>2328</v>
      </c>
      <c r="E683">
        <v>2331</v>
      </c>
      <c r="F683">
        <v>0.294465894465894</v>
      </c>
      <c r="G683">
        <v>0.29245437973255201</v>
      </c>
      <c r="H683">
        <v>7.3773175751666101E-3</v>
      </c>
      <c r="I683">
        <v>0.272662077082514</v>
      </c>
      <c r="J683">
        <v>0.68</v>
      </c>
    </row>
    <row r="684" spans="1:10">
      <c r="A684" s="19">
        <v>42852</v>
      </c>
      <c r="B684">
        <v>673</v>
      </c>
      <c r="C684">
        <v>676.8</v>
      </c>
      <c r="D684">
        <v>2336</v>
      </c>
      <c r="E684">
        <v>2328</v>
      </c>
      <c r="F684">
        <v>0.29072164948453599</v>
      </c>
      <c r="G684">
        <v>0.29217965832124498</v>
      </c>
      <c r="H684">
        <v>7.6749279772187103E-3</v>
      </c>
      <c r="I684">
        <v>-0.18997036076912899</v>
      </c>
      <c r="J684">
        <v>-0.5</v>
      </c>
    </row>
    <row r="685" spans="1:10">
      <c r="A685" s="19">
        <v>42851</v>
      </c>
      <c r="B685">
        <v>671</v>
      </c>
      <c r="C685">
        <v>673</v>
      </c>
      <c r="D685">
        <v>2342</v>
      </c>
      <c r="E685">
        <v>2339</v>
      </c>
      <c r="F685">
        <v>0.28772979905942703</v>
      </c>
      <c r="G685">
        <v>0.291939586965274</v>
      </c>
      <c r="H685">
        <v>7.9918400079866808E-3</v>
      </c>
      <c r="I685">
        <v>-0.52676078370442103</v>
      </c>
      <c r="J685">
        <v>-1.46</v>
      </c>
    </row>
    <row r="686" spans="1:10">
      <c r="A686" s="19">
        <v>42850</v>
      </c>
      <c r="B686">
        <v>655.8</v>
      </c>
      <c r="C686">
        <v>664.2</v>
      </c>
      <c r="D686">
        <v>2292</v>
      </c>
      <c r="E686">
        <v>2334</v>
      </c>
      <c r="F686">
        <v>0.28457583547557802</v>
      </c>
      <c r="G686">
        <v>0.291704914247015</v>
      </c>
      <c r="H686">
        <v>8.3618554473887403E-3</v>
      </c>
      <c r="I686">
        <v>-0.85257139594096099</v>
      </c>
      <c r="J686">
        <v>-2.5099999999999998</v>
      </c>
    </row>
    <row r="687" spans="1:10">
      <c r="A687" s="19">
        <v>42849</v>
      </c>
      <c r="B687">
        <v>660</v>
      </c>
      <c r="C687">
        <v>655.9</v>
      </c>
      <c r="D687">
        <v>2322</v>
      </c>
      <c r="E687">
        <v>2313</v>
      </c>
      <c r="F687">
        <v>0.28357111975789001</v>
      </c>
      <c r="G687">
        <v>0.29148635154380098</v>
      </c>
      <c r="H687">
        <v>8.75053612448542E-3</v>
      </c>
      <c r="I687">
        <v>-0.904542495832097</v>
      </c>
      <c r="J687">
        <v>-2.79</v>
      </c>
    </row>
    <row r="688" spans="1:10">
      <c r="A688" s="19">
        <v>42846</v>
      </c>
      <c r="B688">
        <v>656.8</v>
      </c>
      <c r="C688">
        <v>656.5</v>
      </c>
      <c r="D688">
        <v>2275</v>
      </c>
      <c r="E688">
        <v>2283</v>
      </c>
      <c r="F688">
        <v>0.28756022777047702</v>
      </c>
      <c r="G688">
        <v>0.29132589967748002</v>
      </c>
      <c r="H688">
        <v>9.0009457944584606E-3</v>
      </c>
      <c r="I688">
        <v>-0.41836402451409699</v>
      </c>
      <c r="J688">
        <v>-1.31</v>
      </c>
    </row>
    <row r="689" spans="1:10">
      <c r="A689" s="19">
        <v>42845</v>
      </c>
      <c r="B689">
        <v>645.6</v>
      </c>
      <c r="C689">
        <v>648.20000000000005</v>
      </c>
      <c r="D689">
        <v>2270</v>
      </c>
      <c r="E689">
        <v>2266</v>
      </c>
      <c r="F689">
        <v>0.28605472197705201</v>
      </c>
      <c r="G689">
        <v>0.29108398861462498</v>
      </c>
      <c r="H689">
        <v>9.33646034608983E-3</v>
      </c>
      <c r="I689">
        <v>-0.53866952261829504</v>
      </c>
      <c r="J689">
        <v>-1.76</v>
      </c>
    </row>
    <row r="690" spans="1:10">
      <c r="A690" s="19">
        <v>42844</v>
      </c>
      <c r="B690">
        <v>649.70000000000005</v>
      </c>
      <c r="C690">
        <v>649.1</v>
      </c>
      <c r="D690">
        <v>2297</v>
      </c>
      <c r="E690">
        <v>2273</v>
      </c>
      <c r="F690">
        <v>0.285569731632204</v>
      </c>
      <c r="G690">
        <v>0.29089178357842799</v>
      </c>
      <c r="H690">
        <v>9.5831392542245208E-3</v>
      </c>
      <c r="I690">
        <v>-0.55535579782772304</v>
      </c>
      <c r="J690">
        <v>-1.86</v>
      </c>
    </row>
    <row r="691" spans="1:10">
      <c r="A691" s="19">
        <v>42843</v>
      </c>
      <c r="B691">
        <v>658.3</v>
      </c>
      <c r="C691">
        <v>654.5</v>
      </c>
      <c r="D691">
        <v>2298</v>
      </c>
      <c r="E691">
        <v>2299</v>
      </c>
      <c r="F691">
        <v>0.28468899521531099</v>
      </c>
      <c r="G691">
        <v>0.29073224408058401</v>
      </c>
      <c r="H691">
        <v>9.7682252204482692E-3</v>
      </c>
      <c r="I691">
        <v>-0.61866395674649799</v>
      </c>
      <c r="J691">
        <v>-2.12</v>
      </c>
    </row>
    <row r="692" spans="1:10">
      <c r="A692" s="19">
        <v>42842</v>
      </c>
      <c r="B692">
        <v>650</v>
      </c>
      <c r="C692">
        <v>654.79999999999995</v>
      </c>
      <c r="D692">
        <v>2258</v>
      </c>
      <c r="E692">
        <v>2289</v>
      </c>
      <c r="F692">
        <v>0.28606378331148902</v>
      </c>
      <c r="G692">
        <v>0.29061680458537598</v>
      </c>
      <c r="H692">
        <v>9.8893694266232301E-3</v>
      </c>
      <c r="I692">
        <v>-0.46039550930614698</v>
      </c>
      <c r="J692">
        <v>-1.59</v>
      </c>
    </row>
    <row r="693" spans="1:10">
      <c r="A693" s="19">
        <v>42839</v>
      </c>
      <c r="B693">
        <v>658</v>
      </c>
      <c r="C693">
        <v>654.9</v>
      </c>
      <c r="D693">
        <v>2290</v>
      </c>
      <c r="E693">
        <v>2280</v>
      </c>
      <c r="F693">
        <v>0.28723684210526301</v>
      </c>
      <c r="G693">
        <v>0.29050675145150201</v>
      </c>
      <c r="H693">
        <v>9.98489065559581E-3</v>
      </c>
      <c r="I693">
        <v>-0.32748574411341502</v>
      </c>
      <c r="J693">
        <v>-1.1399999999999999</v>
      </c>
    </row>
    <row r="694" spans="1:10">
      <c r="A694" s="19">
        <v>42838</v>
      </c>
      <c r="B694">
        <v>665.8</v>
      </c>
      <c r="C694">
        <v>659.5</v>
      </c>
      <c r="D694">
        <v>2302</v>
      </c>
      <c r="E694">
        <v>2295</v>
      </c>
      <c r="F694">
        <v>0.28736383442265701</v>
      </c>
      <c r="G694">
        <v>0.29032198361619199</v>
      </c>
      <c r="H694">
        <v>1.01701861766015E-2</v>
      </c>
      <c r="I694">
        <v>-0.29086480248909502</v>
      </c>
      <c r="J694">
        <v>-1.03</v>
      </c>
    </row>
    <row r="695" spans="1:10">
      <c r="A695" s="19">
        <v>42837</v>
      </c>
      <c r="B695">
        <v>685.6</v>
      </c>
      <c r="C695">
        <v>675.8</v>
      </c>
      <c r="D695">
        <v>2308</v>
      </c>
      <c r="E695">
        <v>2316</v>
      </c>
      <c r="F695">
        <v>0.29179620034542297</v>
      </c>
      <c r="G695">
        <v>0.29018886560691098</v>
      </c>
      <c r="H695">
        <v>1.02728556232215E-2</v>
      </c>
      <c r="I695">
        <v>0.156464258572653</v>
      </c>
      <c r="J695">
        <v>0.55000000000000004</v>
      </c>
    </row>
    <row r="696" spans="1:10">
      <c r="A696" s="19">
        <v>42836</v>
      </c>
      <c r="B696">
        <v>688.1</v>
      </c>
      <c r="C696">
        <v>689.9</v>
      </c>
      <c r="D696">
        <v>2329</v>
      </c>
      <c r="E696">
        <v>2329</v>
      </c>
      <c r="F696">
        <v>0.29622155431515601</v>
      </c>
      <c r="G696">
        <v>0.28996369626083901</v>
      </c>
      <c r="H696">
        <v>1.0419194257617099E-2</v>
      </c>
      <c r="I696">
        <v>0.60060863629088201</v>
      </c>
      <c r="J696">
        <v>2.11</v>
      </c>
    </row>
    <row r="697" spans="1:10">
      <c r="A697" s="19">
        <v>42835</v>
      </c>
      <c r="B697">
        <v>686.1</v>
      </c>
      <c r="C697">
        <v>690.3</v>
      </c>
      <c r="D697">
        <v>2351</v>
      </c>
      <c r="E697">
        <v>2337</v>
      </c>
      <c r="F697">
        <v>0.29537869062901101</v>
      </c>
      <c r="G697">
        <v>0.28960299564904202</v>
      </c>
      <c r="H697">
        <v>1.0661751612210399E-2</v>
      </c>
      <c r="I697">
        <v>0.54172102202744898</v>
      </c>
      <c r="J697">
        <v>1.96</v>
      </c>
    </row>
    <row r="698" spans="1:10">
      <c r="A698" s="19">
        <v>42832</v>
      </c>
      <c r="B698">
        <v>680</v>
      </c>
      <c r="C698">
        <v>682.3</v>
      </c>
      <c r="D698">
        <v>2334</v>
      </c>
      <c r="E698">
        <v>2332</v>
      </c>
      <c r="F698">
        <v>0.29258147512864402</v>
      </c>
      <c r="G698">
        <v>0.28934738679009497</v>
      </c>
      <c r="H698">
        <v>1.07496588598284E-2</v>
      </c>
      <c r="I698">
        <v>0.30085497416435603</v>
      </c>
      <c r="J698">
        <v>1.1100000000000001</v>
      </c>
    </row>
    <row r="699" spans="1:10">
      <c r="A699" s="19">
        <v>42831</v>
      </c>
      <c r="B699">
        <v>675.2</v>
      </c>
      <c r="C699">
        <v>677.5</v>
      </c>
      <c r="D699">
        <v>2345</v>
      </c>
      <c r="E699">
        <v>2306</v>
      </c>
      <c r="F699">
        <v>0.29379878577623503</v>
      </c>
      <c r="G699">
        <v>0.28910931007173302</v>
      </c>
      <c r="H699">
        <v>1.0872423928854701E-2</v>
      </c>
      <c r="I699">
        <v>0.431318327466645</v>
      </c>
      <c r="J699">
        <v>1.6</v>
      </c>
    </row>
    <row r="700" spans="1:10">
      <c r="A700" s="19">
        <v>42830</v>
      </c>
      <c r="B700">
        <v>677.1</v>
      </c>
      <c r="C700">
        <v>679.8</v>
      </c>
      <c r="D700">
        <v>2373</v>
      </c>
      <c r="E700">
        <v>2346</v>
      </c>
      <c r="F700">
        <v>0.28976982097186699</v>
      </c>
      <c r="G700">
        <v>0.28886467052367898</v>
      </c>
      <c r="H700">
        <v>1.09701380703146E-2</v>
      </c>
      <c r="I700">
        <v>8.2510397078509198E-2</v>
      </c>
      <c r="J700">
        <v>0.31</v>
      </c>
    </row>
    <row r="701" spans="1:10">
      <c r="A701" s="19">
        <v>42829</v>
      </c>
      <c r="B701">
        <v>678.7</v>
      </c>
      <c r="C701">
        <v>672.6</v>
      </c>
      <c r="D701">
        <v>2384</v>
      </c>
      <c r="E701">
        <v>2364</v>
      </c>
      <c r="F701">
        <v>0.28451776649746102</v>
      </c>
      <c r="G701">
        <v>0.28875013813714301</v>
      </c>
      <c r="H701">
        <v>1.1004876128317E-2</v>
      </c>
      <c r="I701">
        <v>-0.38459057515345602</v>
      </c>
      <c r="J701">
        <v>-1.49</v>
      </c>
    </row>
    <row r="702" spans="1:10">
      <c r="A702" s="19">
        <v>42828</v>
      </c>
      <c r="B702">
        <v>687.1</v>
      </c>
      <c r="C702">
        <v>680.6</v>
      </c>
      <c r="D702">
        <v>2390</v>
      </c>
      <c r="E702">
        <v>2388</v>
      </c>
      <c r="F702">
        <v>0.28500837520937999</v>
      </c>
      <c r="G702">
        <v>0.28871839409979599</v>
      </c>
      <c r="H702">
        <v>1.1020461530059899E-2</v>
      </c>
      <c r="I702">
        <v>-0.33664823204510502</v>
      </c>
      <c r="J702">
        <v>-1.3</v>
      </c>
    </row>
    <row r="703" spans="1:10">
      <c r="A703" s="19">
        <v>42825</v>
      </c>
      <c r="B703">
        <v>708.1</v>
      </c>
      <c r="C703">
        <v>685.5</v>
      </c>
      <c r="D703">
        <v>2403</v>
      </c>
      <c r="E703">
        <v>2375</v>
      </c>
      <c r="F703">
        <v>0.28863157894736802</v>
      </c>
      <c r="G703">
        <v>0.28872445475263903</v>
      </c>
      <c r="H703">
        <v>1.1018544377294701E-2</v>
      </c>
      <c r="I703">
        <v>-8.4290448983446401E-3</v>
      </c>
      <c r="J703">
        <v>-0.03</v>
      </c>
    </row>
    <row r="704" spans="1:10">
      <c r="A704" s="19">
        <v>42824</v>
      </c>
      <c r="B704">
        <v>693.7</v>
      </c>
      <c r="C704">
        <v>705</v>
      </c>
      <c r="D704">
        <v>2413</v>
      </c>
      <c r="E704">
        <v>2395</v>
      </c>
      <c r="F704">
        <v>0.294363256784968</v>
      </c>
    </row>
    <row r="705" spans="1:6">
      <c r="A705" s="19">
        <v>42823</v>
      </c>
      <c r="B705">
        <v>699.7</v>
      </c>
      <c r="C705">
        <v>696.9</v>
      </c>
      <c r="D705">
        <v>2440</v>
      </c>
      <c r="E705">
        <v>2420</v>
      </c>
      <c r="F705">
        <v>0.28797520661157</v>
      </c>
    </row>
    <row r="706" spans="1:6">
      <c r="A706" s="19">
        <v>42822</v>
      </c>
      <c r="B706">
        <v>698.9</v>
      </c>
      <c r="C706">
        <v>702.2</v>
      </c>
      <c r="D706">
        <v>2434</v>
      </c>
      <c r="E706">
        <v>2436</v>
      </c>
      <c r="F706">
        <v>0.288259441707717</v>
      </c>
    </row>
    <row r="707" spans="1:6">
      <c r="A707" s="19">
        <v>42821</v>
      </c>
      <c r="B707">
        <v>691.8</v>
      </c>
      <c r="C707">
        <v>692.6</v>
      </c>
      <c r="D707">
        <v>2396</v>
      </c>
      <c r="E707">
        <v>2402</v>
      </c>
      <c r="F707">
        <v>0.28834304746044898</v>
      </c>
    </row>
    <row r="708" spans="1:6">
      <c r="A708" s="19">
        <v>42818</v>
      </c>
      <c r="B708">
        <v>700.1</v>
      </c>
      <c r="C708">
        <v>698.5</v>
      </c>
      <c r="D708">
        <v>2428</v>
      </c>
      <c r="E708">
        <v>2433</v>
      </c>
      <c r="F708">
        <v>0.28709412248253102</v>
      </c>
    </row>
    <row r="709" spans="1:6">
      <c r="A709" s="19">
        <v>42817</v>
      </c>
      <c r="B709">
        <v>702</v>
      </c>
      <c r="C709">
        <v>701.9</v>
      </c>
      <c r="D709">
        <v>2441</v>
      </c>
      <c r="E709">
        <v>2431</v>
      </c>
      <c r="F709">
        <v>0.28872891814068202</v>
      </c>
    </row>
    <row r="710" spans="1:6">
      <c r="A710" s="19">
        <v>42816</v>
      </c>
      <c r="B710">
        <v>710</v>
      </c>
      <c r="C710">
        <v>702.5</v>
      </c>
      <c r="D710">
        <v>2476</v>
      </c>
      <c r="E710">
        <v>2441</v>
      </c>
      <c r="F710">
        <v>0.287791888570258</v>
      </c>
    </row>
    <row r="711" spans="1:6">
      <c r="A711" s="19">
        <v>42815</v>
      </c>
      <c r="B711">
        <v>718.4</v>
      </c>
      <c r="C711">
        <v>721.1</v>
      </c>
      <c r="D711">
        <v>2485</v>
      </c>
      <c r="E711">
        <v>2512</v>
      </c>
      <c r="F711">
        <v>0.28706210191082798</v>
      </c>
    </row>
    <row r="712" spans="1:6">
      <c r="A712" s="19">
        <v>42811</v>
      </c>
      <c r="B712">
        <v>720.9</v>
      </c>
      <c r="C712">
        <v>723</v>
      </c>
      <c r="D712">
        <v>2503</v>
      </c>
      <c r="E712">
        <v>2508</v>
      </c>
      <c r="F712">
        <v>0.28827751196172202</v>
      </c>
    </row>
    <row r="713" spans="1:6">
      <c r="A713" s="19">
        <v>42810</v>
      </c>
      <c r="B713">
        <v>722.7</v>
      </c>
      <c r="C713">
        <v>723.2</v>
      </c>
      <c r="D713">
        <v>2478</v>
      </c>
      <c r="E713">
        <v>2521</v>
      </c>
      <c r="F713">
        <v>0.286870289567631</v>
      </c>
    </row>
    <row r="714" spans="1:6">
      <c r="A714" s="19">
        <v>42809</v>
      </c>
      <c r="B714">
        <v>725.5</v>
      </c>
      <c r="C714">
        <v>724</v>
      </c>
      <c r="D714">
        <v>2495</v>
      </c>
      <c r="E714">
        <v>2504</v>
      </c>
      <c r="F714">
        <v>0.28913738019169299</v>
      </c>
    </row>
    <row r="715" spans="1:6">
      <c r="A715" s="19">
        <v>42808</v>
      </c>
      <c r="B715">
        <v>728.2</v>
      </c>
      <c r="C715">
        <v>726.6</v>
      </c>
      <c r="D715">
        <v>2522</v>
      </c>
      <c r="E715">
        <v>2508</v>
      </c>
      <c r="F715">
        <v>0.28971291866028698</v>
      </c>
    </row>
    <row r="716" spans="1:6">
      <c r="A716" s="19">
        <v>42807</v>
      </c>
      <c r="B716">
        <v>723</v>
      </c>
      <c r="C716">
        <v>726.6</v>
      </c>
      <c r="D716">
        <v>2514</v>
      </c>
      <c r="E716">
        <v>2526</v>
      </c>
      <c r="F716">
        <v>0.28764845605700701</v>
      </c>
    </row>
    <row r="717" spans="1:6">
      <c r="A717" s="19">
        <v>42804</v>
      </c>
      <c r="B717">
        <v>733</v>
      </c>
      <c r="C717">
        <v>725.7</v>
      </c>
      <c r="D717">
        <v>2513</v>
      </c>
      <c r="E717">
        <v>2518</v>
      </c>
      <c r="F717">
        <v>0.288204924543288</v>
      </c>
    </row>
    <row r="718" spans="1:6">
      <c r="A718" s="19">
        <v>42803</v>
      </c>
      <c r="B718">
        <v>726.5</v>
      </c>
      <c r="C718">
        <v>729.5</v>
      </c>
      <c r="D718">
        <v>2517</v>
      </c>
      <c r="E718">
        <v>2483</v>
      </c>
      <c r="F718">
        <v>0.29379782521143699</v>
      </c>
    </row>
    <row r="719" spans="1:6">
      <c r="A719" s="19">
        <v>42802</v>
      </c>
      <c r="B719">
        <v>725</v>
      </c>
      <c r="C719">
        <v>724.7</v>
      </c>
      <c r="D719">
        <v>2518</v>
      </c>
      <c r="E719">
        <v>2502</v>
      </c>
      <c r="F719">
        <v>0.28964828137490001</v>
      </c>
    </row>
    <row r="720" spans="1:6">
      <c r="A720" s="19">
        <v>42801</v>
      </c>
      <c r="B720">
        <v>731.9</v>
      </c>
      <c r="C720">
        <v>729.3</v>
      </c>
      <c r="D720">
        <v>2493</v>
      </c>
      <c r="E720">
        <v>2518</v>
      </c>
      <c r="F720">
        <v>0.28963463065925299</v>
      </c>
    </row>
    <row r="721" spans="1:6">
      <c r="A721" s="19">
        <v>42800</v>
      </c>
      <c r="B721">
        <v>728</v>
      </c>
      <c r="C721">
        <v>730.3</v>
      </c>
      <c r="D721">
        <v>2480</v>
      </c>
      <c r="E721">
        <v>2477</v>
      </c>
      <c r="F721">
        <v>0.29483245861929702</v>
      </c>
    </row>
    <row r="722" spans="1:6">
      <c r="A722" s="19">
        <v>42797</v>
      </c>
      <c r="B722">
        <v>738</v>
      </c>
      <c r="C722">
        <v>729.4</v>
      </c>
      <c r="D722">
        <v>2513</v>
      </c>
      <c r="E722">
        <v>2506</v>
      </c>
      <c r="F722">
        <v>0.29106145251396598</v>
      </c>
    </row>
    <row r="723" spans="1:6">
      <c r="A723" s="19">
        <v>42796</v>
      </c>
      <c r="B723">
        <v>744</v>
      </c>
      <c r="C723">
        <v>740.1</v>
      </c>
      <c r="D723">
        <v>2525</v>
      </c>
      <c r="E723">
        <v>2513</v>
      </c>
      <c r="F723">
        <v>0.29450855551134097</v>
      </c>
    </row>
    <row r="724" spans="1:6">
      <c r="A724" s="19">
        <v>42795</v>
      </c>
      <c r="B724">
        <v>734.1</v>
      </c>
      <c r="C724">
        <v>735.9</v>
      </c>
      <c r="D724">
        <v>2473</v>
      </c>
      <c r="E724">
        <v>2497</v>
      </c>
      <c r="F724">
        <v>0.294713656387665</v>
      </c>
    </row>
    <row r="725" spans="1:6">
      <c r="A725" s="19">
        <v>42794</v>
      </c>
      <c r="B725">
        <v>730.6</v>
      </c>
      <c r="C725">
        <v>726.8</v>
      </c>
      <c r="D725">
        <v>2481</v>
      </c>
      <c r="E725">
        <v>2482</v>
      </c>
      <c r="F725">
        <v>0.29282836422240099</v>
      </c>
    </row>
    <row r="726" spans="1:6">
      <c r="A726" s="19">
        <v>42793</v>
      </c>
      <c r="B726">
        <v>726.2</v>
      </c>
      <c r="C726">
        <v>725.5</v>
      </c>
      <c r="D726">
        <v>2470</v>
      </c>
      <c r="E726">
        <v>2469</v>
      </c>
      <c r="F726">
        <v>0.29384366140137702</v>
      </c>
    </row>
    <row r="727" spans="1:6">
      <c r="A727" s="19">
        <v>42790</v>
      </c>
      <c r="B727">
        <v>737</v>
      </c>
      <c r="C727">
        <v>733.8</v>
      </c>
      <c r="D727">
        <v>2466</v>
      </c>
      <c r="E727">
        <v>2486</v>
      </c>
      <c r="F727">
        <v>0.29517296862429598</v>
      </c>
    </row>
    <row r="728" spans="1:6">
      <c r="A728" s="19">
        <v>42789</v>
      </c>
      <c r="B728">
        <v>740</v>
      </c>
      <c r="C728">
        <v>739.7</v>
      </c>
      <c r="D728">
        <v>2490</v>
      </c>
      <c r="E728">
        <v>2487</v>
      </c>
      <c r="F728">
        <v>0.29742661841576101</v>
      </c>
    </row>
    <row r="729" spans="1:6">
      <c r="A729" s="19">
        <v>42788</v>
      </c>
      <c r="B729">
        <v>737.8</v>
      </c>
      <c r="C729">
        <v>737.8</v>
      </c>
      <c r="D729">
        <v>2443</v>
      </c>
      <c r="E729">
        <v>2479</v>
      </c>
      <c r="F729">
        <v>0.297620008067769</v>
      </c>
    </row>
    <row r="730" spans="1:6">
      <c r="A730" s="19">
        <v>42787</v>
      </c>
      <c r="B730">
        <v>730.8</v>
      </c>
      <c r="C730">
        <v>736.3</v>
      </c>
      <c r="D730">
        <v>2400</v>
      </c>
      <c r="E730">
        <v>2435</v>
      </c>
      <c r="F730">
        <v>0.30238193018480403</v>
      </c>
    </row>
    <row r="731" spans="1:6">
      <c r="A731" s="19">
        <v>42786</v>
      </c>
      <c r="B731">
        <v>725</v>
      </c>
      <c r="C731">
        <v>730.4</v>
      </c>
      <c r="D731">
        <v>2377</v>
      </c>
      <c r="E731">
        <v>2410</v>
      </c>
      <c r="F731">
        <v>0.30307053941908701</v>
      </c>
    </row>
    <row r="732" spans="1:6">
      <c r="A732" s="19">
        <v>42783</v>
      </c>
      <c r="B732">
        <v>725.6</v>
      </c>
      <c r="C732">
        <v>728.6</v>
      </c>
      <c r="D732">
        <v>2372</v>
      </c>
      <c r="E732">
        <v>2368</v>
      </c>
      <c r="F732">
        <v>0.30768581081080998</v>
      </c>
    </row>
    <row r="733" spans="1:6">
      <c r="A733" s="19">
        <v>42782</v>
      </c>
      <c r="B733">
        <v>725.5</v>
      </c>
      <c r="C733">
        <v>725.6</v>
      </c>
      <c r="D733">
        <v>2374</v>
      </c>
      <c r="E733">
        <v>2386</v>
      </c>
      <c r="F733">
        <v>0.304107292539815</v>
      </c>
    </row>
    <row r="734" spans="1:6">
      <c r="A734" s="19">
        <v>42781</v>
      </c>
      <c r="B734">
        <v>726.3</v>
      </c>
      <c r="C734">
        <v>729.4</v>
      </c>
      <c r="D734">
        <v>2370</v>
      </c>
      <c r="E734">
        <v>2369</v>
      </c>
      <c r="F734">
        <v>0.30789362600253201</v>
      </c>
    </row>
    <row r="735" spans="1:6">
      <c r="A735" s="19">
        <v>42780</v>
      </c>
      <c r="B735">
        <v>723.8</v>
      </c>
      <c r="C735">
        <v>718.8</v>
      </c>
      <c r="D735">
        <v>2351</v>
      </c>
      <c r="E735">
        <v>2349</v>
      </c>
      <c r="F735">
        <v>0.30600255427841599</v>
      </c>
    </row>
    <row r="736" spans="1:6">
      <c r="A736" s="19">
        <v>42779</v>
      </c>
      <c r="B736">
        <v>722</v>
      </c>
      <c r="C736">
        <v>721.5</v>
      </c>
      <c r="D736">
        <v>2343</v>
      </c>
      <c r="E736">
        <v>2340</v>
      </c>
      <c r="F736">
        <v>0.30833333333333302</v>
      </c>
    </row>
    <row r="737" spans="1:6">
      <c r="A737" s="19">
        <v>42776</v>
      </c>
      <c r="B737">
        <v>713</v>
      </c>
      <c r="C737">
        <v>714.8</v>
      </c>
      <c r="D737">
        <v>2325</v>
      </c>
      <c r="E737">
        <v>2333</v>
      </c>
      <c r="F737">
        <v>0.30638662666095101</v>
      </c>
    </row>
    <row r="738" spans="1:6">
      <c r="A738" s="19">
        <v>42775</v>
      </c>
      <c r="B738">
        <v>708.7</v>
      </c>
      <c r="C738">
        <v>705.3</v>
      </c>
      <c r="D738">
        <v>2315</v>
      </c>
      <c r="E738">
        <v>2280</v>
      </c>
      <c r="F738">
        <v>0.30934210526315697</v>
      </c>
    </row>
    <row r="739" spans="1:6">
      <c r="A739" s="19">
        <v>42774</v>
      </c>
      <c r="B739">
        <v>699</v>
      </c>
      <c r="C739">
        <v>709.4</v>
      </c>
      <c r="D739">
        <v>2282</v>
      </c>
      <c r="E739">
        <v>2320</v>
      </c>
      <c r="F739">
        <v>0.30577586206896501</v>
      </c>
    </row>
    <row r="740" spans="1:6">
      <c r="A740" s="19">
        <v>42773</v>
      </c>
      <c r="B740">
        <v>696</v>
      </c>
      <c r="C740">
        <v>695.4</v>
      </c>
      <c r="D740">
        <v>2260</v>
      </c>
      <c r="E740">
        <v>2279</v>
      </c>
      <c r="F740">
        <v>0.30513383062746802</v>
      </c>
    </row>
    <row r="741" spans="1:6">
      <c r="A741" s="19">
        <v>42772</v>
      </c>
      <c r="B741">
        <v>682.7</v>
      </c>
      <c r="C741">
        <v>690.1</v>
      </c>
      <c r="D741">
        <v>2400</v>
      </c>
      <c r="E741">
        <v>2279</v>
      </c>
      <c r="F741">
        <v>0.30280824923211902</v>
      </c>
    </row>
    <row r="742" spans="1:6">
      <c r="A742" s="19">
        <v>42769</v>
      </c>
      <c r="B742">
        <v>683.2</v>
      </c>
      <c r="C742">
        <v>676.1</v>
      </c>
      <c r="D742">
        <v>2290</v>
      </c>
      <c r="E742">
        <v>2336</v>
      </c>
      <c r="F742">
        <v>0.28942636986301301</v>
      </c>
    </row>
    <row r="743" spans="1:6">
      <c r="A743" s="19">
        <v>42768</v>
      </c>
      <c r="B743">
        <v>689</v>
      </c>
      <c r="C743">
        <v>681.1</v>
      </c>
      <c r="D743">
        <v>2341</v>
      </c>
      <c r="E743">
        <v>2300</v>
      </c>
      <c r="F743">
        <v>0.29613043478260798</v>
      </c>
    </row>
    <row r="744" spans="1:6">
      <c r="A744" s="19">
        <v>42767</v>
      </c>
      <c r="B744">
        <v>679</v>
      </c>
      <c r="C744">
        <v>684.9</v>
      </c>
      <c r="D744">
        <v>2312</v>
      </c>
      <c r="E744">
        <v>2332</v>
      </c>
      <c r="F744">
        <v>0.29369639794168001</v>
      </c>
    </row>
    <row r="745" spans="1:6">
      <c r="A745" s="19">
        <v>42766</v>
      </c>
      <c r="B745">
        <v>683.5</v>
      </c>
      <c r="C745">
        <v>687.6</v>
      </c>
      <c r="D745">
        <v>2320</v>
      </c>
      <c r="E745">
        <v>2342</v>
      </c>
      <c r="F745">
        <v>0.29359521776259601</v>
      </c>
    </row>
    <row r="746" spans="1:6">
      <c r="A746" s="19">
        <v>42765</v>
      </c>
      <c r="B746">
        <v>697</v>
      </c>
      <c r="C746">
        <v>692.9</v>
      </c>
      <c r="D746">
        <v>2346</v>
      </c>
      <c r="E746">
        <v>2358</v>
      </c>
      <c r="F746">
        <v>0.29385072094995701</v>
      </c>
    </row>
    <row r="747" spans="1:6">
      <c r="A747" s="19">
        <v>42762</v>
      </c>
      <c r="B747">
        <v>700</v>
      </c>
      <c r="C747">
        <v>697</v>
      </c>
      <c r="D747">
        <v>2360</v>
      </c>
      <c r="E747">
        <v>2359</v>
      </c>
      <c r="F747">
        <v>0.29546417973717598</v>
      </c>
    </row>
    <row r="748" spans="1:6">
      <c r="A748" s="19">
        <v>42761</v>
      </c>
      <c r="B748">
        <v>694</v>
      </c>
      <c r="C748">
        <v>699</v>
      </c>
      <c r="D748">
        <v>2360</v>
      </c>
      <c r="E748">
        <v>2358</v>
      </c>
      <c r="F748">
        <v>0.296437659033078</v>
      </c>
    </row>
    <row r="749" spans="1:6">
      <c r="A749" s="19">
        <v>42760</v>
      </c>
      <c r="B749">
        <v>695</v>
      </c>
      <c r="C749">
        <v>689.2</v>
      </c>
      <c r="D749">
        <v>2340</v>
      </c>
      <c r="E749">
        <v>2342</v>
      </c>
      <c r="F749">
        <v>0.29427839453458499</v>
      </c>
    </row>
    <row r="750" spans="1:6">
      <c r="A750" s="19">
        <v>42759</v>
      </c>
      <c r="B750">
        <v>684.6</v>
      </c>
      <c r="C750">
        <v>685.8</v>
      </c>
      <c r="D750">
        <v>2297</v>
      </c>
      <c r="E750">
        <v>2318</v>
      </c>
      <c r="F750">
        <v>0.29585849870578002</v>
      </c>
    </row>
    <row r="751" spans="1:6">
      <c r="A751" s="19">
        <v>42758</v>
      </c>
      <c r="B751">
        <v>685</v>
      </c>
      <c r="C751">
        <v>683.7</v>
      </c>
      <c r="D751">
        <v>2343</v>
      </c>
      <c r="E751">
        <v>2324</v>
      </c>
      <c r="F751">
        <v>0.29419104991394102</v>
      </c>
    </row>
    <row r="752" spans="1:6">
      <c r="A752" s="19">
        <v>42755</v>
      </c>
      <c r="B752">
        <v>682</v>
      </c>
      <c r="C752">
        <v>687.6</v>
      </c>
      <c r="D752">
        <v>2331</v>
      </c>
      <c r="E752">
        <v>2352</v>
      </c>
      <c r="F752">
        <v>0.29234693877550999</v>
      </c>
    </row>
    <row r="753" spans="1:6">
      <c r="A753" s="19">
        <v>42754</v>
      </c>
      <c r="B753">
        <v>678.7</v>
      </c>
      <c r="C753">
        <v>681.6</v>
      </c>
      <c r="D753">
        <v>2367</v>
      </c>
      <c r="E753">
        <v>2349</v>
      </c>
      <c r="F753">
        <v>0.29016602809706199</v>
      </c>
    </row>
    <row r="754" spans="1:6">
      <c r="A754" s="19">
        <v>42753</v>
      </c>
      <c r="B754">
        <v>664.2</v>
      </c>
      <c r="C754">
        <v>674.9</v>
      </c>
      <c r="D754">
        <v>2399</v>
      </c>
      <c r="E754">
        <v>2401</v>
      </c>
      <c r="F754">
        <v>0.28109121199500198</v>
      </c>
    </row>
    <row r="755" spans="1:6">
      <c r="A755" s="19">
        <v>42752</v>
      </c>
      <c r="B755">
        <v>675.3</v>
      </c>
      <c r="C755">
        <v>670.4</v>
      </c>
      <c r="D755">
        <v>2441</v>
      </c>
      <c r="E755">
        <v>2397</v>
      </c>
      <c r="F755">
        <v>0.27968293700458902</v>
      </c>
    </row>
    <row r="756" spans="1:6">
      <c r="A756" s="19">
        <v>42751</v>
      </c>
      <c r="B756">
        <v>678</v>
      </c>
      <c r="C756">
        <v>676.1</v>
      </c>
      <c r="D756">
        <v>2459</v>
      </c>
      <c r="E756">
        <v>2438</v>
      </c>
      <c r="F756">
        <v>0.27731747333880202</v>
      </c>
    </row>
    <row r="757" spans="1:6">
      <c r="A757" s="19">
        <v>42748</v>
      </c>
      <c r="B757">
        <v>677</v>
      </c>
      <c r="C757">
        <v>678.1</v>
      </c>
      <c r="D757">
        <v>2461</v>
      </c>
      <c r="E757">
        <v>2477</v>
      </c>
      <c r="F757">
        <v>0.27375857892611999</v>
      </c>
    </row>
    <row r="758" spans="1:6">
      <c r="A758" s="19">
        <v>42747</v>
      </c>
      <c r="B758">
        <v>677.4</v>
      </c>
      <c r="C758">
        <v>673.7</v>
      </c>
      <c r="D758">
        <v>2500</v>
      </c>
      <c r="E758">
        <v>2460</v>
      </c>
      <c r="F758">
        <v>0.27386178861788602</v>
      </c>
    </row>
    <row r="759" spans="1:6">
      <c r="A759" s="19">
        <v>42746</v>
      </c>
      <c r="B759">
        <v>671</v>
      </c>
      <c r="C759">
        <v>677.7</v>
      </c>
      <c r="D759">
        <v>2487</v>
      </c>
      <c r="E759">
        <v>2485</v>
      </c>
      <c r="F759">
        <v>0.27271629778672002</v>
      </c>
    </row>
    <row r="760" spans="1:6">
      <c r="A760" s="19">
        <v>42745</v>
      </c>
      <c r="B760">
        <v>669.8</v>
      </c>
      <c r="C760">
        <v>668.3</v>
      </c>
      <c r="D760">
        <v>2506</v>
      </c>
      <c r="E760">
        <v>2474</v>
      </c>
      <c r="F760">
        <v>0.270129345189975</v>
      </c>
    </row>
    <row r="761" spans="1:6">
      <c r="A761" s="19">
        <v>42741</v>
      </c>
      <c r="B761">
        <v>673.4</v>
      </c>
      <c r="C761">
        <v>671.8</v>
      </c>
      <c r="D761">
        <v>2477</v>
      </c>
      <c r="E761">
        <v>2505</v>
      </c>
      <c r="F761">
        <v>0.26818363273453</v>
      </c>
    </row>
    <row r="762" spans="1:6">
      <c r="A762" s="19">
        <v>42740</v>
      </c>
      <c r="B762">
        <v>680.9</v>
      </c>
      <c r="C762">
        <v>678.3</v>
      </c>
      <c r="D762">
        <v>2515</v>
      </c>
      <c r="E762">
        <v>2498</v>
      </c>
      <c r="F762">
        <v>0.27153722978382699</v>
      </c>
    </row>
    <row r="763" spans="1:6">
      <c r="A763" s="19">
        <v>42739</v>
      </c>
      <c r="B763">
        <v>669.8</v>
      </c>
      <c r="C763">
        <v>679.2</v>
      </c>
      <c r="D763">
        <v>2452</v>
      </c>
      <c r="E763">
        <v>2521</v>
      </c>
      <c r="F763">
        <v>0.26941689805632602</v>
      </c>
    </row>
    <row r="764" spans="1:6">
      <c r="A764" s="19">
        <v>42734</v>
      </c>
      <c r="B764">
        <v>662</v>
      </c>
      <c r="C764">
        <v>662.8</v>
      </c>
      <c r="D764">
        <v>2426</v>
      </c>
      <c r="E764">
        <v>2440</v>
      </c>
      <c r="F764">
        <v>0.27163934426229502</v>
      </c>
    </row>
    <row r="765" spans="1:6">
      <c r="A765" s="19">
        <v>42733</v>
      </c>
      <c r="B765">
        <v>670</v>
      </c>
      <c r="C765">
        <v>666.5</v>
      </c>
      <c r="D765">
        <v>2453</v>
      </c>
      <c r="E765">
        <v>2436</v>
      </c>
      <c r="F765">
        <v>0.27360426929392401</v>
      </c>
    </row>
    <row r="766" spans="1:6">
      <c r="A766" s="19">
        <v>42732</v>
      </c>
      <c r="B766">
        <v>672.8</v>
      </c>
      <c r="C766">
        <v>676</v>
      </c>
      <c r="D766">
        <v>2437</v>
      </c>
      <c r="E766">
        <v>2449</v>
      </c>
      <c r="F766">
        <v>0.27603103307472399</v>
      </c>
    </row>
    <row r="767" spans="1:6">
      <c r="A767" s="19">
        <v>42731</v>
      </c>
      <c r="B767">
        <v>674.5</v>
      </c>
      <c r="C767">
        <v>674.8</v>
      </c>
      <c r="D767">
        <v>2459</v>
      </c>
      <c r="E767">
        <v>2429</v>
      </c>
      <c r="F767">
        <v>0.27780979827089303</v>
      </c>
    </row>
    <row r="768" spans="1:6">
      <c r="A768" s="19">
        <v>42730</v>
      </c>
      <c r="B768">
        <v>682</v>
      </c>
      <c r="C768">
        <v>674.7</v>
      </c>
      <c r="D768">
        <v>2472</v>
      </c>
      <c r="E768">
        <v>2468</v>
      </c>
      <c r="F768">
        <v>0.27337925445705002</v>
      </c>
    </row>
    <row r="769" spans="1:6">
      <c r="A769" s="19">
        <v>42726</v>
      </c>
      <c r="B769">
        <v>678</v>
      </c>
      <c r="C769">
        <v>681.8</v>
      </c>
      <c r="D769">
        <v>2453</v>
      </c>
      <c r="E769">
        <v>2458</v>
      </c>
      <c r="F769">
        <v>0.27737998372660699</v>
      </c>
    </row>
    <row r="770" spans="1:6">
      <c r="A770" s="19">
        <v>42725</v>
      </c>
      <c r="B770">
        <v>674</v>
      </c>
      <c r="C770">
        <v>676</v>
      </c>
      <c r="D770">
        <v>2491</v>
      </c>
      <c r="E770">
        <v>2459</v>
      </c>
      <c r="F770">
        <v>0.27490849938999501</v>
      </c>
    </row>
    <row r="771" spans="1:6">
      <c r="A771" s="19">
        <v>42724</v>
      </c>
      <c r="B771">
        <v>670.1</v>
      </c>
      <c r="C771">
        <v>670.5</v>
      </c>
      <c r="D771">
        <v>2417</v>
      </c>
      <c r="E771">
        <v>2491</v>
      </c>
      <c r="F771">
        <v>0.26916900843034902</v>
      </c>
    </row>
    <row r="772" spans="1:6">
      <c r="A772" s="19">
        <v>42723</v>
      </c>
      <c r="B772">
        <v>673.3</v>
      </c>
      <c r="C772">
        <v>674.5</v>
      </c>
      <c r="D772">
        <v>2465</v>
      </c>
      <c r="E772">
        <v>2442</v>
      </c>
      <c r="F772">
        <v>0.27620802620802598</v>
      </c>
    </row>
    <row r="773" spans="1:6">
      <c r="A773" s="19">
        <v>42720</v>
      </c>
      <c r="B773">
        <v>679.1</v>
      </c>
      <c r="C773">
        <v>676.1</v>
      </c>
      <c r="D773">
        <v>2468</v>
      </c>
      <c r="E773">
        <v>2461</v>
      </c>
      <c r="F773">
        <v>0.274725721251523</v>
      </c>
    </row>
    <row r="774" spans="1:6">
      <c r="A774" s="19">
        <v>42719</v>
      </c>
      <c r="B774">
        <v>677</v>
      </c>
      <c r="C774">
        <v>672.1</v>
      </c>
      <c r="D774">
        <v>2416</v>
      </c>
      <c r="E774">
        <v>2440</v>
      </c>
      <c r="F774">
        <v>0.27545081967213098</v>
      </c>
    </row>
    <row r="775" spans="1:6">
      <c r="A775" s="19">
        <v>42718</v>
      </c>
      <c r="B775">
        <v>680</v>
      </c>
      <c r="C775">
        <v>676.8</v>
      </c>
      <c r="D775">
        <v>2425</v>
      </c>
      <c r="E775">
        <v>2407</v>
      </c>
      <c r="F775">
        <v>0.281179891981719</v>
      </c>
    </row>
    <row r="776" spans="1:6">
      <c r="A776" s="19">
        <v>42717</v>
      </c>
      <c r="B776">
        <v>675.1</v>
      </c>
      <c r="C776">
        <v>683.9</v>
      </c>
      <c r="D776">
        <v>2394</v>
      </c>
      <c r="E776">
        <v>2424</v>
      </c>
      <c r="F776">
        <v>0.28213696369636898</v>
      </c>
    </row>
    <row r="777" spans="1:6">
      <c r="A777" s="19">
        <v>42716</v>
      </c>
      <c r="B777">
        <v>689.9</v>
      </c>
      <c r="C777">
        <v>681.4</v>
      </c>
      <c r="D777">
        <v>2423</v>
      </c>
      <c r="E777">
        <v>2387</v>
      </c>
      <c r="F777">
        <v>0.285462924172601</v>
      </c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40</v>
      </c>
    </row>
    <row r="2" spans="1:1">
      <c r="A2" s="1" t="s">
        <v>41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workbookViewId="0">
      <selection activeCell="S11" sqref="S11"/>
    </sheetView>
  </sheetViews>
  <sheetFormatPr defaultRowHeight="14.25"/>
  <cols>
    <col min="1" max="1" width="9" style="108"/>
    <col min="4" max="4" width="9.875" customWidth="1"/>
    <col min="19" max="19" width="15" customWidth="1"/>
    <col min="22" max="22" width="11.25" customWidth="1"/>
  </cols>
  <sheetData>
    <row r="1" spans="1:34">
      <c r="B1" s="112" t="s">
        <v>331</v>
      </c>
      <c r="C1" s="112" t="s">
        <v>54</v>
      </c>
      <c r="D1" s="112" t="s">
        <v>55</v>
      </c>
      <c r="E1" s="112" t="s">
        <v>56</v>
      </c>
      <c r="F1" s="112" t="s">
        <v>57</v>
      </c>
      <c r="G1" s="112" t="s">
        <v>58</v>
      </c>
      <c r="H1" s="112" t="s">
        <v>59</v>
      </c>
      <c r="I1" s="112" t="s">
        <v>60</v>
      </c>
      <c r="J1" s="112" t="s">
        <v>45</v>
      </c>
      <c r="K1" s="112" t="s">
        <v>61</v>
      </c>
      <c r="L1" s="112" t="s">
        <v>62</v>
      </c>
      <c r="M1" s="112" t="s">
        <v>63</v>
      </c>
      <c r="N1" s="112" t="s">
        <v>64</v>
      </c>
      <c r="O1" s="112" t="s">
        <v>65</v>
      </c>
      <c r="P1" s="112" t="s">
        <v>66</v>
      </c>
      <c r="Q1" s="112" t="s">
        <v>67</v>
      </c>
      <c r="R1" s="112" t="s">
        <v>68</v>
      </c>
      <c r="S1" s="112" t="s">
        <v>69</v>
      </c>
      <c r="T1" s="112" t="s">
        <v>95</v>
      </c>
      <c r="U1" s="112" t="s">
        <v>70</v>
      </c>
      <c r="V1" s="112" t="s">
        <v>71</v>
      </c>
      <c r="W1" s="112" t="s">
        <v>72</v>
      </c>
      <c r="X1" s="112" t="s">
        <v>73</v>
      </c>
      <c r="Y1" s="112" t="s">
        <v>74</v>
      </c>
      <c r="Z1" s="112" t="s">
        <v>75</v>
      </c>
      <c r="AA1" s="112" t="s">
        <v>76</v>
      </c>
      <c r="AB1" s="112" t="s">
        <v>77</v>
      </c>
      <c r="AC1" s="112" t="s">
        <v>78</v>
      </c>
      <c r="AD1" s="112" t="s">
        <v>79</v>
      </c>
      <c r="AE1" s="112" t="s">
        <v>80</v>
      </c>
      <c r="AF1" s="112" t="s">
        <v>96</v>
      </c>
      <c r="AG1" s="112" t="s">
        <v>97</v>
      </c>
      <c r="AH1" s="112" t="s">
        <v>98</v>
      </c>
    </row>
    <row r="2" spans="1:34">
      <c r="A2" s="108">
        <v>135</v>
      </c>
      <c r="B2">
        <v>3105</v>
      </c>
      <c r="C2" s="112" t="s">
        <v>111</v>
      </c>
      <c r="D2" s="112" t="s">
        <v>108</v>
      </c>
      <c r="E2">
        <v>1098</v>
      </c>
      <c r="F2">
        <v>1086</v>
      </c>
      <c r="G2">
        <v>800</v>
      </c>
      <c r="H2" s="112" t="s">
        <v>83</v>
      </c>
      <c r="I2">
        <v>6995</v>
      </c>
      <c r="J2" s="112" t="s">
        <v>112</v>
      </c>
      <c r="K2" s="112" t="s">
        <v>105</v>
      </c>
      <c r="L2">
        <v>2258</v>
      </c>
      <c r="M2">
        <v>2263</v>
      </c>
      <c r="N2">
        <v>400</v>
      </c>
      <c r="O2" s="112" t="s">
        <v>81</v>
      </c>
      <c r="P2">
        <v>0.927039141219416</v>
      </c>
      <c r="Q2">
        <v>0.91041302965174198</v>
      </c>
      <c r="R2" s="20">
        <v>0.21884057290769901</v>
      </c>
      <c r="S2">
        <v>0.14179378070035201</v>
      </c>
      <c r="T2">
        <v>1.3923639776616501</v>
      </c>
      <c r="U2">
        <v>1.3923639776616501</v>
      </c>
      <c r="V2">
        <v>3.6</v>
      </c>
      <c r="W2">
        <v>4.0199999999999996</v>
      </c>
      <c r="X2">
        <v>612244</v>
      </c>
      <c r="Y2">
        <v>32223</v>
      </c>
      <c r="Z2">
        <v>1.55</v>
      </c>
      <c r="AA2">
        <v>19</v>
      </c>
      <c r="AB2">
        <v>12</v>
      </c>
      <c r="AC2">
        <v>7</v>
      </c>
      <c r="AD2">
        <v>63.16</v>
      </c>
      <c r="AE2">
        <v>12</v>
      </c>
      <c r="AF2">
        <v>10</v>
      </c>
      <c r="AG2">
        <v>1</v>
      </c>
      <c r="AH2">
        <v>8</v>
      </c>
    </row>
    <row r="3" spans="1:34">
      <c r="A3" s="108">
        <v>87</v>
      </c>
      <c r="B3">
        <v>4626</v>
      </c>
      <c r="C3" s="112" t="s">
        <v>974</v>
      </c>
      <c r="D3" s="112" t="s">
        <v>82</v>
      </c>
      <c r="E3">
        <v>4350</v>
      </c>
      <c r="F3">
        <v>4315</v>
      </c>
      <c r="G3">
        <v>200</v>
      </c>
      <c r="H3" s="112" t="s">
        <v>81</v>
      </c>
      <c r="I3">
        <v>6134</v>
      </c>
      <c r="J3" s="112" t="s">
        <v>975</v>
      </c>
      <c r="K3" s="112" t="s">
        <v>120</v>
      </c>
      <c r="L3">
        <v>2015</v>
      </c>
      <c r="M3">
        <v>2052</v>
      </c>
      <c r="N3">
        <v>400</v>
      </c>
      <c r="O3" s="112" t="s">
        <v>83</v>
      </c>
      <c r="P3">
        <v>0.93107572445847397</v>
      </c>
      <c r="Q3">
        <v>0.92271556027822099</v>
      </c>
      <c r="R3" s="20">
        <v>6.9162018300352707E-2</v>
      </c>
      <c r="S3" s="112">
        <v>0.17872469120161699</v>
      </c>
      <c r="T3">
        <v>-1.6578950447895799</v>
      </c>
      <c r="U3">
        <v>1.6578950447895799</v>
      </c>
      <c r="V3">
        <v>-5.75</v>
      </c>
      <c r="W3">
        <v>4.8899999999999997</v>
      </c>
      <c r="X3">
        <v>550688</v>
      </c>
      <c r="Y3">
        <v>32393</v>
      </c>
      <c r="Z3">
        <v>1.85</v>
      </c>
      <c r="AA3">
        <v>17</v>
      </c>
      <c r="AB3">
        <v>13</v>
      </c>
      <c r="AC3">
        <v>4</v>
      </c>
      <c r="AD3">
        <v>76.47</v>
      </c>
      <c r="AE3">
        <v>12</v>
      </c>
      <c r="AF3">
        <v>9</v>
      </c>
      <c r="AG3">
        <v>2</v>
      </c>
      <c r="AH3">
        <v>6</v>
      </c>
    </row>
    <row r="4" spans="1:34">
      <c r="A4" s="108">
        <v>36</v>
      </c>
      <c r="B4">
        <v>3635</v>
      </c>
      <c r="C4" s="112" t="s">
        <v>106</v>
      </c>
      <c r="D4" s="112" t="s">
        <v>100</v>
      </c>
      <c r="E4">
        <v>2727</v>
      </c>
      <c r="F4">
        <v>2709</v>
      </c>
      <c r="G4">
        <v>400</v>
      </c>
      <c r="H4" s="112" t="s">
        <v>83</v>
      </c>
      <c r="I4">
        <v>6845</v>
      </c>
      <c r="J4" s="112" t="s">
        <v>332</v>
      </c>
      <c r="K4" s="112" t="s">
        <v>108</v>
      </c>
      <c r="L4">
        <v>3260</v>
      </c>
      <c r="M4">
        <v>3205</v>
      </c>
      <c r="N4">
        <v>300</v>
      </c>
      <c r="O4" s="112" t="s">
        <v>81</v>
      </c>
      <c r="P4">
        <v>0.90971432567619903</v>
      </c>
      <c r="Q4">
        <v>0.94276442426871299</v>
      </c>
      <c r="R4">
        <v>0.15724100443713501</v>
      </c>
      <c r="S4">
        <v>0.14591572573814299</v>
      </c>
      <c r="T4">
        <v>1.92933119841597</v>
      </c>
      <c r="U4">
        <v>1.92933119841597</v>
      </c>
      <c r="V4">
        <v>4.1100000000000003</v>
      </c>
      <c r="W4">
        <v>12.7</v>
      </c>
      <c r="X4">
        <v>542091</v>
      </c>
      <c r="Y4">
        <v>31888</v>
      </c>
      <c r="Z4">
        <v>1.61</v>
      </c>
      <c r="AA4">
        <v>17</v>
      </c>
      <c r="AB4">
        <v>14</v>
      </c>
      <c r="AC4">
        <v>3</v>
      </c>
      <c r="AD4">
        <v>82.35</v>
      </c>
      <c r="AE4">
        <v>12</v>
      </c>
      <c r="AF4">
        <v>8</v>
      </c>
      <c r="AG4">
        <v>2</v>
      </c>
      <c r="AH4">
        <v>7</v>
      </c>
    </row>
    <row r="5" spans="1:34">
      <c r="A5" s="108">
        <v>45</v>
      </c>
      <c r="B5">
        <v>2914</v>
      </c>
      <c r="C5" s="112" t="s">
        <v>117</v>
      </c>
      <c r="D5" s="112" t="s">
        <v>118</v>
      </c>
      <c r="E5">
        <v>2518</v>
      </c>
      <c r="F5">
        <v>2501.5</v>
      </c>
      <c r="G5">
        <v>400</v>
      </c>
      <c r="H5" s="112" t="s">
        <v>81</v>
      </c>
      <c r="I5">
        <v>7189</v>
      </c>
      <c r="J5" s="112" t="s">
        <v>102</v>
      </c>
      <c r="K5" s="112" t="s">
        <v>103</v>
      </c>
      <c r="L5">
        <v>873</v>
      </c>
      <c r="M5">
        <v>879</v>
      </c>
      <c r="N5">
        <v>1100</v>
      </c>
      <c r="O5" s="112" t="s">
        <v>83</v>
      </c>
      <c r="P5">
        <v>0.91033945217374401</v>
      </c>
      <c r="Q5">
        <v>0.93928907246460602</v>
      </c>
      <c r="R5">
        <v>0.14137054949476199</v>
      </c>
      <c r="S5">
        <v>2.5503678770511899E-2</v>
      </c>
      <c r="T5">
        <v>-1.2312172121365901</v>
      </c>
      <c r="U5">
        <v>1.2312172121365901</v>
      </c>
      <c r="V5">
        <v>-8.1999999999999993</v>
      </c>
      <c r="W5">
        <v>3.37</v>
      </c>
      <c r="X5">
        <v>526842</v>
      </c>
      <c r="Y5">
        <v>23947</v>
      </c>
      <c r="Z5">
        <v>1.21</v>
      </c>
      <c r="AA5">
        <v>22</v>
      </c>
      <c r="AB5">
        <v>16</v>
      </c>
      <c r="AC5">
        <v>6</v>
      </c>
      <c r="AD5">
        <v>72.73</v>
      </c>
      <c r="AE5">
        <v>14</v>
      </c>
      <c r="AF5">
        <v>12</v>
      </c>
      <c r="AG5">
        <v>3</v>
      </c>
      <c r="AH5">
        <v>7</v>
      </c>
    </row>
    <row r="6" spans="1:34">
      <c r="A6" s="108">
        <v>2</v>
      </c>
      <c r="B6">
        <v>3635</v>
      </c>
      <c r="C6" s="112" t="s">
        <v>106</v>
      </c>
      <c r="D6" s="112" t="s">
        <v>100</v>
      </c>
      <c r="E6">
        <v>2727</v>
      </c>
      <c r="F6">
        <v>2709</v>
      </c>
      <c r="G6">
        <v>400</v>
      </c>
      <c r="H6" s="112" t="s">
        <v>81</v>
      </c>
      <c r="I6">
        <v>6920</v>
      </c>
      <c r="J6" s="112" t="s">
        <v>107</v>
      </c>
      <c r="K6" s="112" t="s">
        <v>108</v>
      </c>
      <c r="L6">
        <v>9950</v>
      </c>
      <c r="M6">
        <v>9850</v>
      </c>
      <c r="N6">
        <v>100</v>
      </c>
      <c r="O6" s="112" t="s">
        <v>83</v>
      </c>
      <c r="P6">
        <v>0.93584069643476198</v>
      </c>
      <c r="Q6">
        <v>0.96795276599319702</v>
      </c>
      <c r="R6">
        <v>6.0964592358863298E-2</v>
      </c>
      <c r="S6">
        <v>7.9078946533334799E-4</v>
      </c>
      <c r="T6">
        <v>-1.4321381115162599</v>
      </c>
      <c r="U6">
        <v>1.4321381115162599</v>
      </c>
      <c r="V6">
        <v>-15.11</v>
      </c>
      <c r="W6">
        <v>10.01</v>
      </c>
      <c r="X6">
        <v>518439</v>
      </c>
      <c r="Y6">
        <v>25922</v>
      </c>
      <c r="Z6">
        <v>1.37</v>
      </c>
      <c r="AA6">
        <v>20</v>
      </c>
      <c r="AB6">
        <v>13</v>
      </c>
      <c r="AC6">
        <v>7</v>
      </c>
      <c r="AD6">
        <v>65</v>
      </c>
      <c r="AE6">
        <v>10</v>
      </c>
      <c r="AF6">
        <v>10</v>
      </c>
      <c r="AG6">
        <v>6</v>
      </c>
      <c r="AH6">
        <v>4</v>
      </c>
    </row>
    <row r="7" spans="1:34">
      <c r="A7" s="108">
        <v>17</v>
      </c>
      <c r="B7">
        <v>1928</v>
      </c>
      <c r="C7" s="112" t="s">
        <v>327</v>
      </c>
      <c r="D7" s="112" t="s">
        <v>99</v>
      </c>
      <c r="E7">
        <v>2401</v>
      </c>
      <c r="F7">
        <v>2369.5</v>
      </c>
      <c r="G7">
        <v>400</v>
      </c>
      <c r="H7" s="112" t="s">
        <v>81</v>
      </c>
      <c r="I7">
        <v>4062</v>
      </c>
      <c r="J7" s="112" t="s">
        <v>351</v>
      </c>
      <c r="K7" s="112" t="s">
        <v>108</v>
      </c>
      <c r="L7">
        <v>2625</v>
      </c>
      <c r="M7">
        <v>2608</v>
      </c>
      <c r="N7">
        <v>400</v>
      </c>
      <c r="O7" s="112" t="s">
        <v>83</v>
      </c>
      <c r="P7">
        <v>0.93394233263238302</v>
      </c>
      <c r="Q7">
        <v>0.95243154285142695</v>
      </c>
      <c r="R7">
        <v>2.9621396314578601E-2</v>
      </c>
      <c r="S7">
        <v>7.5486389724147604E-2</v>
      </c>
      <c r="T7">
        <v>-1.4895137414662101</v>
      </c>
      <c r="U7">
        <v>1.4895137414662101</v>
      </c>
      <c r="V7">
        <v>-4.22</v>
      </c>
      <c r="W7">
        <v>9.14</v>
      </c>
      <c r="X7">
        <v>454397</v>
      </c>
      <c r="Y7">
        <v>28400</v>
      </c>
      <c r="Z7">
        <v>1.52</v>
      </c>
      <c r="AA7">
        <v>16</v>
      </c>
      <c r="AB7">
        <v>13</v>
      </c>
      <c r="AC7">
        <v>3</v>
      </c>
      <c r="AD7">
        <v>81.25</v>
      </c>
      <c r="AE7">
        <v>11</v>
      </c>
      <c r="AF7">
        <v>9</v>
      </c>
      <c r="AG7">
        <v>2</v>
      </c>
      <c r="AH7">
        <v>5</v>
      </c>
    </row>
    <row r="8" spans="1:34">
      <c r="A8" s="108">
        <v>65</v>
      </c>
      <c r="B8">
        <v>4204</v>
      </c>
      <c r="C8" s="112" t="s">
        <v>349</v>
      </c>
      <c r="D8" s="112" t="s">
        <v>82</v>
      </c>
      <c r="E8">
        <v>1941</v>
      </c>
      <c r="F8">
        <v>1926</v>
      </c>
      <c r="G8">
        <v>400</v>
      </c>
      <c r="H8" s="112" t="s">
        <v>81</v>
      </c>
      <c r="I8">
        <v>4626</v>
      </c>
      <c r="J8" s="112" t="s">
        <v>974</v>
      </c>
      <c r="K8" s="112" t="s">
        <v>82</v>
      </c>
      <c r="L8">
        <v>4350</v>
      </c>
      <c r="M8">
        <v>4315</v>
      </c>
      <c r="N8">
        <v>200</v>
      </c>
      <c r="O8" s="112" t="s">
        <v>83</v>
      </c>
      <c r="P8">
        <v>0.92543351581627997</v>
      </c>
      <c r="Q8">
        <v>0.930388591013526</v>
      </c>
      <c r="R8">
        <v>0.36912479146980498</v>
      </c>
      <c r="S8" s="20">
        <v>2.7766153780734899E-2</v>
      </c>
      <c r="T8">
        <v>-1.0641943554937801</v>
      </c>
      <c r="U8">
        <v>1.0641943554937801</v>
      </c>
      <c r="V8">
        <v>-3.9</v>
      </c>
      <c r="W8">
        <v>10.73</v>
      </c>
      <c r="X8">
        <v>440364</v>
      </c>
      <c r="Y8">
        <v>23177</v>
      </c>
      <c r="Z8">
        <v>1.21</v>
      </c>
      <c r="AA8">
        <v>19</v>
      </c>
      <c r="AB8">
        <v>13</v>
      </c>
      <c r="AC8">
        <v>6</v>
      </c>
      <c r="AD8">
        <v>68.42</v>
      </c>
      <c r="AE8">
        <v>15</v>
      </c>
      <c r="AF8">
        <v>9</v>
      </c>
      <c r="AG8">
        <v>1</v>
      </c>
      <c r="AH8">
        <v>9</v>
      </c>
    </row>
    <row r="9" spans="1:34">
      <c r="A9" s="108">
        <v>18</v>
      </c>
      <c r="B9">
        <v>5991</v>
      </c>
      <c r="C9" s="112" t="s">
        <v>136</v>
      </c>
      <c r="D9" s="112" t="s">
        <v>137</v>
      </c>
      <c r="E9">
        <v>1021</v>
      </c>
      <c r="F9">
        <v>1021</v>
      </c>
      <c r="G9">
        <v>1000</v>
      </c>
      <c r="H9" s="112" t="s">
        <v>83</v>
      </c>
      <c r="I9">
        <v>7278</v>
      </c>
      <c r="J9" s="112" t="s">
        <v>104</v>
      </c>
      <c r="K9" s="112" t="s">
        <v>105</v>
      </c>
      <c r="L9">
        <v>2565</v>
      </c>
      <c r="M9">
        <v>2544</v>
      </c>
      <c r="N9">
        <v>400</v>
      </c>
      <c r="O9" s="112" t="s">
        <v>81</v>
      </c>
      <c r="P9">
        <v>0.93360058586321304</v>
      </c>
      <c r="Q9">
        <v>0.95110416520535002</v>
      </c>
      <c r="R9">
        <v>0.16869255927370599</v>
      </c>
      <c r="S9" s="20">
        <v>6.5456899490841103E-3</v>
      </c>
      <c r="T9">
        <v>1.3278523391883701</v>
      </c>
      <c r="U9">
        <v>1.3278523391883701</v>
      </c>
      <c r="V9">
        <v>3.15</v>
      </c>
      <c r="W9">
        <v>0.33</v>
      </c>
      <c r="X9">
        <v>437615</v>
      </c>
      <c r="Y9">
        <v>24312</v>
      </c>
      <c r="Z9">
        <v>1.1399999999999999</v>
      </c>
      <c r="AA9">
        <v>18</v>
      </c>
      <c r="AB9">
        <v>13</v>
      </c>
      <c r="AC9">
        <v>5</v>
      </c>
      <c r="AD9">
        <v>72.22</v>
      </c>
      <c r="AE9">
        <v>13</v>
      </c>
      <c r="AF9">
        <v>8</v>
      </c>
      <c r="AG9">
        <v>1</v>
      </c>
      <c r="AH9">
        <v>9</v>
      </c>
    </row>
    <row r="10" spans="1:34">
      <c r="A10" s="108">
        <v>34</v>
      </c>
      <c r="B10">
        <v>1973</v>
      </c>
      <c r="C10" s="112" t="s">
        <v>335</v>
      </c>
      <c r="D10" s="112" t="s">
        <v>100</v>
      </c>
      <c r="E10">
        <v>3620</v>
      </c>
      <c r="F10">
        <v>3570</v>
      </c>
      <c r="G10">
        <v>300</v>
      </c>
      <c r="H10" s="112" t="s">
        <v>83</v>
      </c>
      <c r="I10">
        <v>3635</v>
      </c>
      <c r="J10" s="112" t="s">
        <v>106</v>
      </c>
      <c r="K10" s="112" t="s">
        <v>100</v>
      </c>
      <c r="L10">
        <v>2727</v>
      </c>
      <c r="M10">
        <v>2709</v>
      </c>
      <c r="N10">
        <v>400</v>
      </c>
      <c r="O10" s="112" t="s">
        <v>81</v>
      </c>
      <c r="P10">
        <v>0.94926438580290895</v>
      </c>
      <c r="Q10">
        <v>0.94317229182948503</v>
      </c>
      <c r="R10">
        <v>8.7949950181474296E-3</v>
      </c>
      <c r="S10">
        <v>2.33370920769637E-2</v>
      </c>
      <c r="T10">
        <v>0.34157573175174999</v>
      </c>
      <c r="U10">
        <v>0.34157573175174999</v>
      </c>
      <c r="V10">
        <v>0.99</v>
      </c>
      <c r="W10">
        <v>1.18</v>
      </c>
      <c r="X10">
        <v>416117</v>
      </c>
      <c r="Y10">
        <v>26007</v>
      </c>
      <c r="Z10">
        <v>1.37</v>
      </c>
      <c r="AA10">
        <v>16</v>
      </c>
      <c r="AB10">
        <v>12</v>
      </c>
      <c r="AC10">
        <v>4</v>
      </c>
      <c r="AD10">
        <v>75</v>
      </c>
      <c r="AE10">
        <v>13</v>
      </c>
      <c r="AF10">
        <v>8</v>
      </c>
      <c r="AG10">
        <v>1</v>
      </c>
      <c r="AH10">
        <v>7</v>
      </c>
    </row>
    <row r="11" spans="1:34">
      <c r="A11" s="108">
        <v>151</v>
      </c>
      <c r="B11">
        <v>3861</v>
      </c>
      <c r="C11" s="112" t="s">
        <v>85</v>
      </c>
      <c r="D11" s="112" t="s">
        <v>101</v>
      </c>
      <c r="E11">
        <v>647</v>
      </c>
      <c r="F11">
        <v>643</v>
      </c>
      <c r="G11">
        <v>1300</v>
      </c>
      <c r="H11" s="112" t="s">
        <v>83</v>
      </c>
      <c r="I11">
        <v>4183</v>
      </c>
      <c r="J11" s="112" t="s">
        <v>326</v>
      </c>
      <c r="K11" s="112" t="s">
        <v>82</v>
      </c>
      <c r="L11">
        <v>2790</v>
      </c>
      <c r="M11">
        <v>2776</v>
      </c>
      <c r="N11">
        <v>300</v>
      </c>
      <c r="O11" s="112" t="s">
        <v>81</v>
      </c>
      <c r="P11">
        <v>0.923806697971985</v>
      </c>
      <c r="Q11">
        <v>0.90630191803330995</v>
      </c>
      <c r="R11">
        <v>0.146394319217486</v>
      </c>
      <c r="S11">
        <v>0.14847157441981099</v>
      </c>
      <c r="T11">
        <v>1.03941556363798</v>
      </c>
      <c r="U11">
        <v>1.03941556363798</v>
      </c>
      <c r="V11">
        <v>4.47</v>
      </c>
      <c r="W11">
        <v>0.37</v>
      </c>
      <c r="X11">
        <v>408613</v>
      </c>
      <c r="Y11">
        <v>17766</v>
      </c>
      <c r="Z11">
        <v>0.95</v>
      </c>
      <c r="AA11">
        <v>23</v>
      </c>
      <c r="AB11">
        <v>15</v>
      </c>
      <c r="AC11">
        <v>8</v>
      </c>
      <c r="AD11">
        <v>65.22</v>
      </c>
      <c r="AE11">
        <v>13</v>
      </c>
      <c r="AF11">
        <v>10</v>
      </c>
      <c r="AG11">
        <v>4</v>
      </c>
      <c r="AH11">
        <v>9</v>
      </c>
    </row>
    <row r="12" spans="1:34">
      <c r="A12" s="108">
        <v>78</v>
      </c>
      <c r="B12">
        <v>1820</v>
      </c>
      <c r="C12" s="112" t="s">
        <v>143</v>
      </c>
      <c r="D12" s="112" t="s">
        <v>99</v>
      </c>
      <c r="E12">
        <v>2558</v>
      </c>
      <c r="F12">
        <v>2503</v>
      </c>
      <c r="G12">
        <v>400</v>
      </c>
      <c r="H12" s="112" t="s">
        <v>83</v>
      </c>
      <c r="I12">
        <v>7278</v>
      </c>
      <c r="J12" s="112" t="s">
        <v>104</v>
      </c>
      <c r="K12" s="112" t="s">
        <v>105</v>
      </c>
      <c r="L12">
        <v>2565</v>
      </c>
      <c r="M12">
        <v>2544</v>
      </c>
      <c r="N12">
        <v>400</v>
      </c>
      <c r="O12" s="112" t="s">
        <v>81</v>
      </c>
      <c r="P12">
        <v>0.93398790201096005</v>
      </c>
      <c r="Q12">
        <v>0.92618471131610003</v>
      </c>
      <c r="R12">
        <v>0.17808716941828201</v>
      </c>
      <c r="S12" s="20">
        <v>1.87698929505184E-2</v>
      </c>
      <c r="T12">
        <v>0.89094346773236499</v>
      </c>
      <c r="U12">
        <v>0.89094346773236499</v>
      </c>
      <c r="V12">
        <v>2.56</v>
      </c>
      <c r="W12">
        <v>1.61</v>
      </c>
      <c r="X12">
        <v>350930</v>
      </c>
      <c r="Y12">
        <v>25066</v>
      </c>
      <c r="Z12">
        <v>1.22</v>
      </c>
      <c r="AA12">
        <v>14</v>
      </c>
      <c r="AB12">
        <v>9</v>
      </c>
      <c r="AC12">
        <v>5</v>
      </c>
      <c r="AD12">
        <v>64.290000000000006</v>
      </c>
      <c r="AE12">
        <v>12</v>
      </c>
      <c r="AF12">
        <v>8</v>
      </c>
      <c r="AG12">
        <v>2</v>
      </c>
      <c r="AH12">
        <v>4</v>
      </c>
    </row>
    <row r="13" spans="1:34">
      <c r="A13" s="108">
        <v>79</v>
      </c>
      <c r="B13">
        <v>1963</v>
      </c>
      <c r="C13" s="112" t="s">
        <v>151</v>
      </c>
      <c r="D13" s="112" t="s">
        <v>99</v>
      </c>
      <c r="E13">
        <v>1726</v>
      </c>
      <c r="F13">
        <v>1742</v>
      </c>
      <c r="G13">
        <v>500</v>
      </c>
      <c r="H13" s="112" t="s">
        <v>83</v>
      </c>
      <c r="I13">
        <v>7272</v>
      </c>
      <c r="J13" s="112" t="s">
        <v>325</v>
      </c>
      <c r="K13" s="112" t="s">
        <v>105</v>
      </c>
      <c r="L13">
        <v>2312</v>
      </c>
      <c r="M13">
        <v>2350</v>
      </c>
      <c r="N13">
        <v>400</v>
      </c>
      <c r="O13" s="112" t="s">
        <v>81</v>
      </c>
      <c r="P13">
        <v>0.93572891816471004</v>
      </c>
      <c r="Q13">
        <v>0.92587084370181005</v>
      </c>
      <c r="R13">
        <v>0.289643588099808</v>
      </c>
      <c r="S13" s="20">
        <v>2.8027292474397201E-5</v>
      </c>
      <c r="T13">
        <v>0.85921270266671201</v>
      </c>
      <c r="U13">
        <v>0.85921270266671201</v>
      </c>
      <c r="V13">
        <v>2.06</v>
      </c>
      <c r="W13">
        <v>7.34</v>
      </c>
      <c r="X13">
        <v>348955</v>
      </c>
      <c r="Y13">
        <v>16617</v>
      </c>
      <c r="Z13">
        <v>0.82</v>
      </c>
      <c r="AA13">
        <v>21</v>
      </c>
      <c r="AB13">
        <v>14</v>
      </c>
      <c r="AC13">
        <v>7</v>
      </c>
      <c r="AD13">
        <v>66.67</v>
      </c>
      <c r="AE13">
        <v>10</v>
      </c>
      <c r="AF13">
        <v>12</v>
      </c>
      <c r="AG13">
        <v>5</v>
      </c>
      <c r="AH13">
        <v>4</v>
      </c>
    </row>
    <row r="14" spans="1:34">
      <c r="A14" s="108">
        <v>48</v>
      </c>
      <c r="B14">
        <v>4182</v>
      </c>
      <c r="C14" s="112" t="s">
        <v>109</v>
      </c>
      <c r="D14" s="112" t="s">
        <v>82</v>
      </c>
      <c r="E14">
        <v>1728</v>
      </c>
      <c r="F14">
        <v>1730</v>
      </c>
      <c r="G14">
        <v>600</v>
      </c>
      <c r="H14" s="112" t="s">
        <v>83</v>
      </c>
      <c r="I14">
        <v>7278</v>
      </c>
      <c r="J14" s="112" t="s">
        <v>104</v>
      </c>
      <c r="K14" s="112" t="s">
        <v>105</v>
      </c>
      <c r="L14">
        <v>2565</v>
      </c>
      <c r="M14">
        <v>2544</v>
      </c>
      <c r="N14">
        <v>400</v>
      </c>
      <c r="O14" s="112" t="s">
        <v>81</v>
      </c>
      <c r="P14">
        <v>0.93250792704943697</v>
      </c>
      <c r="Q14">
        <v>0.93776684264203702</v>
      </c>
      <c r="R14">
        <v>7.08650593562109E-3</v>
      </c>
      <c r="S14" s="20">
        <v>1.0331181766128201E-2</v>
      </c>
      <c r="T14">
        <v>0.60261673454375897</v>
      </c>
      <c r="U14">
        <v>0.60261673454375897</v>
      </c>
      <c r="V14">
        <v>1.7</v>
      </c>
      <c r="W14">
        <v>2</v>
      </c>
      <c r="X14">
        <v>344277</v>
      </c>
      <c r="Y14">
        <v>26483</v>
      </c>
      <c r="Z14">
        <v>1.33</v>
      </c>
      <c r="AA14">
        <v>13</v>
      </c>
      <c r="AB14">
        <v>8</v>
      </c>
      <c r="AC14">
        <v>5</v>
      </c>
      <c r="AD14">
        <v>61.54</v>
      </c>
      <c r="AE14">
        <v>10</v>
      </c>
      <c r="AF14">
        <v>7</v>
      </c>
      <c r="AG14">
        <v>3</v>
      </c>
      <c r="AH14">
        <v>3</v>
      </c>
    </row>
    <row r="15" spans="1:34">
      <c r="A15" s="108">
        <v>128</v>
      </c>
      <c r="B15">
        <v>5110</v>
      </c>
      <c r="C15" s="112" t="s">
        <v>149</v>
      </c>
      <c r="D15" s="112" t="s">
        <v>150</v>
      </c>
      <c r="E15">
        <v>1437</v>
      </c>
      <c r="F15">
        <v>1432</v>
      </c>
      <c r="G15">
        <v>700</v>
      </c>
      <c r="H15" s="112" t="s">
        <v>81</v>
      </c>
      <c r="I15">
        <v>6923</v>
      </c>
      <c r="J15" s="112" t="s">
        <v>133</v>
      </c>
      <c r="K15" s="112" t="s">
        <v>108</v>
      </c>
      <c r="L15">
        <v>3155</v>
      </c>
      <c r="M15">
        <v>3175</v>
      </c>
      <c r="N15">
        <v>300</v>
      </c>
      <c r="O15" s="112" t="s">
        <v>83</v>
      </c>
      <c r="P15">
        <v>0.90193163218440098</v>
      </c>
      <c r="Q15">
        <v>0.91100149195031299</v>
      </c>
      <c r="R15" s="112">
        <v>0.187357364026425</v>
      </c>
      <c r="S15" s="20">
        <v>6.3777773938357193E-2</v>
      </c>
      <c r="T15">
        <v>-0.89095261365036404</v>
      </c>
      <c r="U15">
        <v>0.89095261365036404</v>
      </c>
      <c r="V15">
        <v>-1.63</v>
      </c>
      <c r="W15">
        <v>5.24</v>
      </c>
      <c r="X15">
        <v>336458</v>
      </c>
      <c r="Y15">
        <v>16823</v>
      </c>
      <c r="Z15">
        <v>1.01</v>
      </c>
      <c r="AA15">
        <v>20</v>
      </c>
      <c r="AB15">
        <v>12</v>
      </c>
      <c r="AC15">
        <v>8</v>
      </c>
      <c r="AD15">
        <v>60</v>
      </c>
      <c r="AE15">
        <v>14</v>
      </c>
      <c r="AF15">
        <v>8</v>
      </c>
      <c r="AG15">
        <v>0</v>
      </c>
      <c r="AH15">
        <v>12</v>
      </c>
    </row>
    <row r="16" spans="1:34">
      <c r="A16" s="108">
        <v>113</v>
      </c>
      <c r="B16">
        <v>6371</v>
      </c>
      <c r="C16" s="112" t="s">
        <v>129</v>
      </c>
      <c r="D16" s="112" t="s">
        <v>120</v>
      </c>
      <c r="E16">
        <v>3995</v>
      </c>
      <c r="F16">
        <v>4000</v>
      </c>
      <c r="G16">
        <v>200</v>
      </c>
      <c r="H16" s="112" t="s">
        <v>81</v>
      </c>
      <c r="I16">
        <v>7259</v>
      </c>
      <c r="J16" s="112" t="s">
        <v>49</v>
      </c>
      <c r="K16" s="112" t="s">
        <v>105</v>
      </c>
      <c r="L16">
        <v>4260</v>
      </c>
      <c r="M16">
        <v>4265</v>
      </c>
      <c r="N16">
        <v>200</v>
      </c>
      <c r="O16" s="112" t="s">
        <v>83</v>
      </c>
      <c r="P16">
        <v>0.95779072790284003</v>
      </c>
      <c r="Q16">
        <v>0.91488184569321696</v>
      </c>
      <c r="R16">
        <v>7.1499400043290495E-4</v>
      </c>
      <c r="S16" s="20">
        <v>1.03477280293658E-2</v>
      </c>
      <c r="T16">
        <v>-0.416007112484097</v>
      </c>
      <c r="U16">
        <v>0.416007112484097</v>
      </c>
      <c r="V16">
        <v>-1.95</v>
      </c>
      <c r="W16">
        <v>6.21</v>
      </c>
      <c r="X16">
        <v>326064</v>
      </c>
      <c r="Y16">
        <v>36229</v>
      </c>
      <c r="Z16">
        <v>2.0699999999999998</v>
      </c>
      <c r="AA16">
        <v>9</v>
      </c>
      <c r="AB16">
        <v>7</v>
      </c>
      <c r="AC16">
        <v>2</v>
      </c>
      <c r="AD16">
        <v>77.78</v>
      </c>
      <c r="AE16">
        <v>11</v>
      </c>
      <c r="AF16">
        <v>6</v>
      </c>
      <c r="AG16">
        <v>0</v>
      </c>
      <c r="AH16">
        <v>3</v>
      </c>
    </row>
    <row r="17" spans="1:34">
      <c r="A17" s="108">
        <v>139</v>
      </c>
      <c r="B17">
        <v>4182</v>
      </c>
      <c r="C17" s="112" t="s">
        <v>109</v>
      </c>
      <c r="D17" s="112" t="s">
        <v>82</v>
      </c>
      <c r="E17">
        <v>1728</v>
      </c>
      <c r="F17">
        <v>1730</v>
      </c>
      <c r="G17">
        <v>600</v>
      </c>
      <c r="H17" s="112" t="s">
        <v>83</v>
      </c>
      <c r="I17">
        <v>4208</v>
      </c>
      <c r="J17" s="112" t="s">
        <v>119</v>
      </c>
      <c r="K17" s="112" t="s">
        <v>82</v>
      </c>
      <c r="L17">
        <v>2459</v>
      </c>
      <c r="M17">
        <v>2479</v>
      </c>
      <c r="N17">
        <v>400</v>
      </c>
      <c r="O17" s="112" t="s">
        <v>81</v>
      </c>
      <c r="P17">
        <v>0.91995786256957901</v>
      </c>
      <c r="Q17">
        <v>0.90813641998696804</v>
      </c>
      <c r="R17">
        <v>3.4853957563098698E-2</v>
      </c>
      <c r="S17" s="20">
        <v>8.0894738499062299E-2</v>
      </c>
      <c r="T17">
        <v>0.84135186347943902</v>
      </c>
      <c r="U17">
        <v>0.84135186347943902</v>
      </c>
      <c r="V17">
        <v>3.8</v>
      </c>
      <c r="W17">
        <v>4.68</v>
      </c>
      <c r="X17">
        <v>323980</v>
      </c>
      <c r="Y17">
        <v>16199</v>
      </c>
      <c r="Z17">
        <v>0.85</v>
      </c>
      <c r="AA17">
        <v>20</v>
      </c>
      <c r="AB17">
        <v>14</v>
      </c>
      <c r="AC17">
        <v>6</v>
      </c>
      <c r="AD17">
        <v>70</v>
      </c>
      <c r="AE17">
        <v>13</v>
      </c>
      <c r="AF17">
        <v>8</v>
      </c>
      <c r="AG17">
        <v>2</v>
      </c>
      <c r="AH17">
        <v>10</v>
      </c>
    </row>
    <row r="18" spans="1:34">
      <c r="A18" s="108">
        <v>134</v>
      </c>
      <c r="B18">
        <v>4208</v>
      </c>
      <c r="C18" s="112" t="s">
        <v>119</v>
      </c>
      <c r="D18" s="112" t="s">
        <v>82</v>
      </c>
      <c r="E18">
        <v>2459</v>
      </c>
      <c r="F18">
        <v>2479</v>
      </c>
      <c r="G18">
        <v>400</v>
      </c>
      <c r="H18" s="112" t="s">
        <v>81</v>
      </c>
      <c r="I18">
        <v>7762</v>
      </c>
      <c r="J18" s="112" t="s">
        <v>128</v>
      </c>
      <c r="K18" s="112" t="s">
        <v>114</v>
      </c>
      <c r="L18">
        <v>625</v>
      </c>
      <c r="M18">
        <v>617</v>
      </c>
      <c r="N18">
        <v>1600</v>
      </c>
      <c r="O18" s="112" t="s">
        <v>83</v>
      </c>
      <c r="P18">
        <v>0.92725957750898602</v>
      </c>
      <c r="Q18">
        <v>0.91047119404661503</v>
      </c>
      <c r="R18" s="112">
        <v>5.7573577770112299E-3</v>
      </c>
      <c r="S18" s="20">
        <v>5.3812415039370901E-3</v>
      </c>
      <c r="T18">
        <v>-2.8493560262765401E-2</v>
      </c>
      <c r="U18">
        <v>2.8493560262765401E-2</v>
      </c>
      <c r="V18">
        <v>-7.0000000000000007E-2</v>
      </c>
      <c r="W18">
        <v>0.44</v>
      </c>
      <c r="X18">
        <v>318939</v>
      </c>
      <c r="Y18">
        <v>22781</v>
      </c>
      <c r="Z18">
        <v>1.17</v>
      </c>
      <c r="AA18">
        <v>14</v>
      </c>
      <c r="AB18">
        <v>10</v>
      </c>
      <c r="AC18">
        <v>4</v>
      </c>
      <c r="AD18">
        <v>71.430000000000007</v>
      </c>
      <c r="AE18">
        <v>13</v>
      </c>
      <c r="AF18">
        <v>5</v>
      </c>
      <c r="AG18">
        <v>1</v>
      </c>
      <c r="AH18">
        <v>8</v>
      </c>
    </row>
    <row r="19" spans="1:34">
      <c r="A19" s="108">
        <v>77</v>
      </c>
      <c r="B19">
        <v>5802</v>
      </c>
      <c r="C19" s="112" t="s">
        <v>152</v>
      </c>
      <c r="D19" s="112" t="s">
        <v>153</v>
      </c>
      <c r="E19">
        <v>1688.5</v>
      </c>
      <c r="F19">
        <v>1690.5</v>
      </c>
      <c r="G19">
        <v>500</v>
      </c>
      <c r="H19" s="112" t="s">
        <v>83</v>
      </c>
      <c r="I19">
        <v>6995</v>
      </c>
      <c r="J19" s="112" t="s">
        <v>112</v>
      </c>
      <c r="K19" s="112" t="s">
        <v>105</v>
      </c>
      <c r="L19">
        <v>2258</v>
      </c>
      <c r="M19">
        <v>2263</v>
      </c>
      <c r="N19">
        <v>400</v>
      </c>
      <c r="O19" s="112" t="s">
        <v>81</v>
      </c>
      <c r="P19">
        <v>0.95960367993335005</v>
      </c>
      <c r="Q19">
        <v>0.92620167540165899</v>
      </c>
      <c r="R19" s="20">
        <v>0.25121517742539801</v>
      </c>
      <c r="S19">
        <v>0.21512261622297399</v>
      </c>
      <c r="T19">
        <v>0.15078003401343501</v>
      </c>
      <c r="U19">
        <v>0.15078003401343501</v>
      </c>
      <c r="V19">
        <v>0.26</v>
      </c>
      <c r="W19">
        <v>6.62</v>
      </c>
      <c r="X19">
        <v>306631</v>
      </c>
      <c r="Y19">
        <v>18037</v>
      </c>
      <c r="Z19">
        <v>0.89</v>
      </c>
      <c r="AA19">
        <v>17</v>
      </c>
      <c r="AB19">
        <v>11</v>
      </c>
      <c r="AC19">
        <v>6</v>
      </c>
      <c r="AD19">
        <v>64.709999999999994</v>
      </c>
      <c r="AE19">
        <v>15</v>
      </c>
      <c r="AF19">
        <v>6</v>
      </c>
      <c r="AG19">
        <v>0</v>
      </c>
      <c r="AH19">
        <v>11</v>
      </c>
    </row>
    <row r="20" spans="1:34">
      <c r="A20" s="108">
        <v>37</v>
      </c>
      <c r="B20">
        <v>4182</v>
      </c>
      <c r="C20" s="112" t="s">
        <v>109</v>
      </c>
      <c r="D20" s="112" t="s">
        <v>82</v>
      </c>
      <c r="E20">
        <v>1728</v>
      </c>
      <c r="F20">
        <v>1730</v>
      </c>
      <c r="G20">
        <v>500</v>
      </c>
      <c r="H20" s="112" t="s">
        <v>83</v>
      </c>
      <c r="I20">
        <v>7272</v>
      </c>
      <c r="J20" s="112" t="s">
        <v>325</v>
      </c>
      <c r="K20" s="112" t="s">
        <v>105</v>
      </c>
      <c r="L20">
        <v>2312</v>
      </c>
      <c r="M20">
        <v>2350</v>
      </c>
      <c r="N20">
        <v>400</v>
      </c>
      <c r="O20" s="112" t="s">
        <v>81</v>
      </c>
      <c r="P20">
        <v>0.92196435253237097</v>
      </c>
      <c r="Q20">
        <v>0.94235454967792298</v>
      </c>
      <c r="R20">
        <v>2.2086996237417798E-2</v>
      </c>
      <c r="S20">
        <v>1.9023038597845399E-3</v>
      </c>
      <c r="T20">
        <v>0.27618588667055699</v>
      </c>
      <c r="U20">
        <v>0.27618588667055699</v>
      </c>
      <c r="V20">
        <v>0.71</v>
      </c>
      <c r="W20">
        <v>7.98</v>
      </c>
      <c r="X20">
        <v>303536</v>
      </c>
      <c r="Y20">
        <v>23349</v>
      </c>
      <c r="Z20">
        <v>1.1599999999999999</v>
      </c>
      <c r="AA20">
        <v>13</v>
      </c>
      <c r="AB20">
        <v>9</v>
      </c>
      <c r="AC20">
        <v>4</v>
      </c>
      <c r="AD20">
        <v>69.23</v>
      </c>
      <c r="AE20">
        <v>12</v>
      </c>
      <c r="AF20">
        <v>6</v>
      </c>
      <c r="AG20">
        <v>1</v>
      </c>
      <c r="AH20">
        <v>6</v>
      </c>
    </row>
    <row r="21" spans="1:34">
      <c r="A21" s="108">
        <v>97</v>
      </c>
      <c r="B21">
        <v>6988</v>
      </c>
      <c r="C21" s="112" t="s">
        <v>160</v>
      </c>
      <c r="D21" s="112" t="s">
        <v>82</v>
      </c>
      <c r="E21">
        <v>6350</v>
      </c>
      <c r="F21">
        <v>6410</v>
      </c>
      <c r="G21">
        <v>100</v>
      </c>
      <c r="H21" s="112" t="s">
        <v>81</v>
      </c>
      <c r="I21">
        <v>7272</v>
      </c>
      <c r="J21" s="112" t="s">
        <v>325</v>
      </c>
      <c r="K21" s="112" t="s">
        <v>105</v>
      </c>
      <c r="L21">
        <v>2312</v>
      </c>
      <c r="M21">
        <v>2350</v>
      </c>
      <c r="N21">
        <v>300</v>
      </c>
      <c r="O21" s="112" t="s">
        <v>83</v>
      </c>
      <c r="P21">
        <v>0.94027526310829401</v>
      </c>
      <c r="Q21">
        <v>0.91908657646409397</v>
      </c>
      <c r="R21">
        <v>0.15547107925411599</v>
      </c>
      <c r="S21" s="112">
        <v>0.30123674683000901</v>
      </c>
      <c r="T21">
        <v>-0.14958225730293201</v>
      </c>
      <c r="U21">
        <v>0.14958225730293201</v>
      </c>
      <c r="V21">
        <v>-0.46</v>
      </c>
      <c r="W21">
        <v>9.98</v>
      </c>
      <c r="X21">
        <v>300982</v>
      </c>
      <c r="Y21">
        <v>25082</v>
      </c>
      <c r="Z21">
        <v>1.21</v>
      </c>
      <c r="AA21">
        <v>12</v>
      </c>
      <c r="AB21">
        <v>7</v>
      </c>
      <c r="AC21">
        <v>5</v>
      </c>
      <c r="AD21">
        <v>58.33</v>
      </c>
      <c r="AE21">
        <v>12</v>
      </c>
      <c r="AF21">
        <v>6</v>
      </c>
      <c r="AG21">
        <v>3</v>
      </c>
      <c r="AH21">
        <v>3</v>
      </c>
    </row>
    <row r="22" spans="1:34">
      <c r="A22" s="108">
        <v>6</v>
      </c>
      <c r="B22">
        <v>2413</v>
      </c>
      <c r="C22" s="112" t="s">
        <v>1298</v>
      </c>
      <c r="D22" s="112" t="s">
        <v>141</v>
      </c>
      <c r="E22">
        <v>3065</v>
      </c>
      <c r="F22">
        <v>3025</v>
      </c>
      <c r="G22">
        <v>200</v>
      </c>
      <c r="H22" s="112" t="s">
        <v>81</v>
      </c>
      <c r="I22">
        <v>4686</v>
      </c>
      <c r="J22" s="112" t="s">
        <v>1299</v>
      </c>
      <c r="K22" s="112" t="s">
        <v>100</v>
      </c>
      <c r="L22">
        <v>5910</v>
      </c>
      <c r="M22">
        <v>5910</v>
      </c>
      <c r="N22">
        <v>100</v>
      </c>
      <c r="O22" s="112" t="s">
        <v>83</v>
      </c>
      <c r="P22">
        <v>0.93802217613993299</v>
      </c>
      <c r="Q22">
        <v>0.96152139127361103</v>
      </c>
      <c r="R22" s="20">
        <v>0.110177275972137</v>
      </c>
      <c r="S22" s="20">
        <v>2.7126209298636999E-2</v>
      </c>
      <c r="T22">
        <v>-1.3650938221045199</v>
      </c>
      <c r="U22">
        <v>1.3650938221045199</v>
      </c>
      <c r="V22">
        <v>-14.24</v>
      </c>
      <c r="W22">
        <v>2.37</v>
      </c>
      <c r="X22">
        <v>295619</v>
      </c>
      <c r="Y22">
        <v>16423</v>
      </c>
      <c r="Z22">
        <v>0.89</v>
      </c>
      <c r="AA22">
        <v>18</v>
      </c>
      <c r="AB22">
        <v>11</v>
      </c>
      <c r="AC22">
        <v>7</v>
      </c>
      <c r="AD22">
        <v>61.11</v>
      </c>
      <c r="AE22">
        <v>10</v>
      </c>
      <c r="AF22">
        <v>10</v>
      </c>
      <c r="AG22">
        <v>5</v>
      </c>
      <c r="AH22">
        <v>3</v>
      </c>
    </row>
    <row r="23" spans="1:34">
      <c r="A23" s="108">
        <v>10</v>
      </c>
      <c r="B23">
        <v>5991</v>
      </c>
      <c r="C23" s="112" t="s">
        <v>136</v>
      </c>
      <c r="D23" s="112" t="s">
        <v>137</v>
      </c>
      <c r="E23">
        <v>1021</v>
      </c>
      <c r="F23">
        <v>1021</v>
      </c>
      <c r="G23">
        <v>800</v>
      </c>
      <c r="H23" s="112" t="s">
        <v>83</v>
      </c>
      <c r="I23">
        <v>6371</v>
      </c>
      <c r="J23" s="112" t="s">
        <v>129</v>
      </c>
      <c r="K23" s="112" t="s">
        <v>120</v>
      </c>
      <c r="L23">
        <v>3995</v>
      </c>
      <c r="M23">
        <v>4000</v>
      </c>
      <c r="N23">
        <v>200</v>
      </c>
      <c r="O23" s="112" t="s">
        <v>81</v>
      </c>
      <c r="P23">
        <v>0.94966173834464196</v>
      </c>
      <c r="Q23">
        <v>0.95638449228217504</v>
      </c>
      <c r="R23" s="112">
        <v>0.306781590797569</v>
      </c>
      <c r="S23">
        <v>9.0359498689985098E-4</v>
      </c>
      <c r="T23">
        <v>1.3364071876858901</v>
      </c>
      <c r="U23">
        <v>1.3364071876858901</v>
      </c>
      <c r="V23">
        <v>4.08</v>
      </c>
      <c r="W23">
        <v>2.1</v>
      </c>
      <c r="X23">
        <v>286657</v>
      </c>
      <c r="Y23">
        <v>16862</v>
      </c>
      <c r="Z23">
        <v>0.8</v>
      </c>
      <c r="AA23">
        <v>17</v>
      </c>
      <c r="AB23">
        <v>10</v>
      </c>
      <c r="AC23">
        <v>7</v>
      </c>
      <c r="AD23">
        <v>58.82</v>
      </c>
      <c r="AE23">
        <v>13</v>
      </c>
      <c r="AF23">
        <v>7</v>
      </c>
      <c r="AG23">
        <v>1</v>
      </c>
      <c r="AH23">
        <v>9</v>
      </c>
    </row>
    <row r="24" spans="1:34">
      <c r="A24" s="108">
        <v>56</v>
      </c>
      <c r="B24">
        <v>5393</v>
      </c>
      <c r="C24" s="112" t="s">
        <v>358</v>
      </c>
      <c r="D24" s="112" t="s">
        <v>127</v>
      </c>
      <c r="E24">
        <v>2749</v>
      </c>
      <c r="F24">
        <v>2736</v>
      </c>
      <c r="G24">
        <v>300</v>
      </c>
      <c r="H24" s="112" t="s">
        <v>83</v>
      </c>
      <c r="I24">
        <v>5947</v>
      </c>
      <c r="J24" s="112" t="s">
        <v>350</v>
      </c>
      <c r="K24" s="112" t="s">
        <v>137</v>
      </c>
      <c r="L24">
        <v>8580</v>
      </c>
      <c r="M24">
        <v>8530</v>
      </c>
      <c r="N24">
        <v>100</v>
      </c>
      <c r="O24" s="112" t="s">
        <v>81</v>
      </c>
      <c r="P24">
        <v>0.95680139628442096</v>
      </c>
      <c r="Q24">
        <v>0.93418137812961699</v>
      </c>
      <c r="R24" s="112">
        <v>5.8384712514652298E-2</v>
      </c>
      <c r="S24">
        <v>3.6693971299574302E-2</v>
      </c>
      <c r="T24">
        <v>1.9214330448213599</v>
      </c>
      <c r="U24">
        <v>1.9214330448213599</v>
      </c>
      <c r="V24">
        <v>12.76</v>
      </c>
      <c r="W24">
        <v>3.77</v>
      </c>
      <c r="X24">
        <v>284943</v>
      </c>
      <c r="Y24">
        <v>23745</v>
      </c>
      <c r="Z24">
        <v>1.3</v>
      </c>
      <c r="AA24">
        <v>12</v>
      </c>
      <c r="AB24">
        <v>8</v>
      </c>
      <c r="AC24">
        <v>4</v>
      </c>
      <c r="AD24">
        <v>66.67</v>
      </c>
      <c r="AE24">
        <v>11</v>
      </c>
      <c r="AF24">
        <v>6</v>
      </c>
      <c r="AG24">
        <v>3</v>
      </c>
      <c r="AH24">
        <v>3</v>
      </c>
    </row>
    <row r="25" spans="1:34">
      <c r="A25" s="108">
        <v>35</v>
      </c>
      <c r="B25">
        <v>6752</v>
      </c>
      <c r="C25" s="112" t="s">
        <v>126</v>
      </c>
      <c r="D25" s="112" t="s">
        <v>108</v>
      </c>
      <c r="E25">
        <v>1059</v>
      </c>
      <c r="F25">
        <v>1058</v>
      </c>
      <c r="G25">
        <v>1000</v>
      </c>
      <c r="H25" s="112" t="s">
        <v>83</v>
      </c>
      <c r="I25">
        <v>7278</v>
      </c>
      <c r="J25" s="112" t="s">
        <v>104</v>
      </c>
      <c r="K25" s="112" t="s">
        <v>105</v>
      </c>
      <c r="L25">
        <v>2565</v>
      </c>
      <c r="M25">
        <v>2544</v>
      </c>
      <c r="N25">
        <v>400</v>
      </c>
      <c r="O25" s="112" t="s">
        <v>81</v>
      </c>
      <c r="P25">
        <v>0.92870768782800694</v>
      </c>
      <c r="Q25">
        <v>0.94307206627621298</v>
      </c>
      <c r="R25">
        <v>1.2015286909465E-2</v>
      </c>
      <c r="S25" s="112">
        <v>5.1372987993479895E-4</v>
      </c>
      <c r="T25">
        <v>0.37158432724639701</v>
      </c>
      <c r="U25">
        <v>0.37158432724639701</v>
      </c>
      <c r="V25">
        <v>0.92</v>
      </c>
      <c r="W25">
        <v>3.97</v>
      </c>
      <c r="X25">
        <v>283523</v>
      </c>
      <c r="Y25">
        <v>14922</v>
      </c>
      <c r="Z25">
        <v>0.75</v>
      </c>
      <c r="AA25">
        <v>19</v>
      </c>
      <c r="AB25">
        <v>11</v>
      </c>
      <c r="AC25">
        <v>8</v>
      </c>
      <c r="AD25">
        <v>57.89</v>
      </c>
      <c r="AE25">
        <v>11</v>
      </c>
      <c r="AF25">
        <v>8</v>
      </c>
      <c r="AG25">
        <v>2</v>
      </c>
      <c r="AH25">
        <v>9</v>
      </c>
    </row>
    <row r="26" spans="1:34">
      <c r="A26" s="108">
        <v>67</v>
      </c>
      <c r="B26">
        <v>6588</v>
      </c>
      <c r="C26" s="112" t="s">
        <v>981</v>
      </c>
      <c r="D26" s="112" t="s">
        <v>108</v>
      </c>
      <c r="E26">
        <v>4625</v>
      </c>
      <c r="F26">
        <v>4530</v>
      </c>
      <c r="G26">
        <v>200</v>
      </c>
      <c r="H26" s="112" t="s">
        <v>83</v>
      </c>
      <c r="I26">
        <v>8425</v>
      </c>
      <c r="J26" s="112" t="s">
        <v>344</v>
      </c>
      <c r="K26" s="112" t="s">
        <v>324</v>
      </c>
      <c r="L26">
        <v>3355</v>
      </c>
      <c r="M26">
        <v>3350</v>
      </c>
      <c r="N26">
        <v>300</v>
      </c>
      <c r="O26" s="112" t="s">
        <v>81</v>
      </c>
      <c r="P26">
        <v>0.93347720892629904</v>
      </c>
      <c r="Q26">
        <v>0.93018070759094496</v>
      </c>
      <c r="R26" s="20">
        <v>5.2017023632843697E-2</v>
      </c>
      <c r="S26">
        <v>4.4901020445880901E-2</v>
      </c>
      <c r="T26">
        <v>1.1383326098516899</v>
      </c>
      <c r="U26">
        <v>1.1383326098516899</v>
      </c>
      <c r="V26">
        <v>9.01</v>
      </c>
      <c r="W26">
        <v>10.93</v>
      </c>
      <c r="X26">
        <v>276730</v>
      </c>
      <c r="Y26">
        <v>21287</v>
      </c>
      <c r="Z26">
        <v>1.08</v>
      </c>
      <c r="AA26">
        <v>13</v>
      </c>
      <c r="AB26">
        <v>9</v>
      </c>
      <c r="AC26">
        <v>4</v>
      </c>
      <c r="AD26">
        <v>69.23</v>
      </c>
      <c r="AE26">
        <v>13</v>
      </c>
      <c r="AF26">
        <v>5</v>
      </c>
      <c r="AG26">
        <v>1</v>
      </c>
      <c r="AH26">
        <v>7</v>
      </c>
    </row>
    <row r="27" spans="1:34">
      <c r="A27" s="108">
        <v>76</v>
      </c>
      <c r="B27">
        <v>6287</v>
      </c>
      <c r="C27" s="112" t="s">
        <v>977</v>
      </c>
      <c r="D27" s="112" t="s">
        <v>120</v>
      </c>
      <c r="E27">
        <v>3455</v>
      </c>
      <c r="F27">
        <v>3455</v>
      </c>
      <c r="G27">
        <v>300</v>
      </c>
      <c r="H27" s="112" t="s">
        <v>83</v>
      </c>
      <c r="I27">
        <v>6465</v>
      </c>
      <c r="J27" s="112" t="s">
        <v>978</v>
      </c>
      <c r="K27" s="112" t="s">
        <v>120</v>
      </c>
      <c r="L27">
        <v>10040</v>
      </c>
      <c r="M27">
        <v>9960</v>
      </c>
      <c r="N27">
        <v>100</v>
      </c>
      <c r="O27" s="112" t="s">
        <v>81</v>
      </c>
      <c r="P27">
        <v>0.95839027400003196</v>
      </c>
      <c r="Q27">
        <v>0.92638083226585799</v>
      </c>
      <c r="R27" s="112">
        <v>1.9937685430918301E-2</v>
      </c>
      <c r="S27" s="112">
        <v>0.14925812310036299</v>
      </c>
      <c r="T27">
        <v>0.34644789183804298</v>
      </c>
      <c r="U27">
        <v>0.34644789183804298</v>
      </c>
      <c r="V27">
        <v>0.64</v>
      </c>
      <c r="W27">
        <v>4.07</v>
      </c>
      <c r="X27">
        <v>272271</v>
      </c>
      <c r="Y27">
        <v>22689</v>
      </c>
      <c r="Z27">
        <v>1.55</v>
      </c>
      <c r="AA27">
        <v>12</v>
      </c>
      <c r="AB27">
        <v>7</v>
      </c>
      <c r="AC27">
        <v>5</v>
      </c>
      <c r="AD27">
        <v>58.33</v>
      </c>
      <c r="AE27">
        <v>12</v>
      </c>
      <c r="AF27">
        <v>5</v>
      </c>
      <c r="AG27">
        <v>3</v>
      </c>
      <c r="AH27">
        <v>4</v>
      </c>
    </row>
    <row r="28" spans="1:34">
      <c r="A28" s="108">
        <v>13</v>
      </c>
      <c r="B28">
        <v>3635</v>
      </c>
      <c r="C28" s="112" t="s">
        <v>106</v>
      </c>
      <c r="D28" s="112" t="s">
        <v>100</v>
      </c>
      <c r="E28">
        <v>2727</v>
      </c>
      <c r="F28">
        <v>2709</v>
      </c>
      <c r="G28">
        <v>400</v>
      </c>
      <c r="H28" s="112" t="s">
        <v>83</v>
      </c>
      <c r="I28">
        <v>4062</v>
      </c>
      <c r="J28" s="112" t="s">
        <v>351</v>
      </c>
      <c r="K28" s="112" t="s">
        <v>108</v>
      </c>
      <c r="L28">
        <v>2625</v>
      </c>
      <c r="M28">
        <v>2608</v>
      </c>
      <c r="N28">
        <v>400</v>
      </c>
      <c r="O28" s="112" t="s">
        <v>81</v>
      </c>
      <c r="P28">
        <v>0.91799820424218403</v>
      </c>
      <c r="Q28">
        <v>0.95452778308485897</v>
      </c>
      <c r="R28">
        <v>4.89417169505749E-2</v>
      </c>
      <c r="S28">
        <v>0.19500449292804101</v>
      </c>
      <c r="T28">
        <v>0.108937119384171</v>
      </c>
      <c r="U28">
        <v>0.108937119384171</v>
      </c>
      <c r="V28">
        <v>0.31</v>
      </c>
      <c r="W28">
        <v>3.73</v>
      </c>
      <c r="X28">
        <v>272145</v>
      </c>
      <c r="Y28">
        <v>20934</v>
      </c>
      <c r="Z28">
        <v>1.08</v>
      </c>
      <c r="AA28">
        <v>13</v>
      </c>
      <c r="AB28">
        <v>8</v>
      </c>
      <c r="AC28">
        <v>5</v>
      </c>
      <c r="AD28">
        <v>61.54</v>
      </c>
      <c r="AE28">
        <v>12</v>
      </c>
      <c r="AF28">
        <v>6</v>
      </c>
      <c r="AG28">
        <v>2</v>
      </c>
      <c r="AH28">
        <v>5</v>
      </c>
    </row>
    <row r="29" spans="1:34">
      <c r="A29" s="108">
        <v>11</v>
      </c>
      <c r="B29">
        <v>3105</v>
      </c>
      <c r="C29" s="112" t="s">
        <v>111</v>
      </c>
      <c r="D29" s="112" t="s">
        <v>108</v>
      </c>
      <c r="E29">
        <v>1098</v>
      </c>
      <c r="F29">
        <v>1086</v>
      </c>
      <c r="G29">
        <v>800</v>
      </c>
      <c r="H29" s="112" t="s">
        <v>83</v>
      </c>
      <c r="I29">
        <v>7282</v>
      </c>
      <c r="J29" s="112" t="s">
        <v>979</v>
      </c>
      <c r="K29" s="112" t="s">
        <v>105</v>
      </c>
      <c r="L29">
        <v>2801</v>
      </c>
      <c r="M29">
        <v>2798</v>
      </c>
      <c r="N29">
        <v>300</v>
      </c>
      <c r="O29" s="112" t="s">
        <v>81</v>
      </c>
      <c r="P29">
        <v>0.94670610029206304</v>
      </c>
      <c r="Q29">
        <v>0.95571605416884398</v>
      </c>
      <c r="R29" s="20">
        <v>0.36518140101486801</v>
      </c>
      <c r="S29" s="20">
        <v>1.9369729587050102E-2</v>
      </c>
      <c r="T29">
        <v>2.1865095765343399E-3</v>
      </c>
      <c r="U29">
        <v>2.1865095765343399E-3</v>
      </c>
      <c r="V29">
        <v>0.01</v>
      </c>
      <c r="W29">
        <v>3.5</v>
      </c>
      <c r="X29">
        <v>268452</v>
      </c>
      <c r="Y29">
        <v>11672</v>
      </c>
      <c r="Z29">
        <v>0.57999999999999996</v>
      </c>
      <c r="AA29">
        <v>23</v>
      </c>
      <c r="AB29">
        <v>14</v>
      </c>
      <c r="AC29">
        <v>9</v>
      </c>
      <c r="AD29">
        <v>60.87</v>
      </c>
      <c r="AE29">
        <v>11</v>
      </c>
      <c r="AF29">
        <v>10</v>
      </c>
      <c r="AG29">
        <v>7</v>
      </c>
      <c r="AH29">
        <v>6</v>
      </c>
    </row>
    <row r="30" spans="1:34">
      <c r="A30" s="108">
        <v>20</v>
      </c>
      <c r="B30">
        <v>6457</v>
      </c>
      <c r="C30" s="112" t="s">
        <v>339</v>
      </c>
      <c r="D30" s="112" t="s">
        <v>120</v>
      </c>
      <c r="E30">
        <v>3360</v>
      </c>
      <c r="F30">
        <v>3360</v>
      </c>
      <c r="G30">
        <v>300</v>
      </c>
      <c r="H30" s="112" t="s">
        <v>81</v>
      </c>
      <c r="I30">
        <v>8593</v>
      </c>
      <c r="J30" s="112" t="s">
        <v>336</v>
      </c>
      <c r="K30" s="112" t="s">
        <v>324</v>
      </c>
      <c r="L30">
        <v>716</v>
      </c>
      <c r="M30">
        <v>707</v>
      </c>
      <c r="N30">
        <v>1400</v>
      </c>
      <c r="O30" s="112" t="s">
        <v>83</v>
      </c>
      <c r="P30">
        <v>0.93370623451410295</v>
      </c>
      <c r="Q30">
        <v>0.94959808097551102</v>
      </c>
      <c r="R30">
        <v>7.0977496259766798E-3</v>
      </c>
      <c r="S30" s="20">
        <v>3.17267177213318E-3</v>
      </c>
      <c r="T30">
        <v>-0.48942181912451099</v>
      </c>
      <c r="U30">
        <v>0.48942181912451099</v>
      </c>
      <c r="V30">
        <v>-1.1200000000000001</v>
      </c>
      <c r="W30">
        <v>1.81</v>
      </c>
      <c r="X30">
        <v>267124</v>
      </c>
      <c r="Y30">
        <v>14840</v>
      </c>
      <c r="Z30">
        <v>0.88</v>
      </c>
      <c r="AA30">
        <v>18</v>
      </c>
      <c r="AB30">
        <v>11</v>
      </c>
      <c r="AC30">
        <v>7</v>
      </c>
      <c r="AD30">
        <v>61.11</v>
      </c>
      <c r="AE30">
        <v>12</v>
      </c>
      <c r="AF30">
        <v>8</v>
      </c>
      <c r="AG30">
        <v>3</v>
      </c>
      <c r="AH30">
        <v>7</v>
      </c>
    </row>
    <row r="31" spans="1:34">
      <c r="A31" s="108">
        <v>91</v>
      </c>
      <c r="B31">
        <v>6474</v>
      </c>
      <c r="C31" s="112" t="s">
        <v>340</v>
      </c>
      <c r="D31" s="112" t="s">
        <v>120</v>
      </c>
      <c r="E31">
        <v>5050</v>
      </c>
      <c r="F31">
        <v>5110</v>
      </c>
      <c r="G31">
        <v>200</v>
      </c>
      <c r="H31" s="112" t="s">
        <v>81</v>
      </c>
      <c r="I31">
        <v>6503</v>
      </c>
      <c r="J31" s="112" t="s">
        <v>341</v>
      </c>
      <c r="K31" s="112" t="s">
        <v>108</v>
      </c>
      <c r="L31">
        <v>1557.5</v>
      </c>
      <c r="M31">
        <v>1558</v>
      </c>
      <c r="N31">
        <v>700</v>
      </c>
      <c r="O31" s="112" t="s">
        <v>83</v>
      </c>
      <c r="P31">
        <v>0.91584699229033795</v>
      </c>
      <c r="Q31">
        <v>0.921541742885719</v>
      </c>
      <c r="R31">
        <v>3.5303984624834597E-2</v>
      </c>
      <c r="S31">
        <v>2.46227302170468E-2</v>
      </c>
      <c r="T31">
        <v>-0.49496896734943702</v>
      </c>
      <c r="U31">
        <v>0.49496896734943702</v>
      </c>
      <c r="V31">
        <v>-0.92</v>
      </c>
      <c r="W31">
        <v>6.71</v>
      </c>
      <c r="X31">
        <v>266206</v>
      </c>
      <c r="Y31">
        <v>20477</v>
      </c>
      <c r="Z31">
        <v>1.38</v>
      </c>
      <c r="AA31">
        <v>13</v>
      </c>
      <c r="AB31">
        <v>10</v>
      </c>
      <c r="AC31">
        <v>3</v>
      </c>
      <c r="AD31">
        <v>76.92</v>
      </c>
      <c r="AE31">
        <v>11</v>
      </c>
      <c r="AF31">
        <v>8</v>
      </c>
      <c r="AG31">
        <v>1</v>
      </c>
      <c r="AH31">
        <v>4</v>
      </c>
    </row>
    <row r="32" spans="1:34">
      <c r="A32" s="108">
        <v>33</v>
      </c>
      <c r="B32">
        <v>6807</v>
      </c>
      <c r="C32" s="112" t="s">
        <v>360</v>
      </c>
      <c r="D32" s="112" t="s">
        <v>108</v>
      </c>
      <c r="E32">
        <v>2296</v>
      </c>
      <c r="F32">
        <v>2272</v>
      </c>
      <c r="G32">
        <v>400</v>
      </c>
      <c r="H32" s="112" t="s">
        <v>83</v>
      </c>
      <c r="I32">
        <v>7274</v>
      </c>
      <c r="J32" s="112" t="s">
        <v>361</v>
      </c>
      <c r="K32" s="112" t="s">
        <v>105</v>
      </c>
      <c r="L32">
        <v>2278</v>
      </c>
      <c r="M32">
        <v>2283</v>
      </c>
      <c r="N32">
        <v>400</v>
      </c>
      <c r="O32" s="112" t="s">
        <v>81</v>
      </c>
      <c r="P32">
        <v>0.96993108713833298</v>
      </c>
      <c r="Q32">
        <v>0.94354234556842598</v>
      </c>
      <c r="R32">
        <v>1.5638484000562201E-2</v>
      </c>
      <c r="S32" s="112">
        <v>6.8506057321186295E-2</v>
      </c>
      <c r="T32">
        <v>0.10213862975935301</v>
      </c>
      <c r="U32">
        <v>0.10213862975935301</v>
      </c>
      <c r="V32">
        <v>0.55000000000000004</v>
      </c>
      <c r="W32">
        <v>0.48</v>
      </c>
      <c r="X32">
        <v>261307</v>
      </c>
      <c r="Y32">
        <v>13753</v>
      </c>
      <c r="Z32">
        <v>0.61</v>
      </c>
      <c r="AA32">
        <v>19</v>
      </c>
      <c r="AB32">
        <v>12</v>
      </c>
      <c r="AC32">
        <v>7</v>
      </c>
      <c r="AD32">
        <v>63.16</v>
      </c>
      <c r="AE32">
        <v>11</v>
      </c>
      <c r="AF32">
        <v>10</v>
      </c>
      <c r="AG32">
        <v>4</v>
      </c>
      <c r="AH32">
        <v>5</v>
      </c>
    </row>
    <row r="33" spans="1:34">
      <c r="A33" s="108">
        <v>96</v>
      </c>
      <c r="B33">
        <v>1963</v>
      </c>
      <c r="C33" s="112" t="s">
        <v>151</v>
      </c>
      <c r="D33" s="112" t="s">
        <v>99</v>
      </c>
      <c r="E33">
        <v>1726</v>
      </c>
      <c r="F33">
        <v>1742</v>
      </c>
      <c r="G33">
        <v>600</v>
      </c>
      <c r="H33" s="112" t="s">
        <v>83</v>
      </c>
      <c r="I33">
        <v>7267</v>
      </c>
      <c r="J33" s="112" t="s">
        <v>139</v>
      </c>
      <c r="K33" s="112" t="s">
        <v>105</v>
      </c>
      <c r="L33">
        <v>3178</v>
      </c>
      <c r="M33">
        <v>3221</v>
      </c>
      <c r="N33">
        <v>300</v>
      </c>
      <c r="O33" s="112" t="s">
        <v>81</v>
      </c>
      <c r="P33">
        <v>0.928482571450989</v>
      </c>
      <c r="Q33">
        <v>0.91927038167211395</v>
      </c>
      <c r="R33">
        <v>2.6444463308221301E-2</v>
      </c>
      <c r="S33" s="112">
        <v>1.6753849069834701E-4</v>
      </c>
      <c r="T33">
        <v>1.30904409029314</v>
      </c>
      <c r="U33">
        <v>1.30904409029314</v>
      </c>
      <c r="V33">
        <v>4.8899999999999997</v>
      </c>
      <c r="W33">
        <v>8.17</v>
      </c>
      <c r="X33">
        <v>259201</v>
      </c>
      <c r="Y33">
        <v>12960</v>
      </c>
      <c r="Z33">
        <v>0.65</v>
      </c>
      <c r="AA33">
        <v>20</v>
      </c>
      <c r="AB33">
        <v>13</v>
      </c>
      <c r="AC33">
        <v>7</v>
      </c>
      <c r="AD33">
        <v>65</v>
      </c>
      <c r="AE33">
        <v>10</v>
      </c>
      <c r="AF33">
        <v>10</v>
      </c>
      <c r="AG33">
        <v>5</v>
      </c>
      <c r="AH33">
        <v>5</v>
      </c>
    </row>
    <row r="34" spans="1:34">
      <c r="A34" s="108">
        <v>52</v>
      </c>
      <c r="B34">
        <v>6457</v>
      </c>
      <c r="C34" s="112" t="s">
        <v>339</v>
      </c>
      <c r="D34" s="112" t="s">
        <v>120</v>
      </c>
      <c r="E34">
        <v>3360</v>
      </c>
      <c r="F34">
        <v>3360</v>
      </c>
      <c r="G34">
        <v>300</v>
      </c>
      <c r="H34" s="112" t="s">
        <v>81</v>
      </c>
      <c r="I34">
        <v>6925</v>
      </c>
      <c r="J34" s="112" t="s">
        <v>338</v>
      </c>
      <c r="K34" s="112" t="s">
        <v>108</v>
      </c>
      <c r="L34">
        <v>1655</v>
      </c>
      <c r="M34">
        <v>1673</v>
      </c>
      <c r="N34">
        <v>600</v>
      </c>
      <c r="O34" s="112" t="s">
        <v>83</v>
      </c>
      <c r="P34">
        <v>0.91304574694694696</v>
      </c>
      <c r="Q34">
        <v>0.93574547928340401</v>
      </c>
      <c r="R34" s="20">
        <v>3.19945360053863E-2</v>
      </c>
      <c r="S34">
        <v>4.2390800448691701E-3</v>
      </c>
      <c r="T34">
        <v>-0.25584823830384701</v>
      </c>
      <c r="U34">
        <v>0.25584823830384701</v>
      </c>
      <c r="V34">
        <v>-0.56999999999999995</v>
      </c>
      <c r="W34">
        <v>0.42</v>
      </c>
      <c r="X34">
        <v>257915</v>
      </c>
      <c r="Y34">
        <v>17194</v>
      </c>
      <c r="Z34">
        <v>1.01</v>
      </c>
      <c r="AA34">
        <v>15</v>
      </c>
      <c r="AB34">
        <v>10</v>
      </c>
      <c r="AC34">
        <v>5</v>
      </c>
      <c r="AD34">
        <v>66.67</v>
      </c>
      <c r="AE34">
        <v>11</v>
      </c>
      <c r="AF34">
        <v>7</v>
      </c>
      <c r="AG34">
        <v>4</v>
      </c>
      <c r="AH34">
        <v>4</v>
      </c>
    </row>
    <row r="35" spans="1:34">
      <c r="A35" s="108">
        <v>42</v>
      </c>
      <c r="B35">
        <v>4061</v>
      </c>
      <c r="C35" s="112" t="s">
        <v>144</v>
      </c>
      <c r="D35" s="112" t="s">
        <v>82</v>
      </c>
      <c r="E35">
        <v>3420</v>
      </c>
      <c r="F35">
        <v>3380</v>
      </c>
      <c r="G35">
        <v>300</v>
      </c>
      <c r="H35" s="112" t="s">
        <v>81</v>
      </c>
      <c r="I35">
        <v>4401</v>
      </c>
      <c r="J35" s="112" t="s">
        <v>342</v>
      </c>
      <c r="K35" s="112" t="s">
        <v>82</v>
      </c>
      <c r="L35">
        <v>1727</v>
      </c>
      <c r="M35">
        <v>1694</v>
      </c>
      <c r="N35">
        <v>600</v>
      </c>
      <c r="O35" s="112" t="s">
        <v>83</v>
      </c>
      <c r="P35">
        <v>0.94324134616820299</v>
      </c>
      <c r="Q35">
        <v>0.93988630901334502</v>
      </c>
      <c r="R35" s="112">
        <v>4.9506029294289003E-3</v>
      </c>
      <c r="S35" s="20">
        <v>1.64880068172292E-6</v>
      </c>
      <c r="T35">
        <v>-0.95826841332776003</v>
      </c>
      <c r="U35">
        <v>0.95826841332776003</v>
      </c>
      <c r="V35">
        <v>-4.33</v>
      </c>
      <c r="W35">
        <v>0.24</v>
      </c>
      <c r="X35">
        <v>256424</v>
      </c>
      <c r="Y35">
        <v>17095</v>
      </c>
      <c r="Z35">
        <v>0.97</v>
      </c>
      <c r="AA35">
        <v>15</v>
      </c>
      <c r="AB35">
        <v>9</v>
      </c>
      <c r="AC35">
        <v>6</v>
      </c>
      <c r="AD35">
        <v>60</v>
      </c>
      <c r="AE35">
        <v>12</v>
      </c>
      <c r="AF35">
        <v>7</v>
      </c>
      <c r="AG35">
        <v>1</v>
      </c>
      <c r="AH35">
        <v>7</v>
      </c>
    </row>
    <row r="36" spans="1:34">
      <c r="A36" s="108">
        <v>88</v>
      </c>
      <c r="B36">
        <v>6702</v>
      </c>
      <c r="C36" s="112" t="s">
        <v>357</v>
      </c>
      <c r="D36" s="112" t="s">
        <v>108</v>
      </c>
      <c r="E36">
        <v>10200</v>
      </c>
      <c r="F36">
        <v>10055</v>
      </c>
      <c r="G36">
        <v>100</v>
      </c>
      <c r="H36" s="112" t="s">
        <v>81</v>
      </c>
      <c r="I36">
        <v>8425</v>
      </c>
      <c r="J36" s="112" t="s">
        <v>344</v>
      </c>
      <c r="K36" s="112" t="s">
        <v>324</v>
      </c>
      <c r="L36">
        <v>3355</v>
      </c>
      <c r="M36">
        <v>3350</v>
      </c>
      <c r="N36">
        <v>300</v>
      </c>
      <c r="O36" s="112" t="s">
        <v>83</v>
      </c>
      <c r="P36">
        <v>0.91410530945725099</v>
      </c>
      <c r="Q36">
        <v>0.92264583301925696</v>
      </c>
      <c r="R36">
        <v>9.1668056360318401E-3</v>
      </c>
      <c r="S36">
        <v>5.75833859343804E-3</v>
      </c>
      <c r="T36">
        <v>-0.16046992226319301</v>
      </c>
      <c r="U36">
        <v>0.16046992226319301</v>
      </c>
      <c r="V36">
        <v>-0.54</v>
      </c>
      <c r="W36">
        <v>0.05</v>
      </c>
      <c r="X36">
        <v>243048</v>
      </c>
      <c r="Y36">
        <v>17361</v>
      </c>
      <c r="Z36">
        <v>1.17</v>
      </c>
      <c r="AA36">
        <v>14</v>
      </c>
      <c r="AB36">
        <v>10</v>
      </c>
      <c r="AC36">
        <v>4</v>
      </c>
      <c r="AD36">
        <v>71.430000000000007</v>
      </c>
      <c r="AE36">
        <v>13</v>
      </c>
      <c r="AF36">
        <v>8</v>
      </c>
      <c r="AG36">
        <v>1</v>
      </c>
      <c r="AH36">
        <v>5</v>
      </c>
    </row>
    <row r="37" spans="1:34">
      <c r="A37" s="108">
        <v>144</v>
      </c>
      <c r="B37">
        <v>1820</v>
      </c>
      <c r="C37" s="112" t="s">
        <v>143</v>
      </c>
      <c r="D37" s="112" t="s">
        <v>99</v>
      </c>
      <c r="E37">
        <v>2558</v>
      </c>
      <c r="F37">
        <v>2503</v>
      </c>
      <c r="G37">
        <v>400</v>
      </c>
      <c r="H37" s="112" t="s">
        <v>83</v>
      </c>
      <c r="I37">
        <v>6752</v>
      </c>
      <c r="J37" s="112" t="s">
        <v>126</v>
      </c>
      <c r="K37" s="112" t="s">
        <v>108</v>
      </c>
      <c r="L37">
        <v>1059</v>
      </c>
      <c r="M37">
        <v>1058</v>
      </c>
      <c r="N37">
        <v>900</v>
      </c>
      <c r="O37" s="112" t="s">
        <v>81</v>
      </c>
      <c r="P37">
        <v>0.941862938452523</v>
      </c>
      <c r="Q37">
        <v>0.90743965429374795</v>
      </c>
      <c r="R37">
        <v>0.227882171006383</v>
      </c>
      <c r="S37" s="20">
        <v>1.8283613484367401E-2</v>
      </c>
      <c r="T37">
        <v>0.48694970484911199</v>
      </c>
      <c r="U37">
        <v>0.48694970484911199</v>
      </c>
      <c r="V37">
        <v>1.61</v>
      </c>
      <c r="W37">
        <v>4.8899999999999997</v>
      </c>
      <c r="X37">
        <v>241478</v>
      </c>
      <c r="Y37">
        <v>15092</v>
      </c>
      <c r="Z37">
        <v>0.73</v>
      </c>
      <c r="AA37">
        <v>16</v>
      </c>
      <c r="AB37">
        <v>11</v>
      </c>
      <c r="AC37">
        <v>5</v>
      </c>
      <c r="AD37">
        <v>68.75</v>
      </c>
      <c r="AE37">
        <v>13</v>
      </c>
      <c r="AF37">
        <v>7</v>
      </c>
      <c r="AG37">
        <v>3</v>
      </c>
      <c r="AH37">
        <v>6</v>
      </c>
    </row>
    <row r="38" spans="1:34">
      <c r="A38" s="108">
        <v>149</v>
      </c>
      <c r="B38">
        <v>4202</v>
      </c>
      <c r="C38" s="112" t="s">
        <v>110</v>
      </c>
      <c r="D38" s="112" t="s">
        <v>82</v>
      </c>
      <c r="E38">
        <v>1079</v>
      </c>
      <c r="F38">
        <v>1079</v>
      </c>
      <c r="G38">
        <v>900</v>
      </c>
      <c r="H38" s="112" t="s">
        <v>81</v>
      </c>
      <c r="I38">
        <v>7278</v>
      </c>
      <c r="J38" s="112" t="s">
        <v>104</v>
      </c>
      <c r="K38" s="112" t="s">
        <v>105</v>
      </c>
      <c r="L38">
        <v>2565</v>
      </c>
      <c r="M38">
        <v>2544</v>
      </c>
      <c r="N38">
        <v>400</v>
      </c>
      <c r="O38" s="112" t="s">
        <v>83</v>
      </c>
      <c r="P38">
        <v>0.91457754957373705</v>
      </c>
      <c r="Q38">
        <v>0.90666189223066396</v>
      </c>
      <c r="R38">
        <v>0.149391440506009</v>
      </c>
      <c r="S38" s="20">
        <v>3.5304295704679203E-2</v>
      </c>
      <c r="T38">
        <v>-0.43165191990197099</v>
      </c>
      <c r="U38">
        <v>0.43165191990197099</v>
      </c>
      <c r="V38">
        <v>-1.49</v>
      </c>
      <c r="W38">
        <v>4.57</v>
      </c>
      <c r="X38">
        <v>234049</v>
      </c>
      <c r="Y38">
        <v>11702</v>
      </c>
      <c r="Z38">
        <v>0.56999999999999995</v>
      </c>
      <c r="AA38">
        <v>20</v>
      </c>
      <c r="AB38">
        <v>12</v>
      </c>
      <c r="AC38">
        <v>8</v>
      </c>
      <c r="AD38">
        <v>60</v>
      </c>
      <c r="AE38">
        <v>12</v>
      </c>
      <c r="AF38">
        <v>7</v>
      </c>
      <c r="AG38">
        <v>5</v>
      </c>
      <c r="AH38">
        <v>8</v>
      </c>
    </row>
    <row r="39" spans="1:34">
      <c r="A39" s="108">
        <v>117</v>
      </c>
      <c r="B39">
        <v>5333</v>
      </c>
      <c r="C39" s="112" t="s">
        <v>359</v>
      </c>
      <c r="D39" s="112" t="s">
        <v>127</v>
      </c>
      <c r="E39">
        <v>1915</v>
      </c>
      <c r="F39">
        <v>1919</v>
      </c>
      <c r="G39">
        <v>400</v>
      </c>
      <c r="H39" s="112" t="s">
        <v>81</v>
      </c>
      <c r="I39">
        <v>7282</v>
      </c>
      <c r="J39" s="112" t="s">
        <v>979</v>
      </c>
      <c r="K39" s="112" t="s">
        <v>105</v>
      </c>
      <c r="L39">
        <v>2801</v>
      </c>
      <c r="M39">
        <v>2798</v>
      </c>
      <c r="N39">
        <v>300</v>
      </c>
      <c r="O39" s="112" t="s">
        <v>83</v>
      </c>
      <c r="P39">
        <v>0.97875818403436599</v>
      </c>
      <c r="Q39">
        <v>0.91423871479129004</v>
      </c>
      <c r="R39">
        <v>3.35284653089887E-3</v>
      </c>
      <c r="S39" s="20">
        <v>0.110749503861618</v>
      </c>
      <c r="T39">
        <v>-1.8000472187142</v>
      </c>
      <c r="U39">
        <v>1.8000472187142</v>
      </c>
      <c r="V39">
        <v>-3.52</v>
      </c>
      <c r="W39">
        <v>8.5500000000000007</v>
      </c>
      <c r="X39">
        <v>231982</v>
      </c>
      <c r="Y39">
        <v>12888</v>
      </c>
      <c r="Z39">
        <v>0.65</v>
      </c>
      <c r="AA39">
        <v>18</v>
      </c>
      <c r="AB39">
        <v>10</v>
      </c>
      <c r="AC39">
        <v>8</v>
      </c>
      <c r="AD39">
        <v>55.56</v>
      </c>
      <c r="AE39">
        <v>13</v>
      </c>
      <c r="AF39">
        <v>6</v>
      </c>
      <c r="AG39">
        <v>2</v>
      </c>
      <c r="AH39">
        <v>10</v>
      </c>
    </row>
    <row r="40" spans="1:34">
      <c r="A40" s="108">
        <v>118</v>
      </c>
      <c r="B40">
        <v>6588</v>
      </c>
      <c r="C40" s="112" t="s">
        <v>981</v>
      </c>
      <c r="D40" s="112" t="s">
        <v>108</v>
      </c>
      <c r="E40">
        <v>4625</v>
      </c>
      <c r="F40">
        <v>4530</v>
      </c>
      <c r="G40">
        <v>200</v>
      </c>
      <c r="H40" s="112" t="s">
        <v>83</v>
      </c>
      <c r="I40">
        <v>8593</v>
      </c>
      <c r="J40" s="112" t="s">
        <v>336</v>
      </c>
      <c r="K40" s="112" t="s">
        <v>324</v>
      </c>
      <c r="L40">
        <v>716</v>
      </c>
      <c r="M40">
        <v>707</v>
      </c>
      <c r="N40">
        <v>1300</v>
      </c>
      <c r="O40" s="112" t="s">
        <v>81</v>
      </c>
      <c r="P40">
        <v>0.92386496234458004</v>
      </c>
      <c r="Q40">
        <v>0.914194418273239</v>
      </c>
      <c r="R40">
        <v>0.38400369981298299</v>
      </c>
      <c r="S40" s="112">
        <v>3.8609350176170301E-2</v>
      </c>
      <c r="T40">
        <v>1.4681080181716599</v>
      </c>
      <c r="U40">
        <v>1.4681080181716599</v>
      </c>
      <c r="V40">
        <v>11.39</v>
      </c>
      <c r="W40">
        <v>1.45</v>
      </c>
      <c r="X40">
        <v>224829</v>
      </c>
      <c r="Y40">
        <v>14989</v>
      </c>
      <c r="Z40">
        <v>0.69</v>
      </c>
      <c r="AA40">
        <v>15</v>
      </c>
      <c r="AB40">
        <v>10</v>
      </c>
      <c r="AC40">
        <v>5</v>
      </c>
      <c r="AD40">
        <v>66.67</v>
      </c>
      <c r="AE40">
        <v>13</v>
      </c>
      <c r="AF40">
        <v>5</v>
      </c>
      <c r="AG40">
        <v>4</v>
      </c>
      <c r="AH40">
        <v>6</v>
      </c>
    </row>
    <row r="41" spans="1:34">
      <c r="A41" s="108">
        <v>30</v>
      </c>
      <c r="B41">
        <v>4519</v>
      </c>
      <c r="C41" s="112" t="s">
        <v>980</v>
      </c>
      <c r="D41" s="112" t="s">
        <v>157</v>
      </c>
      <c r="E41">
        <v>10025</v>
      </c>
      <c r="F41">
        <v>10040</v>
      </c>
      <c r="G41">
        <v>100</v>
      </c>
      <c r="H41" s="112" t="s">
        <v>81</v>
      </c>
      <c r="I41">
        <v>6588</v>
      </c>
      <c r="J41" s="112" t="s">
        <v>981</v>
      </c>
      <c r="K41" s="112" t="s">
        <v>108</v>
      </c>
      <c r="L41">
        <v>4625</v>
      </c>
      <c r="M41">
        <v>4530</v>
      </c>
      <c r="N41">
        <v>200</v>
      </c>
      <c r="O41" s="112" t="s">
        <v>83</v>
      </c>
      <c r="P41">
        <v>0.95473208338778603</v>
      </c>
      <c r="Q41">
        <v>0.94416751071711402</v>
      </c>
      <c r="R41">
        <v>8.0250260733610704E-2</v>
      </c>
      <c r="S41">
        <v>1.5408728326377401E-2</v>
      </c>
      <c r="T41">
        <v>-0.81361483348605801</v>
      </c>
      <c r="U41">
        <v>0.81361483348605801</v>
      </c>
      <c r="V41">
        <v>-5.0999999999999996</v>
      </c>
      <c r="W41">
        <v>9.76</v>
      </c>
      <c r="X41">
        <v>222279</v>
      </c>
      <c r="Y41">
        <v>13892</v>
      </c>
      <c r="Z41">
        <v>0.92</v>
      </c>
      <c r="AA41">
        <v>16</v>
      </c>
      <c r="AB41">
        <v>10</v>
      </c>
      <c r="AC41">
        <v>6</v>
      </c>
      <c r="AD41">
        <v>62.5</v>
      </c>
      <c r="AE41">
        <v>11</v>
      </c>
      <c r="AF41">
        <v>7</v>
      </c>
      <c r="AG41">
        <v>4</v>
      </c>
      <c r="AH41">
        <v>5</v>
      </c>
    </row>
    <row r="42" spans="1:34">
      <c r="A42" s="108">
        <v>138</v>
      </c>
      <c r="B42">
        <v>2175</v>
      </c>
      <c r="C42" s="112" t="s">
        <v>352</v>
      </c>
      <c r="D42" s="112" t="s">
        <v>141</v>
      </c>
      <c r="E42">
        <v>3035</v>
      </c>
      <c r="F42">
        <v>3000</v>
      </c>
      <c r="G42">
        <v>200</v>
      </c>
      <c r="H42" s="112" t="s">
        <v>81</v>
      </c>
      <c r="I42">
        <v>4686</v>
      </c>
      <c r="J42" s="112" t="s">
        <v>1299</v>
      </c>
      <c r="K42" s="112" t="s">
        <v>100</v>
      </c>
      <c r="L42">
        <v>5910</v>
      </c>
      <c r="M42">
        <v>5910</v>
      </c>
      <c r="N42">
        <v>100</v>
      </c>
      <c r="O42" s="112" t="s">
        <v>83</v>
      </c>
      <c r="P42">
        <v>0.92968430173959904</v>
      </c>
      <c r="Q42">
        <v>0.90886006830101895</v>
      </c>
      <c r="R42">
        <v>4.62440958811049E-4</v>
      </c>
      <c r="S42" s="112">
        <v>0.27650297434229798</v>
      </c>
      <c r="T42">
        <v>-1.46443896992059</v>
      </c>
      <c r="U42">
        <v>1.46443896992059</v>
      </c>
      <c r="V42">
        <v>-19.16</v>
      </c>
      <c r="W42">
        <v>1.52</v>
      </c>
      <c r="X42">
        <v>219732</v>
      </c>
      <c r="Y42">
        <v>14649</v>
      </c>
      <c r="Z42">
        <v>0.71</v>
      </c>
      <c r="AA42">
        <v>15</v>
      </c>
      <c r="AB42">
        <v>10</v>
      </c>
      <c r="AC42">
        <v>5</v>
      </c>
      <c r="AD42">
        <v>66.67</v>
      </c>
      <c r="AE42">
        <v>9</v>
      </c>
      <c r="AF42">
        <v>8</v>
      </c>
      <c r="AG42">
        <v>5</v>
      </c>
      <c r="AH42">
        <v>2</v>
      </c>
    </row>
    <row r="43" spans="1:34">
      <c r="A43" s="108">
        <v>44</v>
      </c>
      <c r="B43">
        <v>3635</v>
      </c>
      <c r="C43" s="112" t="s">
        <v>106</v>
      </c>
      <c r="D43" s="112" t="s">
        <v>100</v>
      </c>
      <c r="E43">
        <v>2727</v>
      </c>
      <c r="F43">
        <v>2709</v>
      </c>
      <c r="G43">
        <v>400</v>
      </c>
      <c r="H43" s="112" t="s">
        <v>83</v>
      </c>
      <c r="I43">
        <v>8593</v>
      </c>
      <c r="J43" s="112" t="s">
        <v>336</v>
      </c>
      <c r="K43" s="112" t="s">
        <v>324</v>
      </c>
      <c r="L43">
        <v>716</v>
      </c>
      <c r="M43">
        <v>707</v>
      </c>
      <c r="N43">
        <v>1500</v>
      </c>
      <c r="O43" s="112" t="s">
        <v>81</v>
      </c>
      <c r="P43">
        <v>0.91948062944831499</v>
      </c>
      <c r="Q43">
        <v>0.93949601971791896</v>
      </c>
      <c r="R43">
        <v>0.18107891844110999</v>
      </c>
      <c r="S43">
        <v>6.8024295986000996E-3</v>
      </c>
      <c r="T43">
        <v>1.4607777795316601</v>
      </c>
      <c r="U43">
        <v>1.4607777795316601</v>
      </c>
      <c r="V43">
        <v>3.75</v>
      </c>
      <c r="W43">
        <v>2.13</v>
      </c>
      <c r="X43">
        <v>218633</v>
      </c>
      <c r="Y43">
        <v>12861</v>
      </c>
      <c r="Z43">
        <v>0.62</v>
      </c>
      <c r="AA43">
        <v>17</v>
      </c>
      <c r="AB43">
        <v>10</v>
      </c>
      <c r="AC43">
        <v>7</v>
      </c>
      <c r="AD43">
        <v>58.82</v>
      </c>
      <c r="AE43">
        <v>12</v>
      </c>
      <c r="AF43">
        <v>7</v>
      </c>
      <c r="AG43">
        <v>4</v>
      </c>
      <c r="AH43">
        <v>6</v>
      </c>
    </row>
    <row r="44" spans="1:34">
      <c r="A44" s="108">
        <v>84</v>
      </c>
      <c r="B44">
        <v>3105</v>
      </c>
      <c r="C44" s="112" t="s">
        <v>111</v>
      </c>
      <c r="D44" s="112" t="s">
        <v>108</v>
      </c>
      <c r="E44">
        <v>1098</v>
      </c>
      <c r="F44">
        <v>1086</v>
      </c>
      <c r="G44">
        <v>1000</v>
      </c>
      <c r="H44" s="112" t="s">
        <v>83</v>
      </c>
      <c r="I44">
        <v>6770</v>
      </c>
      <c r="J44" s="112" t="s">
        <v>46</v>
      </c>
      <c r="K44" s="112" t="s">
        <v>108</v>
      </c>
      <c r="L44">
        <v>2628</v>
      </c>
      <c r="M44">
        <v>2609</v>
      </c>
      <c r="N44">
        <v>400</v>
      </c>
      <c r="O44" s="112" t="s">
        <v>81</v>
      </c>
      <c r="P44">
        <v>0.95755469848588304</v>
      </c>
      <c r="Q44">
        <v>0.92384834006152805</v>
      </c>
      <c r="R44" s="20">
        <v>0.26184540574334098</v>
      </c>
      <c r="S44">
        <v>6.5807838323523105E-2</v>
      </c>
      <c r="T44">
        <v>0.23595003328695699</v>
      </c>
      <c r="U44">
        <v>0.23595003328695699</v>
      </c>
      <c r="V44">
        <v>0.79</v>
      </c>
      <c r="W44">
        <v>4.0599999999999996</v>
      </c>
      <c r="X44">
        <v>211945</v>
      </c>
      <c r="Y44">
        <v>10093</v>
      </c>
      <c r="Z44">
        <v>0.54</v>
      </c>
      <c r="AA44">
        <v>21</v>
      </c>
      <c r="AB44">
        <v>12</v>
      </c>
      <c r="AC44">
        <v>9</v>
      </c>
      <c r="AD44">
        <v>57.14</v>
      </c>
      <c r="AE44">
        <v>9</v>
      </c>
      <c r="AF44">
        <v>11</v>
      </c>
      <c r="AG44">
        <v>7</v>
      </c>
      <c r="AH44">
        <v>3</v>
      </c>
    </row>
    <row r="45" spans="1:34">
      <c r="A45" s="108">
        <v>83</v>
      </c>
      <c r="B45">
        <v>5333</v>
      </c>
      <c r="C45" s="112" t="s">
        <v>359</v>
      </c>
      <c r="D45" s="112" t="s">
        <v>127</v>
      </c>
      <c r="E45">
        <v>1915</v>
      </c>
      <c r="F45">
        <v>1919</v>
      </c>
      <c r="G45">
        <v>500</v>
      </c>
      <c r="H45" s="112" t="s">
        <v>83</v>
      </c>
      <c r="I45">
        <v>6995</v>
      </c>
      <c r="J45" s="112" t="s">
        <v>112</v>
      </c>
      <c r="K45" s="112" t="s">
        <v>105</v>
      </c>
      <c r="L45">
        <v>2258</v>
      </c>
      <c r="M45">
        <v>2263</v>
      </c>
      <c r="N45">
        <v>400</v>
      </c>
      <c r="O45" s="112" t="s">
        <v>81</v>
      </c>
      <c r="P45">
        <v>0.97281509293809099</v>
      </c>
      <c r="Q45">
        <v>0.92443278737533996</v>
      </c>
      <c r="R45" s="112">
        <v>1.9513607690698001E-2</v>
      </c>
      <c r="S45" s="20">
        <v>5.7335486410735097E-2</v>
      </c>
      <c r="T45">
        <v>8.3489482516754296E-2</v>
      </c>
      <c r="U45">
        <v>8.3489482516754296E-2</v>
      </c>
      <c r="V45">
        <v>0.19</v>
      </c>
      <c r="W45">
        <v>6</v>
      </c>
      <c r="X45">
        <v>207740</v>
      </c>
      <c r="Y45">
        <v>11541</v>
      </c>
      <c r="Z45">
        <v>0.59</v>
      </c>
      <c r="AA45">
        <v>18</v>
      </c>
      <c r="AB45">
        <v>12</v>
      </c>
      <c r="AC45">
        <v>6</v>
      </c>
      <c r="AD45">
        <v>66.67</v>
      </c>
      <c r="AE45">
        <v>15</v>
      </c>
      <c r="AF45">
        <v>4</v>
      </c>
      <c r="AG45">
        <v>2</v>
      </c>
      <c r="AH45">
        <v>12</v>
      </c>
    </row>
    <row r="46" spans="1:34">
      <c r="A46" s="108">
        <v>133</v>
      </c>
      <c r="B46">
        <v>4183</v>
      </c>
      <c r="C46" s="112" t="s">
        <v>326</v>
      </c>
      <c r="D46" s="112" t="s">
        <v>82</v>
      </c>
      <c r="E46">
        <v>2790</v>
      </c>
      <c r="F46">
        <v>2776</v>
      </c>
      <c r="G46">
        <v>300</v>
      </c>
      <c r="H46" s="112" t="s">
        <v>81</v>
      </c>
      <c r="I46">
        <v>4208</v>
      </c>
      <c r="J46" s="112" t="s">
        <v>119</v>
      </c>
      <c r="K46" s="112" t="s">
        <v>82</v>
      </c>
      <c r="L46">
        <v>2459</v>
      </c>
      <c r="M46">
        <v>2479</v>
      </c>
      <c r="N46">
        <v>300</v>
      </c>
      <c r="O46" s="112" t="s">
        <v>83</v>
      </c>
      <c r="P46">
        <v>0.93281125502254503</v>
      </c>
      <c r="Q46">
        <v>0.91047413521996701</v>
      </c>
      <c r="R46">
        <v>1.9851833213696699E-2</v>
      </c>
      <c r="S46" s="20">
        <v>0.109916247214598</v>
      </c>
      <c r="T46">
        <v>-0.27847957536314999</v>
      </c>
      <c r="U46">
        <v>0.27847957536314999</v>
      </c>
      <c r="V46">
        <v>-0.41</v>
      </c>
      <c r="W46">
        <v>10.7</v>
      </c>
      <c r="X46">
        <v>207621</v>
      </c>
      <c r="Y46">
        <v>20762</v>
      </c>
      <c r="Z46">
        <v>1.0900000000000001</v>
      </c>
      <c r="AA46">
        <v>10</v>
      </c>
      <c r="AB46">
        <v>9</v>
      </c>
      <c r="AC46">
        <v>1</v>
      </c>
      <c r="AD46">
        <v>90</v>
      </c>
      <c r="AE46">
        <v>14</v>
      </c>
      <c r="AF46">
        <v>3</v>
      </c>
      <c r="AG46">
        <v>0</v>
      </c>
      <c r="AH46">
        <v>7</v>
      </c>
    </row>
    <row r="47" spans="1:34">
      <c r="A47" s="108">
        <v>4</v>
      </c>
      <c r="B47">
        <v>6988</v>
      </c>
      <c r="C47" s="112" t="s">
        <v>160</v>
      </c>
      <c r="D47" s="112" t="s">
        <v>82</v>
      </c>
      <c r="E47">
        <v>6350</v>
      </c>
      <c r="F47">
        <v>6410</v>
      </c>
      <c r="G47">
        <v>100</v>
      </c>
      <c r="H47" s="112" t="s">
        <v>81</v>
      </c>
      <c r="I47">
        <v>7282</v>
      </c>
      <c r="J47" s="112" t="s">
        <v>979</v>
      </c>
      <c r="K47" s="112" t="s">
        <v>105</v>
      </c>
      <c r="L47">
        <v>2801</v>
      </c>
      <c r="M47">
        <v>2798</v>
      </c>
      <c r="N47">
        <v>200</v>
      </c>
      <c r="O47" s="112" t="s">
        <v>83</v>
      </c>
      <c r="P47">
        <v>0.945328598275751</v>
      </c>
      <c r="Q47">
        <v>0.96395290434146597</v>
      </c>
      <c r="R47" s="20">
        <v>0.100461843901423</v>
      </c>
      <c r="S47" s="20">
        <v>1.8731442685656199E-5</v>
      </c>
      <c r="T47">
        <v>-1.9606001734935301</v>
      </c>
      <c r="U47">
        <v>1.9606001734935301</v>
      </c>
      <c r="V47">
        <v>-6.33</v>
      </c>
      <c r="W47">
        <v>12.7</v>
      </c>
      <c r="X47">
        <v>206961</v>
      </c>
      <c r="Y47">
        <v>14783</v>
      </c>
      <c r="Z47">
        <v>0.78</v>
      </c>
      <c r="AA47">
        <v>14</v>
      </c>
      <c r="AB47">
        <v>10</v>
      </c>
      <c r="AC47">
        <v>4</v>
      </c>
      <c r="AD47">
        <v>71.430000000000007</v>
      </c>
      <c r="AE47">
        <v>10</v>
      </c>
      <c r="AF47">
        <v>9</v>
      </c>
      <c r="AG47">
        <v>3</v>
      </c>
      <c r="AH47">
        <v>2</v>
      </c>
    </row>
    <row r="48" spans="1:34">
      <c r="A48" s="108">
        <v>155</v>
      </c>
      <c r="B48">
        <v>6752</v>
      </c>
      <c r="C48" s="112" t="s">
        <v>126</v>
      </c>
      <c r="D48" s="112" t="s">
        <v>108</v>
      </c>
      <c r="E48">
        <v>1059</v>
      </c>
      <c r="F48">
        <v>1058</v>
      </c>
      <c r="G48">
        <v>1000</v>
      </c>
      <c r="H48" s="112" t="s">
        <v>81</v>
      </c>
      <c r="I48">
        <v>7205</v>
      </c>
      <c r="J48" s="112" t="s">
        <v>138</v>
      </c>
      <c r="K48" s="112" t="s">
        <v>105</v>
      </c>
      <c r="L48">
        <v>1175</v>
      </c>
      <c r="M48">
        <v>1181</v>
      </c>
      <c r="N48">
        <v>900</v>
      </c>
      <c r="O48" s="112" t="s">
        <v>83</v>
      </c>
      <c r="P48">
        <v>0.94858565356340196</v>
      </c>
      <c r="Q48">
        <v>0.90418875934947796</v>
      </c>
      <c r="R48">
        <v>0.14776639393947899</v>
      </c>
      <c r="S48" s="20">
        <v>2.7312222507179601E-2</v>
      </c>
      <c r="T48">
        <v>-1.9787012042360099</v>
      </c>
      <c r="U48">
        <v>1.9787012042360099</v>
      </c>
      <c r="V48">
        <v>-6.73</v>
      </c>
      <c r="W48">
        <v>0.46</v>
      </c>
      <c r="X48">
        <v>203652</v>
      </c>
      <c r="Y48">
        <v>14547</v>
      </c>
      <c r="Z48">
        <v>0.68</v>
      </c>
      <c r="AA48">
        <v>14</v>
      </c>
      <c r="AB48">
        <v>9</v>
      </c>
      <c r="AC48">
        <v>5</v>
      </c>
      <c r="AD48">
        <v>64.290000000000006</v>
      </c>
      <c r="AE48">
        <v>14</v>
      </c>
      <c r="AF48">
        <v>5</v>
      </c>
      <c r="AG48">
        <v>1</v>
      </c>
      <c r="AH48">
        <v>8</v>
      </c>
    </row>
    <row r="49" spans="1:34">
      <c r="A49" s="108">
        <v>74</v>
      </c>
      <c r="B49">
        <v>4182</v>
      </c>
      <c r="C49" s="112" t="s">
        <v>109</v>
      </c>
      <c r="D49" s="112" t="s">
        <v>82</v>
      </c>
      <c r="E49">
        <v>1728</v>
      </c>
      <c r="F49">
        <v>1730</v>
      </c>
      <c r="G49">
        <v>600</v>
      </c>
      <c r="H49" s="112" t="s">
        <v>81</v>
      </c>
      <c r="I49">
        <v>5802</v>
      </c>
      <c r="J49" s="112" t="s">
        <v>152</v>
      </c>
      <c r="K49" s="112" t="s">
        <v>153</v>
      </c>
      <c r="L49">
        <v>1688.5</v>
      </c>
      <c r="M49">
        <v>1690.5</v>
      </c>
      <c r="N49">
        <v>600</v>
      </c>
      <c r="O49" s="112" t="s">
        <v>83</v>
      </c>
      <c r="P49">
        <v>0.96652055344474797</v>
      </c>
      <c r="Q49">
        <v>0.92790988167491395</v>
      </c>
      <c r="R49">
        <v>0.226924850573262</v>
      </c>
      <c r="S49" s="20">
        <v>8.3946599580543596E-2</v>
      </c>
      <c r="T49">
        <v>-0.73605102733937799</v>
      </c>
      <c r="U49">
        <v>0.73605102733937799</v>
      </c>
      <c r="V49">
        <v>-1.59</v>
      </c>
      <c r="W49">
        <v>2.2799999999999998</v>
      </c>
      <c r="X49">
        <v>202282</v>
      </c>
      <c r="Y49">
        <v>11238</v>
      </c>
      <c r="Z49">
        <v>0.67</v>
      </c>
      <c r="AA49">
        <v>18</v>
      </c>
      <c r="AB49">
        <v>11</v>
      </c>
      <c r="AC49">
        <v>7</v>
      </c>
      <c r="AD49">
        <v>61.11</v>
      </c>
      <c r="AE49">
        <v>13</v>
      </c>
      <c r="AF49">
        <v>7</v>
      </c>
      <c r="AG49">
        <v>4</v>
      </c>
      <c r="AH49">
        <v>7</v>
      </c>
    </row>
    <row r="50" spans="1:34">
      <c r="A50" s="108">
        <v>148</v>
      </c>
      <c r="B50">
        <v>6471</v>
      </c>
      <c r="C50" s="112" t="s">
        <v>159</v>
      </c>
      <c r="D50" s="112" t="s">
        <v>120</v>
      </c>
      <c r="E50">
        <v>1090</v>
      </c>
      <c r="F50">
        <v>1088</v>
      </c>
      <c r="G50">
        <v>800</v>
      </c>
      <c r="H50" s="112" t="s">
        <v>81</v>
      </c>
      <c r="I50">
        <v>7259</v>
      </c>
      <c r="J50" s="112" t="s">
        <v>49</v>
      </c>
      <c r="K50" s="112" t="s">
        <v>105</v>
      </c>
      <c r="L50">
        <v>4260</v>
      </c>
      <c r="M50">
        <v>4265</v>
      </c>
      <c r="N50">
        <v>200</v>
      </c>
      <c r="O50" s="112" t="s">
        <v>83</v>
      </c>
      <c r="P50">
        <v>0.93910542097426097</v>
      </c>
      <c r="Q50">
        <v>0.90690326244113395</v>
      </c>
      <c r="R50">
        <v>3.0976500475223299E-4</v>
      </c>
      <c r="S50">
        <v>1.24712549253982E-2</v>
      </c>
      <c r="T50">
        <v>-0.75796679308682002</v>
      </c>
      <c r="U50">
        <v>0.75796679308682002</v>
      </c>
      <c r="V50">
        <v>-3.05</v>
      </c>
      <c r="W50">
        <v>2.04</v>
      </c>
      <c r="X50">
        <v>199833</v>
      </c>
      <c r="Y50">
        <v>9516</v>
      </c>
      <c r="Z50">
        <v>0.62</v>
      </c>
      <c r="AA50">
        <v>21</v>
      </c>
      <c r="AB50">
        <v>14</v>
      </c>
      <c r="AC50">
        <v>7</v>
      </c>
      <c r="AD50">
        <v>66.67</v>
      </c>
      <c r="AE50">
        <v>12</v>
      </c>
      <c r="AF50">
        <v>8</v>
      </c>
      <c r="AG50">
        <v>4</v>
      </c>
      <c r="AH50">
        <v>9</v>
      </c>
    </row>
    <row r="51" spans="1:34">
      <c r="A51" s="108">
        <v>7</v>
      </c>
      <c r="B51">
        <v>4182</v>
      </c>
      <c r="C51" s="112" t="s">
        <v>109</v>
      </c>
      <c r="D51" s="112" t="s">
        <v>82</v>
      </c>
      <c r="E51">
        <v>1728</v>
      </c>
      <c r="F51">
        <v>1730</v>
      </c>
      <c r="G51">
        <v>600</v>
      </c>
      <c r="H51" s="112" t="s">
        <v>81</v>
      </c>
      <c r="I51">
        <v>5991</v>
      </c>
      <c r="J51" s="112" t="s">
        <v>136</v>
      </c>
      <c r="K51" s="112" t="s">
        <v>137</v>
      </c>
      <c r="L51">
        <v>1021</v>
      </c>
      <c r="M51">
        <v>1021</v>
      </c>
      <c r="N51">
        <v>1000</v>
      </c>
      <c r="O51" s="112" t="s">
        <v>83</v>
      </c>
      <c r="P51">
        <v>0.96938045776937698</v>
      </c>
      <c r="Q51">
        <v>0.95923286177314204</v>
      </c>
      <c r="R51">
        <v>4.8080751975348598E-2</v>
      </c>
      <c r="S51" s="20">
        <v>0.183393778587018</v>
      </c>
      <c r="T51">
        <v>-0.70656768412009996</v>
      </c>
      <c r="U51">
        <v>0.70656768412009996</v>
      </c>
      <c r="V51">
        <v>-1.51</v>
      </c>
      <c r="W51">
        <v>1.64</v>
      </c>
      <c r="X51">
        <v>196981</v>
      </c>
      <c r="Y51">
        <v>10367</v>
      </c>
      <c r="Z51">
        <v>0.49</v>
      </c>
      <c r="AA51">
        <v>19</v>
      </c>
      <c r="AB51">
        <v>11</v>
      </c>
      <c r="AC51">
        <v>8</v>
      </c>
      <c r="AD51">
        <v>57.89</v>
      </c>
      <c r="AE51">
        <v>12</v>
      </c>
      <c r="AF51">
        <v>7</v>
      </c>
      <c r="AG51">
        <v>3</v>
      </c>
      <c r="AH51">
        <v>9</v>
      </c>
    </row>
    <row r="52" spans="1:34">
      <c r="A52" s="108">
        <v>22</v>
      </c>
      <c r="B52">
        <v>7181</v>
      </c>
      <c r="C52" s="112" t="s">
        <v>158</v>
      </c>
      <c r="D52" s="112" t="s">
        <v>131</v>
      </c>
      <c r="E52">
        <v>2005</v>
      </c>
      <c r="F52">
        <v>1990</v>
      </c>
      <c r="G52">
        <v>500</v>
      </c>
      <c r="H52" s="112" t="s">
        <v>83</v>
      </c>
      <c r="I52">
        <v>9956</v>
      </c>
      <c r="J52" s="112" t="s">
        <v>343</v>
      </c>
      <c r="K52" s="112" t="s">
        <v>116</v>
      </c>
      <c r="L52">
        <v>2096</v>
      </c>
      <c r="M52">
        <v>2070</v>
      </c>
      <c r="N52">
        <v>500</v>
      </c>
      <c r="O52" s="112" t="s">
        <v>81</v>
      </c>
      <c r="P52">
        <v>0.93082151940243996</v>
      </c>
      <c r="Q52">
        <v>0.947519025715029</v>
      </c>
      <c r="R52">
        <v>7.0854084149129604E-3</v>
      </c>
      <c r="S52" s="20">
        <v>0.12411874673279701</v>
      </c>
      <c r="T52">
        <v>2.2624826861349598</v>
      </c>
      <c r="U52">
        <v>2.2624826861349598</v>
      </c>
      <c r="V52">
        <v>6.19</v>
      </c>
      <c r="W52">
        <v>3.86</v>
      </c>
      <c r="X52">
        <v>196402</v>
      </c>
      <c r="Y52">
        <v>15108</v>
      </c>
      <c r="Z52">
        <v>0.7</v>
      </c>
      <c r="AA52">
        <v>13</v>
      </c>
      <c r="AB52">
        <v>9</v>
      </c>
      <c r="AC52">
        <v>4</v>
      </c>
      <c r="AD52">
        <v>69.23</v>
      </c>
      <c r="AE52">
        <v>14</v>
      </c>
      <c r="AF52">
        <v>3</v>
      </c>
      <c r="AG52">
        <v>1</v>
      </c>
      <c r="AH52">
        <v>9</v>
      </c>
    </row>
    <row r="53" spans="1:34">
      <c r="A53" s="108">
        <v>31</v>
      </c>
      <c r="B53">
        <v>2379</v>
      </c>
      <c r="C53" s="112" t="s">
        <v>1054</v>
      </c>
      <c r="D53" s="112" t="s">
        <v>141</v>
      </c>
      <c r="E53">
        <v>3210</v>
      </c>
      <c r="F53">
        <v>3175</v>
      </c>
      <c r="G53">
        <v>300</v>
      </c>
      <c r="H53" s="112" t="s">
        <v>83</v>
      </c>
      <c r="I53">
        <v>9437</v>
      </c>
      <c r="J53" s="112" t="s">
        <v>1055</v>
      </c>
      <c r="K53" s="112" t="s">
        <v>100</v>
      </c>
      <c r="L53">
        <v>3050</v>
      </c>
      <c r="M53">
        <v>3025</v>
      </c>
      <c r="N53">
        <v>300</v>
      </c>
      <c r="O53" s="112" t="s">
        <v>81</v>
      </c>
      <c r="P53">
        <v>0.90149516510570105</v>
      </c>
      <c r="Q53">
        <v>0.94414676424467903</v>
      </c>
      <c r="R53" s="112">
        <v>2.3279108497009701E-2</v>
      </c>
      <c r="S53">
        <v>1.7037838338569498E-2</v>
      </c>
      <c r="T53">
        <v>1.2072937976873099</v>
      </c>
      <c r="U53">
        <v>1.2072937976873099</v>
      </c>
      <c r="V53">
        <v>7.12</v>
      </c>
      <c r="W53">
        <v>4.72</v>
      </c>
      <c r="X53">
        <v>196308</v>
      </c>
      <c r="Y53">
        <v>9348</v>
      </c>
      <c r="Z53">
        <v>0.5</v>
      </c>
      <c r="AA53">
        <v>21</v>
      </c>
      <c r="AB53">
        <v>11</v>
      </c>
      <c r="AC53">
        <v>10</v>
      </c>
      <c r="AD53">
        <v>52.38</v>
      </c>
      <c r="AE53">
        <v>10</v>
      </c>
      <c r="AF53">
        <v>8</v>
      </c>
      <c r="AG53">
        <v>6</v>
      </c>
      <c r="AH53">
        <v>7</v>
      </c>
    </row>
    <row r="54" spans="1:34">
      <c r="A54" s="108">
        <v>130</v>
      </c>
      <c r="B54">
        <v>4613</v>
      </c>
      <c r="C54" s="112" t="s">
        <v>345</v>
      </c>
      <c r="D54" s="112" t="s">
        <v>82</v>
      </c>
      <c r="E54">
        <v>2822</v>
      </c>
      <c r="F54">
        <v>2757</v>
      </c>
      <c r="G54">
        <v>400</v>
      </c>
      <c r="H54" s="112" t="s">
        <v>81</v>
      </c>
      <c r="I54">
        <v>6920</v>
      </c>
      <c r="J54" s="112" t="s">
        <v>107</v>
      </c>
      <c r="K54" s="112" t="s">
        <v>108</v>
      </c>
      <c r="L54">
        <v>9950</v>
      </c>
      <c r="M54">
        <v>9850</v>
      </c>
      <c r="N54">
        <v>100</v>
      </c>
      <c r="O54" s="112" t="s">
        <v>83</v>
      </c>
      <c r="P54">
        <v>0.90425674058299998</v>
      </c>
      <c r="Q54">
        <v>0.91085577226696401</v>
      </c>
      <c r="R54" s="112">
        <v>0.106920352528558</v>
      </c>
      <c r="S54">
        <v>0.21322250277267699</v>
      </c>
      <c r="T54">
        <v>-1.9926368775893999</v>
      </c>
      <c r="U54">
        <v>1.9926368775893999</v>
      </c>
      <c r="V54">
        <v>-19.559999999999999</v>
      </c>
      <c r="W54">
        <v>11.96</v>
      </c>
      <c r="X54">
        <v>191647</v>
      </c>
      <c r="Y54">
        <v>10087</v>
      </c>
      <c r="Z54">
        <v>0.54</v>
      </c>
      <c r="AA54">
        <v>19</v>
      </c>
      <c r="AB54">
        <v>10</v>
      </c>
      <c r="AC54">
        <v>9</v>
      </c>
      <c r="AD54">
        <v>52.63</v>
      </c>
      <c r="AE54">
        <v>10</v>
      </c>
      <c r="AF54">
        <v>9</v>
      </c>
      <c r="AG54">
        <v>8</v>
      </c>
      <c r="AH54">
        <v>2</v>
      </c>
    </row>
    <row r="55" spans="1:34">
      <c r="A55" s="108">
        <v>41</v>
      </c>
      <c r="B55">
        <v>6588</v>
      </c>
      <c r="C55" s="112" t="s">
        <v>981</v>
      </c>
      <c r="D55" s="112" t="s">
        <v>108</v>
      </c>
      <c r="E55">
        <v>4625</v>
      </c>
      <c r="F55">
        <v>4530</v>
      </c>
      <c r="G55">
        <v>200</v>
      </c>
      <c r="H55" s="112" t="s">
        <v>83</v>
      </c>
      <c r="I55">
        <v>6702</v>
      </c>
      <c r="J55" s="112" t="s">
        <v>357</v>
      </c>
      <c r="K55" s="112" t="s">
        <v>108</v>
      </c>
      <c r="L55">
        <v>10200</v>
      </c>
      <c r="M55">
        <v>10055</v>
      </c>
      <c r="N55">
        <v>100</v>
      </c>
      <c r="O55" s="112" t="s">
        <v>81</v>
      </c>
      <c r="P55">
        <v>0.93682849950167801</v>
      </c>
      <c r="Q55">
        <v>0.94002093416678101</v>
      </c>
      <c r="R55" s="112">
        <v>0.13985335110279201</v>
      </c>
      <c r="S55">
        <v>1.91035532056862E-2</v>
      </c>
      <c r="T55">
        <v>1.36505958785894</v>
      </c>
      <c r="U55">
        <v>1.36505958785894</v>
      </c>
      <c r="V55">
        <v>9.52</v>
      </c>
      <c r="W55">
        <v>9.9</v>
      </c>
      <c r="X55">
        <v>187415</v>
      </c>
      <c r="Y55">
        <v>18742</v>
      </c>
      <c r="Z55">
        <v>1.0900000000000001</v>
      </c>
      <c r="AA55">
        <v>10</v>
      </c>
      <c r="AB55">
        <v>6</v>
      </c>
      <c r="AC55">
        <v>4</v>
      </c>
      <c r="AD55">
        <v>60</v>
      </c>
      <c r="AE55">
        <v>12</v>
      </c>
      <c r="AF55">
        <v>4</v>
      </c>
      <c r="AG55">
        <v>1</v>
      </c>
      <c r="AH55">
        <v>5</v>
      </c>
    </row>
    <row r="56" spans="1:34">
      <c r="A56" s="108">
        <v>158</v>
      </c>
      <c r="B56">
        <v>8002</v>
      </c>
      <c r="C56" s="112" t="s">
        <v>51</v>
      </c>
      <c r="D56" s="112" t="s">
        <v>122</v>
      </c>
      <c r="E56">
        <v>834.9</v>
      </c>
      <c r="F56">
        <v>837.7</v>
      </c>
      <c r="G56">
        <v>800</v>
      </c>
      <c r="H56" s="112" t="s">
        <v>83</v>
      </c>
      <c r="I56">
        <v>9062</v>
      </c>
      <c r="J56" s="112" t="s">
        <v>982</v>
      </c>
      <c r="K56" s="112" t="s">
        <v>140</v>
      </c>
      <c r="L56">
        <v>6520</v>
      </c>
      <c r="M56">
        <v>6630</v>
      </c>
      <c r="N56">
        <v>100</v>
      </c>
      <c r="O56" s="112" t="s">
        <v>81</v>
      </c>
      <c r="P56">
        <v>0.93624943497243396</v>
      </c>
      <c r="Q56">
        <v>0.90239741775384796</v>
      </c>
      <c r="R56" s="20">
        <v>5.80417759651152E-2</v>
      </c>
      <c r="S56">
        <v>7.7532683333807098E-2</v>
      </c>
      <c r="T56">
        <v>0.29483066935667401</v>
      </c>
      <c r="U56">
        <v>0.29483066935667401</v>
      </c>
      <c r="V56">
        <v>1.24</v>
      </c>
      <c r="W56">
        <v>1.08</v>
      </c>
      <c r="X56">
        <v>187241</v>
      </c>
      <c r="Y56">
        <v>9362</v>
      </c>
      <c r="Z56">
        <v>0.65</v>
      </c>
      <c r="AA56">
        <v>20</v>
      </c>
      <c r="AB56">
        <v>12</v>
      </c>
      <c r="AC56">
        <v>8</v>
      </c>
      <c r="AD56">
        <v>60</v>
      </c>
      <c r="AE56">
        <v>12</v>
      </c>
      <c r="AF56">
        <v>8</v>
      </c>
      <c r="AG56">
        <v>5</v>
      </c>
      <c r="AH56">
        <v>7</v>
      </c>
    </row>
    <row r="57" spans="1:34">
      <c r="A57" s="108">
        <v>23</v>
      </c>
      <c r="B57">
        <v>7203</v>
      </c>
      <c r="C57" s="112" t="s">
        <v>354</v>
      </c>
      <c r="D57" s="112" t="s">
        <v>105</v>
      </c>
      <c r="E57">
        <v>7778</v>
      </c>
      <c r="F57">
        <v>7811</v>
      </c>
      <c r="G57">
        <v>100</v>
      </c>
      <c r="H57" s="112" t="s">
        <v>81</v>
      </c>
      <c r="I57">
        <v>8593</v>
      </c>
      <c r="J57" s="112" t="s">
        <v>336</v>
      </c>
      <c r="K57" s="112" t="s">
        <v>324</v>
      </c>
      <c r="L57">
        <v>716</v>
      </c>
      <c r="M57">
        <v>707</v>
      </c>
      <c r="N57">
        <v>1100</v>
      </c>
      <c r="O57" s="112" t="s">
        <v>83</v>
      </c>
      <c r="P57">
        <v>0.90653489139381505</v>
      </c>
      <c r="Q57">
        <v>0.946849830196548</v>
      </c>
      <c r="R57">
        <v>0.14815361233094199</v>
      </c>
      <c r="S57" s="20">
        <v>5.1327547947666995E-4</v>
      </c>
      <c r="T57">
        <v>-0.81594657137151005</v>
      </c>
      <c r="U57">
        <v>0.81594657137151005</v>
      </c>
      <c r="V57">
        <v>-2.78</v>
      </c>
      <c r="W57">
        <v>0.44</v>
      </c>
      <c r="X57">
        <v>184460</v>
      </c>
      <c r="Y57">
        <v>13176</v>
      </c>
      <c r="Z57">
        <v>0.95</v>
      </c>
      <c r="AA57">
        <v>14</v>
      </c>
      <c r="AB57">
        <v>10</v>
      </c>
      <c r="AC57">
        <v>4</v>
      </c>
      <c r="AD57">
        <v>71.430000000000007</v>
      </c>
      <c r="AE57">
        <v>14</v>
      </c>
      <c r="AF57">
        <v>5</v>
      </c>
      <c r="AG57">
        <v>1</v>
      </c>
      <c r="AH57">
        <v>8</v>
      </c>
    </row>
    <row r="58" spans="1:34">
      <c r="A58" s="108">
        <v>157</v>
      </c>
      <c r="B58">
        <v>4208</v>
      </c>
      <c r="C58" s="112" t="s">
        <v>119</v>
      </c>
      <c r="D58" s="112" t="s">
        <v>82</v>
      </c>
      <c r="E58">
        <v>2459</v>
      </c>
      <c r="F58">
        <v>2479</v>
      </c>
      <c r="G58">
        <v>400</v>
      </c>
      <c r="H58" s="112" t="s">
        <v>81</v>
      </c>
      <c r="I58">
        <v>6472</v>
      </c>
      <c r="J58" s="112" t="s">
        <v>155</v>
      </c>
      <c r="K58" s="112" t="s">
        <v>120</v>
      </c>
      <c r="L58">
        <v>364</v>
      </c>
      <c r="M58">
        <v>363</v>
      </c>
      <c r="N58">
        <v>2700</v>
      </c>
      <c r="O58" s="112" t="s">
        <v>83</v>
      </c>
      <c r="P58">
        <v>0.90967282423920404</v>
      </c>
      <c r="Q58">
        <v>0.90317307641619704</v>
      </c>
      <c r="R58">
        <v>3.4035872146672601E-3</v>
      </c>
      <c r="S58" s="20">
        <v>7.4578344922244993E-2</v>
      </c>
      <c r="T58">
        <v>-0.54756138328587101</v>
      </c>
      <c r="U58">
        <v>0.54756138328587101</v>
      </c>
      <c r="V58">
        <v>-1.32</v>
      </c>
      <c r="W58">
        <v>1.1599999999999999</v>
      </c>
      <c r="X58">
        <v>180416</v>
      </c>
      <c r="Y58">
        <v>9021</v>
      </c>
      <c r="Z58">
        <v>0.48</v>
      </c>
      <c r="AA58">
        <v>20</v>
      </c>
      <c r="AB58">
        <v>13</v>
      </c>
      <c r="AC58">
        <v>7</v>
      </c>
      <c r="AD58">
        <v>65</v>
      </c>
      <c r="AE58">
        <v>13</v>
      </c>
      <c r="AF58">
        <v>7</v>
      </c>
      <c r="AG58">
        <v>5</v>
      </c>
      <c r="AH58">
        <v>8</v>
      </c>
    </row>
    <row r="59" spans="1:34">
      <c r="A59" s="108">
        <v>120</v>
      </c>
      <c r="B59">
        <v>7167</v>
      </c>
      <c r="C59" s="112" t="s">
        <v>121</v>
      </c>
      <c r="D59" s="112" t="s">
        <v>103</v>
      </c>
      <c r="E59">
        <v>283</v>
      </c>
      <c r="F59">
        <v>284</v>
      </c>
      <c r="G59">
        <v>3700</v>
      </c>
      <c r="H59" s="112" t="s">
        <v>81</v>
      </c>
      <c r="I59">
        <v>7189</v>
      </c>
      <c r="J59" s="112" t="s">
        <v>102</v>
      </c>
      <c r="K59" s="112" t="s">
        <v>103</v>
      </c>
      <c r="L59">
        <v>873</v>
      </c>
      <c r="M59">
        <v>879</v>
      </c>
      <c r="N59">
        <v>1200</v>
      </c>
      <c r="O59" s="112" t="s">
        <v>83</v>
      </c>
      <c r="P59">
        <v>0.91599917307783696</v>
      </c>
      <c r="Q59">
        <v>0.91405055610504304</v>
      </c>
      <c r="R59">
        <v>0.147018743119535</v>
      </c>
      <c r="S59" s="20">
        <v>0.111929583274385</v>
      </c>
      <c r="T59">
        <v>-1.6105188430442801</v>
      </c>
      <c r="U59">
        <v>1.6105188430442801</v>
      </c>
      <c r="V59">
        <v>-7.09</v>
      </c>
      <c r="W59">
        <v>0.38</v>
      </c>
      <c r="X59">
        <v>179261</v>
      </c>
      <c r="Y59">
        <v>9435</v>
      </c>
      <c r="Z59">
        <v>0.45</v>
      </c>
      <c r="AA59">
        <v>19</v>
      </c>
      <c r="AB59">
        <v>11</v>
      </c>
      <c r="AC59">
        <v>8</v>
      </c>
      <c r="AD59">
        <v>57.89</v>
      </c>
      <c r="AE59">
        <v>15</v>
      </c>
      <c r="AF59">
        <v>6</v>
      </c>
      <c r="AG59">
        <v>2</v>
      </c>
      <c r="AH59">
        <v>11</v>
      </c>
    </row>
    <row r="60" spans="1:34">
      <c r="A60" s="108">
        <v>32</v>
      </c>
      <c r="B60">
        <v>3635</v>
      </c>
      <c r="C60" s="112" t="s">
        <v>106</v>
      </c>
      <c r="D60" s="112" t="s">
        <v>100</v>
      </c>
      <c r="E60">
        <v>2727</v>
      </c>
      <c r="F60">
        <v>2709</v>
      </c>
      <c r="G60">
        <v>400</v>
      </c>
      <c r="H60" s="112" t="s">
        <v>81</v>
      </c>
      <c r="I60">
        <v>4519</v>
      </c>
      <c r="J60" s="112" t="s">
        <v>980</v>
      </c>
      <c r="K60" s="112" t="s">
        <v>157</v>
      </c>
      <c r="L60">
        <v>10025</v>
      </c>
      <c r="M60">
        <v>10040</v>
      </c>
      <c r="N60">
        <v>100</v>
      </c>
      <c r="O60" s="112" t="s">
        <v>83</v>
      </c>
      <c r="P60">
        <v>0.97143650797715697</v>
      </c>
      <c r="Q60">
        <v>0.94410996830820904</v>
      </c>
      <c r="R60" s="20">
        <v>7.4876461459152401E-4</v>
      </c>
      <c r="S60" s="20">
        <v>4.7185897601880501E-2</v>
      </c>
      <c r="T60">
        <v>-1.1517420902084501</v>
      </c>
      <c r="U60">
        <v>1.1517420902084501</v>
      </c>
      <c r="V60">
        <v>-3.95</v>
      </c>
      <c r="W60">
        <v>7.93</v>
      </c>
      <c r="X60">
        <v>177510</v>
      </c>
      <c r="Y60">
        <v>12679</v>
      </c>
      <c r="Z60">
        <v>1.08</v>
      </c>
      <c r="AA60">
        <v>14</v>
      </c>
      <c r="AB60">
        <v>8</v>
      </c>
      <c r="AC60">
        <v>6</v>
      </c>
      <c r="AD60">
        <v>57.14</v>
      </c>
      <c r="AE60">
        <v>11</v>
      </c>
      <c r="AF60">
        <v>8</v>
      </c>
      <c r="AG60">
        <v>2</v>
      </c>
      <c r="AH60">
        <v>4</v>
      </c>
    </row>
    <row r="61" spans="1:34">
      <c r="A61" s="108">
        <v>5</v>
      </c>
      <c r="B61">
        <v>8425</v>
      </c>
      <c r="C61" s="112" t="s">
        <v>344</v>
      </c>
      <c r="D61" s="112" t="s">
        <v>324</v>
      </c>
      <c r="E61">
        <v>3355</v>
      </c>
      <c r="F61">
        <v>3350</v>
      </c>
      <c r="G61">
        <v>300</v>
      </c>
      <c r="H61" s="112" t="s">
        <v>83</v>
      </c>
      <c r="I61">
        <v>8593</v>
      </c>
      <c r="J61" s="112" t="s">
        <v>336</v>
      </c>
      <c r="K61" s="112" t="s">
        <v>324</v>
      </c>
      <c r="L61">
        <v>716</v>
      </c>
      <c r="M61">
        <v>707</v>
      </c>
      <c r="N61">
        <v>1400</v>
      </c>
      <c r="O61" s="112" t="s">
        <v>81</v>
      </c>
      <c r="P61">
        <v>0.92172596983839505</v>
      </c>
      <c r="Q61">
        <v>0.96231185877599601</v>
      </c>
      <c r="R61">
        <v>1.92885612884586E-2</v>
      </c>
      <c r="S61">
        <v>1.41356222147883E-3</v>
      </c>
      <c r="T61">
        <v>1.65425407095361</v>
      </c>
      <c r="U61">
        <v>1.65425407095361</v>
      </c>
      <c r="V61">
        <v>2.61</v>
      </c>
      <c r="W61">
        <v>1.51</v>
      </c>
      <c r="X61">
        <v>175709</v>
      </c>
      <c r="Y61">
        <v>12551</v>
      </c>
      <c r="Z61">
        <v>0.59</v>
      </c>
      <c r="AA61">
        <v>14</v>
      </c>
      <c r="AB61">
        <v>9</v>
      </c>
      <c r="AC61">
        <v>5</v>
      </c>
      <c r="AD61">
        <v>64.290000000000006</v>
      </c>
      <c r="AE61">
        <v>13</v>
      </c>
      <c r="AF61">
        <v>6</v>
      </c>
      <c r="AG61">
        <v>3</v>
      </c>
      <c r="AH61">
        <v>5</v>
      </c>
    </row>
    <row r="62" spans="1:34">
      <c r="A62" s="108">
        <v>43</v>
      </c>
      <c r="B62">
        <v>3635</v>
      </c>
      <c r="C62" s="112" t="s">
        <v>106</v>
      </c>
      <c r="D62" s="112" t="s">
        <v>100</v>
      </c>
      <c r="E62">
        <v>2727</v>
      </c>
      <c r="F62">
        <v>2709</v>
      </c>
      <c r="G62">
        <v>300</v>
      </c>
      <c r="H62" s="112" t="s">
        <v>83</v>
      </c>
      <c r="I62">
        <v>4613</v>
      </c>
      <c r="J62" s="112" t="s">
        <v>345</v>
      </c>
      <c r="K62" s="112" t="s">
        <v>82</v>
      </c>
      <c r="L62">
        <v>2822</v>
      </c>
      <c r="M62">
        <v>2757</v>
      </c>
      <c r="N62">
        <v>300</v>
      </c>
      <c r="O62" s="112" t="s">
        <v>81</v>
      </c>
      <c r="P62">
        <v>0.91472845893690002</v>
      </c>
      <c r="Q62">
        <v>0.93953299157093795</v>
      </c>
      <c r="R62" s="20">
        <v>0.11679578375936001</v>
      </c>
      <c r="S62">
        <v>3.8613155301340497E-2</v>
      </c>
      <c r="T62">
        <v>1.2524615764951199</v>
      </c>
      <c r="U62">
        <v>1.2524615764951199</v>
      </c>
      <c r="V62">
        <v>3.75</v>
      </c>
      <c r="W62">
        <v>1.74</v>
      </c>
      <c r="X62">
        <v>175233</v>
      </c>
      <c r="Y62">
        <v>13479</v>
      </c>
      <c r="Z62">
        <v>0.8</v>
      </c>
      <c r="AA62">
        <v>13</v>
      </c>
      <c r="AB62">
        <v>9</v>
      </c>
      <c r="AC62">
        <v>4</v>
      </c>
      <c r="AD62">
        <v>69.23</v>
      </c>
      <c r="AE62">
        <v>13</v>
      </c>
      <c r="AF62">
        <v>5</v>
      </c>
      <c r="AG62">
        <v>2</v>
      </c>
      <c r="AH62">
        <v>6</v>
      </c>
    </row>
    <row r="63" spans="1:34">
      <c r="A63" s="108">
        <v>28</v>
      </c>
      <c r="B63">
        <v>5901</v>
      </c>
      <c r="C63" s="112" t="s">
        <v>347</v>
      </c>
      <c r="D63" s="112" t="s">
        <v>137</v>
      </c>
      <c r="E63">
        <v>1980</v>
      </c>
      <c r="F63">
        <v>2017</v>
      </c>
      <c r="G63">
        <v>500</v>
      </c>
      <c r="H63" s="112" t="s">
        <v>83</v>
      </c>
      <c r="I63">
        <v>8377</v>
      </c>
      <c r="J63" s="112" t="s">
        <v>115</v>
      </c>
      <c r="K63" s="112" t="s">
        <v>103</v>
      </c>
      <c r="L63">
        <v>1164</v>
      </c>
      <c r="M63">
        <v>1172</v>
      </c>
      <c r="N63">
        <v>900</v>
      </c>
      <c r="O63" s="112" t="s">
        <v>81</v>
      </c>
      <c r="P63">
        <v>0.94477244277551098</v>
      </c>
      <c r="Q63">
        <v>0.944580523394842</v>
      </c>
      <c r="R63" s="20">
        <v>6.1078155702976901E-4</v>
      </c>
      <c r="S63">
        <v>2.4077877316653301E-3</v>
      </c>
      <c r="T63">
        <v>1.2221666172925401</v>
      </c>
      <c r="U63">
        <v>1.2221666172925401</v>
      </c>
      <c r="V63">
        <v>3.58</v>
      </c>
      <c r="W63">
        <v>4.59</v>
      </c>
      <c r="X63">
        <v>160862</v>
      </c>
      <c r="Y63">
        <v>7312</v>
      </c>
      <c r="Z63">
        <v>0.31</v>
      </c>
      <c r="AA63">
        <v>22</v>
      </c>
      <c r="AB63">
        <v>14</v>
      </c>
      <c r="AC63">
        <v>8</v>
      </c>
      <c r="AD63">
        <v>63.64</v>
      </c>
      <c r="AE63">
        <v>14</v>
      </c>
      <c r="AF63">
        <v>9</v>
      </c>
      <c r="AG63">
        <v>6</v>
      </c>
      <c r="AH63">
        <v>7</v>
      </c>
    </row>
    <row r="64" spans="1:34">
      <c r="A64" s="108">
        <v>12</v>
      </c>
      <c r="B64">
        <v>2175</v>
      </c>
      <c r="C64" s="112" t="s">
        <v>352</v>
      </c>
      <c r="D64" s="112" t="s">
        <v>141</v>
      </c>
      <c r="E64">
        <v>3035</v>
      </c>
      <c r="F64">
        <v>3000</v>
      </c>
      <c r="G64">
        <v>400</v>
      </c>
      <c r="H64" s="112" t="s">
        <v>83</v>
      </c>
      <c r="I64">
        <v>9759</v>
      </c>
      <c r="J64" s="112" t="s">
        <v>1053</v>
      </c>
      <c r="K64" s="112" t="s">
        <v>100</v>
      </c>
      <c r="L64">
        <v>3625</v>
      </c>
      <c r="M64">
        <v>3555</v>
      </c>
      <c r="N64">
        <v>300</v>
      </c>
      <c r="O64" s="112" t="s">
        <v>81</v>
      </c>
      <c r="P64">
        <v>0.90258128604912602</v>
      </c>
      <c r="Q64">
        <v>0.95491308068966096</v>
      </c>
      <c r="R64" s="20">
        <v>0.20785785429404099</v>
      </c>
      <c r="S64" s="112">
        <v>1.60322651674131E-3</v>
      </c>
      <c r="T64">
        <v>0.38678942052497201</v>
      </c>
      <c r="U64">
        <v>0.38678942052497201</v>
      </c>
      <c r="V64">
        <v>1.43</v>
      </c>
      <c r="W64">
        <v>12.52</v>
      </c>
      <c r="X64">
        <v>158528</v>
      </c>
      <c r="Y64">
        <v>14412</v>
      </c>
      <c r="Z64">
        <v>0.81</v>
      </c>
      <c r="AA64">
        <v>11</v>
      </c>
      <c r="AB64">
        <v>7</v>
      </c>
      <c r="AC64">
        <v>4</v>
      </c>
      <c r="AD64">
        <v>63.64</v>
      </c>
      <c r="AE64">
        <v>11</v>
      </c>
      <c r="AF64">
        <v>6</v>
      </c>
      <c r="AG64">
        <v>3</v>
      </c>
      <c r="AH64">
        <v>2</v>
      </c>
    </row>
    <row r="65" spans="1:34">
      <c r="A65" s="108">
        <v>141</v>
      </c>
      <c r="B65">
        <v>1820</v>
      </c>
      <c r="C65" s="112" t="s">
        <v>143</v>
      </c>
      <c r="D65" s="112" t="s">
        <v>99</v>
      </c>
      <c r="E65">
        <v>2558</v>
      </c>
      <c r="F65">
        <v>2503</v>
      </c>
      <c r="G65">
        <v>400</v>
      </c>
      <c r="H65" s="112" t="s">
        <v>83</v>
      </c>
      <c r="I65">
        <v>9072</v>
      </c>
      <c r="J65" s="112" t="s">
        <v>147</v>
      </c>
      <c r="K65" s="112" t="s">
        <v>140</v>
      </c>
      <c r="L65">
        <v>2740</v>
      </c>
      <c r="M65">
        <v>2739</v>
      </c>
      <c r="N65">
        <v>400</v>
      </c>
      <c r="O65" s="112" t="s">
        <v>81</v>
      </c>
      <c r="P65">
        <v>0.94731572548382703</v>
      </c>
      <c r="Q65">
        <v>0.90764255899559598</v>
      </c>
      <c r="R65">
        <v>3.2245081335563003E-2</v>
      </c>
      <c r="S65">
        <v>2.4950906318282899E-3</v>
      </c>
      <c r="T65">
        <v>1.68528153361529</v>
      </c>
      <c r="U65">
        <v>1.68528153361529</v>
      </c>
      <c r="V65">
        <v>7.95</v>
      </c>
      <c r="W65">
        <v>8.6199999999999992</v>
      </c>
      <c r="X65">
        <v>153180</v>
      </c>
      <c r="Y65">
        <v>11783</v>
      </c>
      <c r="Z65">
        <v>0.63</v>
      </c>
      <c r="AA65">
        <v>13</v>
      </c>
      <c r="AB65">
        <v>7</v>
      </c>
      <c r="AC65">
        <v>6</v>
      </c>
      <c r="AD65">
        <v>53.85</v>
      </c>
      <c r="AE65">
        <v>16</v>
      </c>
      <c r="AF65">
        <v>5</v>
      </c>
      <c r="AG65">
        <v>1</v>
      </c>
      <c r="AH65">
        <v>7</v>
      </c>
    </row>
    <row r="66" spans="1:34">
      <c r="A66" s="108">
        <v>112</v>
      </c>
      <c r="B66">
        <v>6674</v>
      </c>
      <c r="C66" s="112" t="s">
        <v>355</v>
      </c>
      <c r="D66" s="112" t="s">
        <v>108</v>
      </c>
      <c r="E66">
        <v>2438</v>
      </c>
      <c r="F66">
        <v>2424</v>
      </c>
      <c r="G66">
        <v>400</v>
      </c>
      <c r="H66" s="112" t="s">
        <v>83</v>
      </c>
      <c r="I66">
        <v>6752</v>
      </c>
      <c r="J66" s="112" t="s">
        <v>126</v>
      </c>
      <c r="K66" s="112" t="s">
        <v>108</v>
      </c>
      <c r="L66">
        <v>1059</v>
      </c>
      <c r="M66">
        <v>1058</v>
      </c>
      <c r="N66">
        <v>900</v>
      </c>
      <c r="O66" s="112" t="s">
        <v>81</v>
      </c>
      <c r="P66">
        <v>0.95710688362420904</v>
      </c>
      <c r="Q66">
        <v>0.91494028556385498</v>
      </c>
      <c r="R66">
        <v>0.265532810088629</v>
      </c>
      <c r="S66">
        <v>0.26036570612481202</v>
      </c>
      <c r="T66">
        <v>1.8788712255973701</v>
      </c>
      <c r="U66">
        <v>1.8788712255973701</v>
      </c>
      <c r="V66">
        <v>5.59</v>
      </c>
      <c r="W66">
        <v>1.79</v>
      </c>
      <c r="X66">
        <v>150976</v>
      </c>
      <c r="Y66">
        <v>10065</v>
      </c>
      <c r="Z66">
        <v>0.62</v>
      </c>
      <c r="AA66">
        <v>15</v>
      </c>
      <c r="AB66">
        <v>9</v>
      </c>
      <c r="AC66">
        <v>6</v>
      </c>
      <c r="AD66">
        <v>60</v>
      </c>
      <c r="AE66">
        <v>13</v>
      </c>
      <c r="AF66">
        <v>5</v>
      </c>
      <c r="AG66">
        <v>2</v>
      </c>
      <c r="AH66">
        <v>8</v>
      </c>
    </row>
    <row r="67" spans="1:34">
      <c r="A67" s="108">
        <v>95</v>
      </c>
      <c r="B67">
        <v>2379</v>
      </c>
      <c r="C67" s="112" t="s">
        <v>1054</v>
      </c>
      <c r="D67" s="112" t="s">
        <v>141</v>
      </c>
      <c r="E67">
        <v>3210</v>
      </c>
      <c r="F67">
        <v>3175</v>
      </c>
      <c r="G67">
        <v>300</v>
      </c>
      <c r="H67" s="112" t="s">
        <v>83</v>
      </c>
      <c r="I67">
        <v>8593</v>
      </c>
      <c r="J67" s="112" t="s">
        <v>336</v>
      </c>
      <c r="K67" s="112" t="s">
        <v>324</v>
      </c>
      <c r="L67">
        <v>716</v>
      </c>
      <c r="M67">
        <v>707</v>
      </c>
      <c r="N67">
        <v>1300</v>
      </c>
      <c r="O67" s="112" t="s">
        <v>81</v>
      </c>
      <c r="P67">
        <v>0.92381767647051205</v>
      </c>
      <c r="Q67">
        <v>0.92014717145142999</v>
      </c>
      <c r="R67">
        <v>0.194021963887403</v>
      </c>
      <c r="S67">
        <v>5.4375979456829399E-2</v>
      </c>
      <c r="T67">
        <v>1.0409428018019</v>
      </c>
      <c r="U67">
        <v>1.0409428018019</v>
      </c>
      <c r="V67">
        <v>4.74</v>
      </c>
      <c r="W67">
        <v>3.51</v>
      </c>
      <c r="X67">
        <v>147299</v>
      </c>
      <c r="Y67">
        <v>6137</v>
      </c>
      <c r="Z67">
        <v>0.4</v>
      </c>
      <c r="AA67">
        <v>24</v>
      </c>
      <c r="AB67">
        <v>14</v>
      </c>
      <c r="AC67">
        <v>10</v>
      </c>
      <c r="AD67">
        <v>58.33</v>
      </c>
      <c r="AE67">
        <v>9</v>
      </c>
      <c r="AF67">
        <v>13</v>
      </c>
      <c r="AG67">
        <v>9</v>
      </c>
      <c r="AH67">
        <v>2</v>
      </c>
    </row>
    <row r="68" spans="1:34">
      <c r="A68" s="108">
        <v>25</v>
      </c>
      <c r="B68">
        <v>4182</v>
      </c>
      <c r="C68" s="112" t="s">
        <v>109</v>
      </c>
      <c r="D68" s="112" t="s">
        <v>82</v>
      </c>
      <c r="E68">
        <v>1728</v>
      </c>
      <c r="F68">
        <v>1730</v>
      </c>
      <c r="G68">
        <v>600</v>
      </c>
      <c r="H68" s="112" t="s">
        <v>83</v>
      </c>
      <c r="I68">
        <v>6752</v>
      </c>
      <c r="J68" s="112" t="s">
        <v>126</v>
      </c>
      <c r="K68" s="112" t="s">
        <v>108</v>
      </c>
      <c r="L68">
        <v>1059</v>
      </c>
      <c r="M68">
        <v>1058</v>
      </c>
      <c r="N68">
        <v>1000</v>
      </c>
      <c r="O68" s="112" t="s">
        <v>81</v>
      </c>
      <c r="P68">
        <v>0.94938319028803997</v>
      </c>
      <c r="Q68">
        <v>0.94573660716391195</v>
      </c>
      <c r="R68">
        <v>3.27894420467046E-2</v>
      </c>
      <c r="S68">
        <v>4.6112196483786901E-2</v>
      </c>
      <c r="T68">
        <v>0.229032445081612</v>
      </c>
      <c r="U68">
        <v>0.229032445081612</v>
      </c>
      <c r="V68">
        <v>0.74</v>
      </c>
      <c r="W68">
        <v>1.93</v>
      </c>
      <c r="X68">
        <v>145761</v>
      </c>
      <c r="Y68">
        <v>8098</v>
      </c>
      <c r="Z68">
        <v>0.37</v>
      </c>
      <c r="AA68">
        <v>18</v>
      </c>
      <c r="AB68">
        <v>12</v>
      </c>
      <c r="AC68">
        <v>6</v>
      </c>
      <c r="AD68">
        <v>66.67</v>
      </c>
      <c r="AE68">
        <v>13</v>
      </c>
      <c r="AF68">
        <v>7</v>
      </c>
      <c r="AG68">
        <v>4</v>
      </c>
      <c r="AH68">
        <v>7</v>
      </c>
    </row>
    <row r="69" spans="1:34">
      <c r="A69" s="108">
        <v>124</v>
      </c>
      <c r="B69">
        <v>3116</v>
      </c>
      <c r="C69" s="112" t="s">
        <v>146</v>
      </c>
      <c r="D69" s="112" t="s">
        <v>105</v>
      </c>
      <c r="E69">
        <v>1852</v>
      </c>
      <c r="F69">
        <v>1818</v>
      </c>
      <c r="G69">
        <v>400</v>
      </c>
      <c r="H69" s="112" t="s">
        <v>83</v>
      </c>
      <c r="I69">
        <v>6988</v>
      </c>
      <c r="J69" s="112" t="s">
        <v>160</v>
      </c>
      <c r="K69" s="112" t="s">
        <v>82</v>
      </c>
      <c r="L69">
        <v>6350</v>
      </c>
      <c r="M69">
        <v>6410</v>
      </c>
      <c r="N69">
        <v>100</v>
      </c>
      <c r="O69" s="112" t="s">
        <v>81</v>
      </c>
      <c r="P69">
        <v>0.909770153462088</v>
      </c>
      <c r="Q69">
        <v>0.91292258239856605</v>
      </c>
      <c r="R69" s="112">
        <v>0.397912699962227</v>
      </c>
      <c r="S69" s="112">
        <v>0.32771603078998901</v>
      </c>
      <c r="T69">
        <v>0.441871815781542</v>
      </c>
      <c r="U69">
        <v>0.441871815781542</v>
      </c>
      <c r="V69">
        <v>1.21</v>
      </c>
      <c r="W69">
        <v>13.45</v>
      </c>
      <c r="X69">
        <v>135364</v>
      </c>
      <c r="Y69">
        <v>13536</v>
      </c>
      <c r="Z69">
        <v>1.01</v>
      </c>
      <c r="AA69">
        <v>10</v>
      </c>
      <c r="AB69">
        <v>8</v>
      </c>
      <c r="AC69">
        <v>2</v>
      </c>
      <c r="AD69">
        <v>80</v>
      </c>
      <c r="AE69">
        <v>12</v>
      </c>
      <c r="AF69">
        <v>6</v>
      </c>
      <c r="AG69">
        <v>1</v>
      </c>
      <c r="AH69">
        <v>3</v>
      </c>
    </row>
    <row r="70" spans="1:34">
      <c r="A70" s="108">
        <v>61</v>
      </c>
      <c r="B70">
        <v>6952</v>
      </c>
      <c r="C70" s="112" t="s">
        <v>983</v>
      </c>
      <c r="D70" s="112" t="s">
        <v>108</v>
      </c>
      <c r="E70">
        <v>2179</v>
      </c>
      <c r="F70">
        <v>2157</v>
      </c>
      <c r="G70">
        <v>500</v>
      </c>
      <c r="H70" s="112" t="s">
        <v>83</v>
      </c>
      <c r="I70">
        <v>8604</v>
      </c>
      <c r="J70" s="112" t="s">
        <v>984</v>
      </c>
      <c r="K70" s="112" t="s">
        <v>985</v>
      </c>
      <c r="L70">
        <v>562.9</v>
      </c>
      <c r="M70">
        <v>557.6</v>
      </c>
      <c r="N70">
        <v>1900</v>
      </c>
      <c r="O70" s="112" t="s">
        <v>81</v>
      </c>
      <c r="P70">
        <v>0.96459485339001805</v>
      </c>
      <c r="Q70">
        <v>0.93150129897879896</v>
      </c>
      <c r="R70" s="112">
        <v>2.9799669115629399E-2</v>
      </c>
      <c r="S70">
        <v>0.113357966358868</v>
      </c>
      <c r="T70">
        <v>1.8481535884095099</v>
      </c>
      <c r="U70">
        <v>1.8481535884095099</v>
      </c>
      <c r="V70">
        <v>7.01</v>
      </c>
      <c r="W70">
        <v>1.77</v>
      </c>
      <c r="X70">
        <v>134282</v>
      </c>
      <c r="Y70">
        <v>7899</v>
      </c>
      <c r="Z70">
        <v>0.39</v>
      </c>
      <c r="AA70">
        <v>17</v>
      </c>
      <c r="AB70">
        <v>10</v>
      </c>
      <c r="AC70">
        <v>7</v>
      </c>
      <c r="AD70">
        <v>58.82</v>
      </c>
      <c r="AE70">
        <v>13</v>
      </c>
      <c r="AF70">
        <v>4</v>
      </c>
      <c r="AG70">
        <v>3</v>
      </c>
      <c r="AH70">
        <v>10</v>
      </c>
    </row>
    <row r="71" spans="1:34">
      <c r="A71" s="108">
        <v>105</v>
      </c>
      <c r="B71">
        <v>3116</v>
      </c>
      <c r="C71" s="112" t="s">
        <v>146</v>
      </c>
      <c r="D71" s="112" t="s">
        <v>105</v>
      </c>
      <c r="E71">
        <v>1852</v>
      </c>
      <c r="F71">
        <v>1818</v>
      </c>
      <c r="G71">
        <v>400</v>
      </c>
      <c r="H71" s="112" t="s">
        <v>83</v>
      </c>
      <c r="I71">
        <v>6371</v>
      </c>
      <c r="J71" s="112" t="s">
        <v>129</v>
      </c>
      <c r="K71" s="112" t="s">
        <v>120</v>
      </c>
      <c r="L71">
        <v>3995</v>
      </c>
      <c r="M71">
        <v>4000</v>
      </c>
      <c r="N71">
        <v>200</v>
      </c>
      <c r="O71" s="112" t="s">
        <v>81</v>
      </c>
      <c r="P71">
        <v>0.92750940271810001</v>
      </c>
      <c r="Q71">
        <v>0.91678167914448705</v>
      </c>
      <c r="R71">
        <v>0.224774693907307</v>
      </c>
      <c r="S71">
        <v>3.0288281088030602E-3</v>
      </c>
      <c r="T71">
        <v>1.1890093221973801</v>
      </c>
      <c r="U71">
        <v>1.1890093221973801</v>
      </c>
      <c r="V71">
        <v>2.78</v>
      </c>
      <c r="W71">
        <v>9.1</v>
      </c>
      <c r="X71">
        <v>127732</v>
      </c>
      <c r="Y71">
        <v>7983</v>
      </c>
      <c r="Z71">
        <v>0.44</v>
      </c>
      <c r="AA71">
        <v>16</v>
      </c>
      <c r="AB71">
        <v>9</v>
      </c>
      <c r="AC71">
        <v>7</v>
      </c>
      <c r="AD71">
        <v>56.25</v>
      </c>
      <c r="AE71">
        <v>12</v>
      </c>
      <c r="AF71">
        <v>6</v>
      </c>
      <c r="AG71">
        <v>3</v>
      </c>
      <c r="AH71">
        <v>7</v>
      </c>
    </row>
    <row r="72" spans="1:34">
      <c r="A72" s="108">
        <v>143</v>
      </c>
      <c r="B72">
        <v>4208</v>
      </c>
      <c r="C72" s="112" t="s">
        <v>119</v>
      </c>
      <c r="D72" s="112" t="s">
        <v>82</v>
      </c>
      <c r="E72">
        <v>2459</v>
      </c>
      <c r="F72">
        <v>2479</v>
      </c>
      <c r="G72">
        <v>400</v>
      </c>
      <c r="H72" s="112" t="s">
        <v>83</v>
      </c>
      <c r="I72">
        <v>9072</v>
      </c>
      <c r="J72" s="112" t="s">
        <v>147</v>
      </c>
      <c r="K72" s="112" t="s">
        <v>140</v>
      </c>
      <c r="L72">
        <v>2740</v>
      </c>
      <c r="M72">
        <v>2739</v>
      </c>
      <c r="N72">
        <v>400</v>
      </c>
      <c r="O72" s="112" t="s">
        <v>81</v>
      </c>
      <c r="P72">
        <v>0.91603677114338999</v>
      </c>
      <c r="Q72">
        <v>0.90745035485137604</v>
      </c>
      <c r="R72">
        <v>7.3748034026137799E-4</v>
      </c>
      <c r="S72" s="20">
        <v>2.0632871186206901E-2</v>
      </c>
      <c r="T72">
        <v>2.0775331002730901</v>
      </c>
      <c r="U72">
        <v>2.0775331002730901</v>
      </c>
      <c r="V72">
        <v>3.47</v>
      </c>
      <c r="W72">
        <v>9.49</v>
      </c>
      <c r="X72">
        <v>126426</v>
      </c>
      <c r="Y72">
        <v>11493</v>
      </c>
      <c r="Z72">
        <v>0.65</v>
      </c>
      <c r="AA72">
        <v>11</v>
      </c>
      <c r="AB72">
        <v>7</v>
      </c>
      <c r="AC72">
        <v>4</v>
      </c>
      <c r="AD72">
        <v>63.64</v>
      </c>
      <c r="AE72">
        <v>14</v>
      </c>
      <c r="AF72">
        <v>5</v>
      </c>
      <c r="AG72">
        <v>1</v>
      </c>
      <c r="AH72">
        <v>5</v>
      </c>
    </row>
    <row r="73" spans="1:34">
      <c r="A73" s="108">
        <v>57</v>
      </c>
      <c r="B73">
        <v>3861</v>
      </c>
      <c r="C73" s="112" t="s">
        <v>85</v>
      </c>
      <c r="D73" s="112" t="s">
        <v>101</v>
      </c>
      <c r="E73">
        <v>647</v>
      </c>
      <c r="F73">
        <v>643</v>
      </c>
      <c r="G73">
        <v>1700</v>
      </c>
      <c r="H73" s="112" t="s">
        <v>81</v>
      </c>
      <c r="I73">
        <v>5703</v>
      </c>
      <c r="J73" s="112" t="s">
        <v>330</v>
      </c>
      <c r="K73" s="112" t="s">
        <v>153</v>
      </c>
      <c r="L73">
        <v>240</v>
      </c>
      <c r="M73">
        <v>241</v>
      </c>
      <c r="N73">
        <v>4500</v>
      </c>
      <c r="O73" s="112" t="s">
        <v>83</v>
      </c>
      <c r="P73">
        <v>0.97014213129090898</v>
      </c>
      <c r="Q73">
        <v>0.93292892170850406</v>
      </c>
      <c r="R73">
        <v>2.13211952492036E-2</v>
      </c>
      <c r="S73">
        <v>0.13256274780852501</v>
      </c>
      <c r="T73">
        <v>-2.33119173943966E-2</v>
      </c>
      <c r="U73">
        <v>2.33119173943966E-2</v>
      </c>
      <c r="V73">
        <v>-0.05</v>
      </c>
      <c r="W73">
        <v>0.79</v>
      </c>
      <c r="X73">
        <v>126217</v>
      </c>
      <c r="Y73">
        <v>5488</v>
      </c>
      <c r="Z73">
        <v>0.27</v>
      </c>
      <c r="AA73">
        <v>23</v>
      </c>
      <c r="AB73">
        <v>13</v>
      </c>
      <c r="AC73">
        <v>10</v>
      </c>
      <c r="AD73">
        <v>56.52</v>
      </c>
      <c r="AE73">
        <v>11</v>
      </c>
      <c r="AF73">
        <v>10</v>
      </c>
      <c r="AG73">
        <v>6</v>
      </c>
      <c r="AH73">
        <v>7</v>
      </c>
    </row>
    <row r="74" spans="1:34">
      <c r="A74" s="108">
        <v>98</v>
      </c>
      <c r="B74">
        <v>5471</v>
      </c>
      <c r="C74" s="112" t="s">
        <v>328</v>
      </c>
      <c r="D74" s="112" t="s">
        <v>113</v>
      </c>
      <c r="E74">
        <v>5010</v>
      </c>
      <c r="F74">
        <v>5010</v>
      </c>
      <c r="G74">
        <v>100</v>
      </c>
      <c r="H74" s="112" t="s">
        <v>81</v>
      </c>
      <c r="I74">
        <v>6988</v>
      </c>
      <c r="J74" s="112" t="s">
        <v>160</v>
      </c>
      <c r="K74" s="112" t="s">
        <v>82</v>
      </c>
      <c r="L74">
        <v>6350</v>
      </c>
      <c r="M74">
        <v>6410</v>
      </c>
      <c r="N74">
        <v>100</v>
      </c>
      <c r="O74" s="112" t="s">
        <v>83</v>
      </c>
      <c r="P74">
        <v>0.94427277078984695</v>
      </c>
      <c r="Q74">
        <v>0.91844909439266298</v>
      </c>
      <c r="R74">
        <v>1.8059641395050199E-2</v>
      </c>
      <c r="S74" s="20">
        <v>0.29659894262886499</v>
      </c>
      <c r="T74">
        <v>-1.47751137709681</v>
      </c>
      <c r="U74">
        <v>1.47751137709681</v>
      </c>
      <c r="V74">
        <v>-3.6</v>
      </c>
      <c r="W74">
        <v>21.84</v>
      </c>
      <c r="X74">
        <v>114186</v>
      </c>
      <c r="Y74">
        <v>114186</v>
      </c>
      <c r="Z74">
        <v>5.01</v>
      </c>
      <c r="AA74">
        <v>1</v>
      </c>
      <c r="AB74">
        <v>1</v>
      </c>
      <c r="AC74">
        <v>0</v>
      </c>
      <c r="AD74">
        <v>100</v>
      </c>
      <c r="AE74">
        <v>2</v>
      </c>
      <c r="AF74">
        <v>1</v>
      </c>
      <c r="AG74">
        <v>0</v>
      </c>
      <c r="AH74">
        <v>0</v>
      </c>
    </row>
    <row r="75" spans="1:34">
      <c r="A75" s="108">
        <v>93</v>
      </c>
      <c r="B75">
        <v>1820</v>
      </c>
      <c r="C75" s="112" t="s">
        <v>143</v>
      </c>
      <c r="D75" s="112" t="s">
        <v>99</v>
      </c>
      <c r="E75">
        <v>2558</v>
      </c>
      <c r="F75">
        <v>2503</v>
      </c>
      <c r="G75">
        <v>400</v>
      </c>
      <c r="H75" s="112" t="s">
        <v>81</v>
      </c>
      <c r="I75">
        <v>5991</v>
      </c>
      <c r="J75" s="112" t="s">
        <v>136</v>
      </c>
      <c r="K75" s="112" t="s">
        <v>137</v>
      </c>
      <c r="L75">
        <v>1021</v>
      </c>
      <c r="M75">
        <v>1021</v>
      </c>
      <c r="N75">
        <v>1000</v>
      </c>
      <c r="O75" s="112" t="s">
        <v>83</v>
      </c>
      <c r="P75">
        <v>0.97759128059960398</v>
      </c>
      <c r="Q75">
        <v>0.92121510530006301</v>
      </c>
      <c r="R75">
        <v>0.198568665477284</v>
      </c>
      <c r="S75" s="112">
        <v>1.0775195739358701E-2</v>
      </c>
      <c r="T75">
        <v>-0.24036978417082</v>
      </c>
      <c r="U75">
        <v>0.24036978417082</v>
      </c>
      <c r="V75">
        <v>-0.63</v>
      </c>
      <c r="W75">
        <v>1.98</v>
      </c>
      <c r="X75">
        <v>113865</v>
      </c>
      <c r="Y75">
        <v>6698</v>
      </c>
      <c r="Z75">
        <v>0.34</v>
      </c>
      <c r="AA75">
        <v>17</v>
      </c>
      <c r="AB75">
        <v>10</v>
      </c>
      <c r="AC75">
        <v>7</v>
      </c>
      <c r="AD75">
        <v>58.82</v>
      </c>
      <c r="AE75">
        <v>12</v>
      </c>
      <c r="AF75">
        <v>6</v>
      </c>
      <c r="AG75">
        <v>3</v>
      </c>
      <c r="AH75">
        <v>8</v>
      </c>
    </row>
    <row r="76" spans="1:34">
      <c r="A76" s="108">
        <v>119</v>
      </c>
      <c r="B76">
        <v>6755</v>
      </c>
      <c r="C76" s="112" t="s">
        <v>1301</v>
      </c>
      <c r="D76" s="112" t="s">
        <v>108</v>
      </c>
      <c r="E76">
        <v>2362</v>
      </c>
      <c r="F76">
        <v>2350</v>
      </c>
      <c r="G76">
        <v>300</v>
      </c>
      <c r="H76" s="112" t="s">
        <v>83</v>
      </c>
      <c r="I76">
        <v>8036</v>
      </c>
      <c r="J76" s="112" t="s">
        <v>346</v>
      </c>
      <c r="K76" s="112" t="s">
        <v>122</v>
      </c>
      <c r="L76">
        <v>7670</v>
      </c>
      <c r="M76">
        <v>7550</v>
      </c>
      <c r="N76">
        <v>100</v>
      </c>
      <c r="O76" s="112" t="s">
        <v>81</v>
      </c>
      <c r="P76">
        <v>0.95153744070484803</v>
      </c>
      <c r="Q76">
        <v>0.91408998290961496</v>
      </c>
      <c r="R76">
        <v>1.3720188205307E-2</v>
      </c>
      <c r="S76">
        <v>2.3752273457682001E-2</v>
      </c>
      <c r="T76">
        <v>1.8224079711819099</v>
      </c>
      <c r="U76">
        <v>1.8224079711819099</v>
      </c>
      <c r="V76">
        <v>6.3</v>
      </c>
      <c r="W76">
        <v>6.62</v>
      </c>
      <c r="X76">
        <v>111584</v>
      </c>
      <c r="Y76">
        <v>6974</v>
      </c>
      <c r="Z76">
        <v>0.27</v>
      </c>
      <c r="AA76">
        <v>16</v>
      </c>
      <c r="AB76">
        <v>9</v>
      </c>
      <c r="AC76">
        <v>7</v>
      </c>
      <c r="AD76">
        <v>56.25</v>
      </c>
      <c r="AE76">
        <v>10</v>
      </c>
      <c r="AF76">
        <v>7</v>
      </c>
      <c r="AG76">
        <v>4</v>
      </c>
      <c r="AH76">
        <v>5</v>
      </c>
    </row>
    <row r="77" spans="1:34">
      <c r="A77" s="108">
        <v>137</v>
      </c>
      <c r="B77">
        <v>5802</v>
      </c>
      <c r="C77" s="112" t="s">
        <v>152</v>
      </c>
      <c r="D77" s="112" t="s">
        <v>153</v>
      </c>
      <c r="E77">
        <v>1688.5</v>
      </c>
      <c r="F77">
        <v>1690.5</v>
      </c>
      <c r="G77">
        <v>600</v>
      </c>
      <c r="H77" s="112" t="s">
        <v>83</v>
      </c>
      <c r="I77">
        <v>9072</v>
      </c>
      <c r="J77" s="112" t="s">
        <v>147</v>
      </c>
      <c r="K77" s="112" t="s">
        <v>140</v>
      </c>
      <c r="L77">
        <v>2740</v>
      </c>
      <c r="M77">
        <v>2739</v>
      </c>
      <c r="N77">
        <v>400</v>
      </c>
      <c r="O77" s="112" t="s">
        <v>81</v>
      </c>
      <c r="P77">
        <v>0.92068969045399696</v>
      </c>
      <c r="Q77">
        <v>0.90932504911463896</v>
      </c>
      <c r="R77">
        <v>6.4858499566239694E-2</v>
      </c>
      <c r="S77" s="20">
        <v>2.9012766203050197E-4</v>
      </c>
      <c r="T77">
        <v>2.18042600144235</v>
      </c>
      <c r="U77">
        <v>2.18042600144235</v>
      </c>
      <c r="V77">
        <v>8.6</v>
      </c>
      <c r="W77">
        <v>7.42</v>
      </c>
      <c r="X77">
        <v>111309</v>
      </c>
      <c r="Y77">
        <v>5565</v>
      </c>
      <c r="Z77">
        <v>0.26</v>
      </c>
      <c r="AA77">
        <v>20</v>
      </c>
      <c r="AB77">
        <v>12</v>
      </c>
      <c r="AC77">
        <v>8</v>
      </c>
      <c r="AD77">
        <v>60</v>
      </c>
      <c r="AE77">
        <v>15</v>
      </c>
      <c r="AF77">
        <v>6</v>
      </c>
      <c r="AG77">
        <v>2</v>
      </c>
      <c r="AH77">
        <v>12</v>
      </c>
    </row>
    <row r="78" spans="1:34">
      <c r="A78" s="108">
        <v>0</v>
      </c>
      <c r="B78">
        <v>6702</v>
      </c>
      <c r="C78" s="112" t="s">
        <v>357</v>
      </c>
      <c r="D78" s="112" t="s">
        <v>108</v>
      </c>
      <c r="E78">
        <v>10200</v>
      </c>
      <c r="F78">
        <v>10055</v>
      </c>
      <c r="G78">
        <v>100</v>
      </c>
      <c r="H78" s="112" t="s">
        <v>81</v>
      </c>
      <c r="I78">
        <v>6920</v>
      </c>
      <c r="J78" s="112" t="s">
        <v>107</v>
      </c>
      <c r="K78" s="112" t="s">
        <v>108</v>
      </c>
      <c r="L78">
        <v>9950</v>
      </c>
      <c r="M78">
        <v>9850</v>
      </c>
      <c r="N78">
        <v>100</v>
      </c>
      <c r="O78" s="112" t="s">
        <v>83</v>
      </c>
      <c r="P78">
        <v>0.92153481935222303</v>
      </c>
      <c r="Q78">
        <v>0.97411489098737702</v>
      </c>
      <c r="R78">
        <v>0.139982042865754</v>
      </c>
      <c r="S78" s="20">
        <v>5.22457981594539E-5</v>
      </c>
      <c r="T78">
        <v>-1.62128491547219</v>
      </c>
      <c r="U78">
        <v>1.62128491547219</v>
      </c>
      <c r="V78">
        <v>-17.03</v>
      </c>
      <c r="W78">
        <v>2.04</v>
      </c>
      <c r="X78">
        <v>111057</v>
      </c>
      <c r="Y78">
        <v>11106</v>
      </c>
      <c r="Z78">
        <v>0.64</v>
      </c>
      <c r="AA78">
        <v>10</v>
      </c>
      <c r="AB78">
        <v>5</v>
      </c>
      <c r="AC78">
        <v>5</v>
      </c>
      <c r="AD78">
        <v>50</v>
      </c>
      <c r="AE78">
        <v>7</v>
      </c>
      <c r="AF78">
        <v>5</v>
      </c>
      <c r="AG78">
        <v>4</v>
      </c>
      <c r="AH78">
        <v>1</v>
      </c>
    </row>
    <row r="79" spans="1:34">
      <c r="A79" s="108">
        <v>24</v>
      </c>
      <c r="B79">
        <v>6925</v>
      </c>
      <c r="C79" s="112" t="s">
        <v>338</v>
      </c>
      <c r="D79" s="112" t="s">
        <v>108</v>
      </c>
      <c r="E79">
        <v>1655</v>
      </c>
      <c r="F79">
        <v>1673</v>
      </c>
      <c r="G79">
        <v>600</v>
      </c>
      <c r="H79" s="112" t="s">
        <v>81</v>
      </c>
      <c r="I79">
        <v>6951</v>
      </c>
      <c r="J79" s="112" t="s">
        <v>348</v>
      </c>
      <c r="K79" s="112" t="s">
        <v>108</v>
      </c>
      <c r="L79">
        <v>3155</v>
      </c>
      <c r="M79">
        <v>3180</v>
      </c>
      <c r="N79">
        <v>300</v>
      </c>
      <c r="O79" s="112" t="s">
        <v>83</v>
      </c>
      <c r="P79">
        <v>0.92292326067672203</v>
      </c>
      <c r="Q79">
        <v>0.94673189656028101</v>
      </c>
      <c r="R79" s="112">
        <v>0.218209619176474</v>
      </c>
      <c r="S79">
        <v>5.22995315084771E-3</v>
      </c>
      <c r="T79">
        <v>-1.59849294075355</v>
      </c>
      <c r="U79">
        <v>1.59849294075355</v>
      </c>
      <c r="V79">
        <v>-8.1300000000000008</v>
      </c>
      <c r="W79">
        <v>5.22</v>
      </c>
      <c r="X79">
        <v>110041</v>
      </c>
      <c r="Y79">
        <v>6113</v>
      </c>
      <c r="Z79">
        <v>0.33</v>
      </c>
      <c r="AA79">
        <v>18</v>
      </c>
      <c r="AB79">
        <v>11</v>
      </c>
      <c r="AC79">
        <v>7</v>
      </c>
      <c r="AD79">
        <v>61.11</v>
      </c>
      <c r="AE79">
        <v>10</v>
      </c>
      <c r="AF79">
        <v>7</v>
      </c>
      <c r="AG79">
        <v>6</v>
      </c>
      <c r="AH79">
        <v>5</v>
      </c>
    </row>
    <row r="80" spans="1:34">
      <c r="A80" s="108">
        <v>89</v>
      </c>
      <c r="B80">
        <v>2175</v>
      </c>
      <c r="C80" s="112" t="s">
        <v>352</v>
      </c>
      <c r="D80" s="112" t="s">
        <v>141</v>
      </c>
      <c r="E80">
        <v>3035</v>
      </c>
      <c r="F80">
        <v>3000</v>
      </c>
      <c r="G80">
        <v>300</v>
      </c>
      <c r="H80" s="112" t="s">
        <v>81</v>
      </c>
      <c r="I80">
        <v>8036</v>
      </c>
      <c r="J80" s="112" t="s">
        <v>346</v>
      </c>
      <c r="K80" s="112" t="s">
        <v>122</v>
      </c>
      <c r="L80">
        <v>7670</v>
      </c>
      <c r="M80">
        <v>7550</v>
      </c>
      <c r="N80">
        <v>100</v>
      </c>
      <c r="O80" s="112" t="s">
        <v>83</v>
      </c>
      <c r="P80">
        <v>0.90320145957000997</v>
      </c>
      <c r="Q80">
        <v>0.92222692854178701</v>
      </c>
      <c r="R80">
        <v>3.0914661952868901E-3</v>
      </c>
      <c r="S80" s="20">
        <v>7.6606245963333694E-2</v>
      </c>
      <c r="T80">
        <v>-2.2828528301212501</v>
      </c>
      <c r="U80">
        <v>2.2828528301212501</v>
      </c>
      <c r="V80">
        <v>-6.09</v>
      </c>
      <c r="W80">
        <v>19.21</v>
      </c>
      <c r="X80">
        <v>107085</v>
      </c>
      <c r="Y80">
        <v>6299</v>
      </c>
      <c r="Z80">
        <v>0.39</v>
      </c>
      <c r="AA80">
        <v>17</v>
      </c>
      <c r="AB80">
        <v>9</v>
      </c>
      <c r="AC80">
        <v>8</v>
      </c>
      <c r="AD80">
        <v>52.94</v>
      </c>
      <c r="AE80">
        <v>11</v>
      </c>
      <c r="AF80">
        <v>8</v>
      </c>
      <c r="AG80">
        <v>6</v>
      </c>
      <c r="AH80">
        <v>3</v>
      </c>
    </row>
    <row r="81" spans="1:34">
      <c r="A81" s="108">
        <v>159</v>
      </c>
      <c r="B81">
        <v>6770</v>
      </c>
      <c r="C81" s="112" t="s">
        <v>46</v>
      </c>
      <c r="D81" s="112" t="s">
        <v>108</v>
      </c>
      <c r="E81">
        <v>2628</v>
      </c>
      <c r="F81">
        <v>2609</v>
      </c>
      <c r="G81">
        <v>400</v>
      </c>
      <c r="H81" s="112" t="s">
        <v>83</v>
      </c>
      <c r="I81">
        <v>7272</v>
      </c>
      <c r="J81" s="112" t="s">
        <v>325</v>
      </c>
      <c r="K81" s="112" t="s">
        <v>105</v>
      </c>
      <c r="L81">
        <v>2312</v>
      </c>
      <c r="M81">
        <v>2350</v>
      </c>
      <c r="N81">
        <v>400</v>
      </c>
      <c r="O81" s="112" t="s">
        <v>81</v>
      </c>
      <c r="P81">
        <v>0.91087632502045801</v>
      </c>
      <c r="Q81">
        <v>0.90133971972419002</v>
      </c>
      <c r="R81" s="112">
        <v>0.25261650090666798</v>
      </c>
      <c r="S81" s="20">
        <v>2.7455284668863999E-2</v>
      </c>
      <c r="T81">
        <v>1.3342514321619801</v>
      </c>
      <c r="U81">
        <v>1.3342514321619801</v>
      </c>
      <c r="V81">
        <v>4.7</v>
      </c>
      <c r="W81">
        <v>9.93</v>
      </c>
      <c r="X81">
        <v>106683</v>
      </c>
      <c r="Y81">
        <v>8206</v>
      </c>
      <c r="Z81">
        <v>0.37</v>
      </c>
      <c r="AA81">
        <v>13</v>
      </c>
      <c r="AB81">
        <v>7</v>
      </c>
      <c r="AC81">
        <v>6</v>
      </c>
      <c r="AD81">
        <v>53.85</v>
      </c>
      <c r="AE81">
        <v>12</v>
      </c>
      <c r="AF81">
        <v>5</v>
      </c>
      <c r="AG81">
        <v>4</v>
      </c>
      <c r="AH81">
        <v>4</v>
      </c>
    </row>
    <row r="82" spans="1:34">
      <c r="A82" s="108">
        <v>146</v>
      </c>
      <c r="B82">
        <v>7167</v>
      </c>
      <c r="C82" s="112" t="s">
        <v>121</v>
      </c>
      <c r="D82" s="112" t="s">
        <v>103</v>
      </c>
      <c r="E82">
        <v>283</v>
      </c>
      <c r="F82">
        <v>284</v>
      </c>
      <c r="G82">
        <v>3700</v>
      </c>
      <c r="H82" s="112" t="s">
        <v>81</v>
      </c>
      <c r="I82">
        <v>8377</v>
      </c>
      <c r="J82" s="112" t="s">
        <v>115</v>
      </c>
      <c r="K82" s="112" t="s">
        <v>103</v>
      </c>
      <c r="L82">
        <v>1164</v>
      </c>
      <c r="M82">
        <v>1172</v>
      </c>
      <c r="N82">
        <v>900</v>
      </c>
      <c r="O82" s="112" t="s">
        <v>83</v>
      </c>
      <c r="P82">
        <v>0.91237744352002104</v>
      </c>
      <c r="Q82">
        <v>0.90727622702687905</v>
      </c>
      <c r="R82">
        <v>4.9546691768469597E-2</v>
      </c>
      <c r="S82" s="20">
        <v>0.232779102848168</v>
      </c>
      <c r="T82" s="20">
        <v>-2.4789826255028302</v>
      </c>
      <c r="U82" s="20">
        <v>2.4789826255028302</v>
      </c>
      <c r="V82">
        <v>-4.3499999999999996</v>
      </c>
      <c r="W82">
        <v>0.38</v>
      </c>
      <c r="X82">
        <v>96023</v>
      </c>
      <c r="Y82">
        <v>6001</v>
      </c>
      <c r="Z82">
        <v>0.25</v>
      </c>
      <c r="AA82">
        <v>16</v>
      </c>
      <c r="AB82">
        <v>11</v>
      </c>
      <c r="AC82">
        <v>5</v>
      </c>
      <c r="AD82">
        <v>68.75</v>
      </c>
      <c r="AE82">
        <v>16</v>
      </c>
      <c r="AF82">
        <v>2</v>
      </c>
      <c r="AG82">
        <v>1</v>
      </c>
      <c r="AH82">
        <v>13</v>
      </c>
    </row>
    <row r="83" spans="1:34">
      <c r="A83" s="108">
        <v>27</v>
      </c>
      <c r="B83">
        <v>4208</v>
      </c>
      <c r="C83" s="112" t="s">
        <v>119</v>
      </c>
      <c r="D83" s="112" t="s">
        <v>82</v>
      </c>
      <c r="E83">
        <v>2459</v>
      </c>
      <c r="F83">
        <v>2479</v>
      </c>
      <c r="G83">
        <v>300</v>
      </c>
      <c r="H83" s="112" t="s">
        <v>81</v>
      </c>
      <c r="I83">
        <v>6371</v>
      </c>
      <c r="J83" s="112" t="s">
        <v>129</v>
      </c>
      <c r="K83" s="112" t="s">
        <v>120</v>
      </c>
      <c r="L83">
        <v>3995</v>
      </c>
      <c r="M83">
        <v>4000</v>
      </c>
      <c r="N83">
        <v>200</v>
      </c>
      <c r="O83" s="112" t="s">
        <v>83</v>
      </c>
      <c r="P83">
        <v>0.95190154838862495</v>
      </c>
      <c r="Q83">
        <v>0.94484906438285099</v>
      </c>
      <c r="R83" s="20">
        <v>9.7520823544451508E-3</v>
      </c>
      <c r="S83">
        <v>4.71276221536802E-3</v>
      </c>
      <c r="T83">
        <v>-0.61329102764931698</v>
      </c>
      <c r="U83">
        <v>0.61329102764931698</v>
      </c>
      <c r="V83">
        <v>-1.28</v>
      </c>
      <c r="W83">
        <v>7.04</v>
      </c>
      <c r="X83">
        <v>93305</v>
      </c>
      <c r="Y83">
        <v>6220</v>
      </c>
      <c r="Z83">
        <v>0.28999999999999998</v>
      </c>
      <c r="AA83">
        <v>15</v>
      </c>
      <c r="AB83">
        <v>9</v>
      </c>
      <c r="AC83">
        <v>6</v>
      </c>
      <c r="AD83">
        <v>60</v>
      </c>
      <c r="AE83">
        <v>13</v>
      </c>
      <c r="AF83">
        <v>4</v>
      </c>
      <c r="AG83">
        <v>4</v>
      </c>
      <c r="AH83">
        <v>7</v>
      </c>
    </row>
    <row r="84" spans="1:34">
      <c r="A84" s="108">
        <v>110</v>
      </c>
      <c r="B84">
        <v>6770</v>
      </c>
      <c r="C84" s="112" t="s">
        <v>46</v>
      </c>
      <c r="D84" s="112" t="s">
        <v>108</v>
      </c>
      <c r="E84">
        <v>2628</v>
      </c>
      <c r="F84">
        <v>2609</v>
      </c>
      <c r="G84">
        <v>400</v>
      </c>
      <c r="H84" s="112" t="s">
        <v>83</v>
      </c>
      <c r="I84">
        <v>6995</v>
      </c>
      <c r="J84" s="112" t="s">
        <v>112</v>
      </c>
      <c r="K84" s="112" t="s">
        <v>105</v>
      </c>
      <c r="L84">
        <v>2258</v>
      </c>
      <c r="M84">
        <v>2263</v>
      </c>
      <c r="N84">
        <v>500</v>
      </c>
      <c r="O84" s="112" t="s">
        <v>81</v>
      </c>
      <c r="P84">
        <v>0.95782230606732699</v>
      </c>
      <c r="Q84">
        <v>0.91542116150209396</v>
      </c>
      <c r="R84">
        <v>0.30989295439380299</v>
      </c>
      <c r="S84" s="112">
        <v>0.20523718524845599</v>
      </c>
      <c r="T84">
        <v>0.93439142797695196</v>
      </c>
      <c r="U84">
        <v>0.93439142797695196</v>
      </c>
      <c r="V84">
        <v>2.77</v>
      </c>
      <c r="W84">
        <v>8.42</v>
      </c>
      <c r="X84">
        <v>90653</v>
      </c>
      <c r="Y84">
        <v>5333</v>
      </c>
      <c r="Z84">
        <v>0.23</v>
      </c>
      <c r="AA84">
        <v>17</v>
      </c>
      <c r="AB84">
        <v>9</v>
      </c>
      <c r="AC84">
        <v>8</v>
      </c>
      <c r="AD84">
        <v>52.94</v>
      </c>
      <c r="AE84">
        <v>12</v>
      </c>
      <c r="AF84">
        <v>6</v>
      </c>
      <c r="AG84">
        <v>4</v>
      </c>
      <c r="AH84">
        <v>7</v>
      </c>
    </row>
    <row r="85" spans="1:34">
      <c r="A85" s="108">
        <v>72</v>
      </c>
      <c r="B85">
        <v>4182</v>
      </c>
      <c r="C85" s="112" t="s">
        <v>109</v>
      </c>
      <c r="D85" s="112" t="s">
        <v>82</v>
      </c>
      <c r="E85">
        <v>1728</v>
      </c>
      <c r="F85">
        <v>1730</v>
      </c>
      <c r="G85">
        <v>500</v>
      </c>
      <c r="H85" s="112" t="s">
        <v>83</v>
      </c>
      <c r="I85">
        <v>6371</v>
      </c>
      <c r="J85" s="112" t="s">
        <v>129</v>
      </c>
      <c r="K85" s="112" t="s">
        <v>120</v>
      </c>
      <c r="L85">
        <v>3995</v>
      </c>
      <c r="M85">
        <v>4000</v>
      </c>
      <c r="N85">
        <v>200</v>
      </c>
      <c r="O85" s="112" t="s">
        <v>81</v>
      </c>
      <c r="P85">
        <v>0.94356230182638701</v>
      </c>
      <c r="Q85">
        <v>0.92824078389683295</v>
      </c>
      <c r="R85">
        <v>7.9522788860306101E-2</v>
      </c>
      <c r="S85" s="20">
        <v>2.4272953827587599E-2</v>
      </c>
      <c r="T85">
        <v>0.80158698889126601</v>
      </c>
      <c r="U85">
        <v>0.80158698889126601</v>
      </c>
      <c r="V85">
        <v>2.65</v>
      </c>
      <c r="W85">
        <v>8.1199999999999992</v>
      </c>
      <c r="X85">
        <v>88640</v>
      </c>
      <c r="Y85">
        <v>6818</v>
      </c>
      <c r="Z85">
        <v>0.47</v>
      </c>
      <c r="AA85">
        <v>13</v>
      </c>
      <c r="AB85">
        <v>8</v>
      </c>
      <c r="AC85">
        <v>5</v>
      </c>
      <c r="AD85">
        <v>61.54</v>
      </c>
      <c r="AE85">
        <v>12</v>
      </c>
      <c r="AF85">
        <v>4</v>
      </c>
      <c r="AG85">
        <v>2</v>
      </c>
      <c r="AH85">
        <v>7</v>
      </c>
    </row>
    <row r="86" spans="1:34">
      <c r="A86" s="108">
        <v>145</v>
      </c>
      <c r="B86">
        <v>9062</v>
      </c>
      <c r="C86" s="112" t="s">
        <v>982</v>
      </c>
      <c r="D86" s="112" t="s">
        <v>140</v>
      </c>
      <c r="E86">
        <v>6520</v>
      </c>
      <c r="F86">
        <v>6630</v>
      </c>
      <c r="G86">
        <v>100</v>
      </c>
      <c r="H86" s="112" t="s">
        <v>83</v>
      </c>
      <c r="I86">
        <v>9072</v>
      </c>
      <c r="J86" s="112" t="s">
        <v>147</v>
      </c>
      <c r="K86" s="112" t="s">
        <v>140</v>
      </c>
      <c r="L86">
        <v>2740</v>
      </c>
      <c r="M86">
        <v>2739</v>
      </c>
      <c r="N86">
        <v>200</v>
      </c>
      <c r="O86" s="112" t="s">
        <v>81</v>
      </c>
      <c r="P86">
        <v>0.94927290333677095</v>
      </c>
      <c r="Q86">
        <v>0.907435696966994</v>
      </c>
      <c r="R86">
        <v>9.9094329724423794E-2</v>
      </c>
      <c r="S86" s="20">
        <v>3.5305526728995298E-2</v>
      </c>
      <c r="T86">
        <v>0.56056776397934505</v>
      </c>
      <c r="U86">
        <v>0.56056776397934505</v>
      </c>
      <c r="V86">
        <v>2.73</v>
      </c>
      <c r="W86">
        <v>17.38</v>
      </c>
      <c r="X86">
        <v>86554</v>
      </c>
      <c r="Y86">
        <v>14426</v>
      </c>
      <c r="Z86">
        <v>0.91</v>
      </c>
      <c r="AA86">
        <v>6</v>
      </c>
      <c r="AB86">
        <v>4</v>
      </c>
      <c r="AC86">
        <v>2</v>
      </c>
      <c r="AD86">
        <v>66.67</v>
      </c>
      <c r="AE86">
        <v>14</v>
      </c>
      <c r="AF86">
        <v>2</v>
      </c>
      <c r="AG86">
        <v>0</v>
      </c>
      <c r="AH86">
        <v>4</v>
      </c>
    </row>
    <row r="87" spans="1:34">
      <c r="A87" s="108">
        <v>66</v>
      </c>
      <c r="B87">
        <v>5802</v>
      </c>
      <c r="C87" s="112" t="s">
        <v>152</v>
      </c>
      <c r="D87" s="112" t="s">
        <v>153</v>
      </c>
      <c r="E87">
        <v>1688.5</v>
      </c>
      <c r="F87">
        <v>1690.5</v>
      </c>
      <c r="G87">
        <v>600</v>
      </c>
      <c r="H87" s="112" t="s">
        <v>83</v>
      </c>
      <c r="I87">
        <v>7267</v>
      </c>
      <c r="J87" s="112" t="s">
        <v>139</v>
      </c>
      <c r="K87" s="112" t="s">
        <v>105</v>
      </c>
      <c r="L87">
        <v>3178</v>
      </c>
      <c r="M87">
        <v>3221</v>
      </c>
      <c r="N87">
        <v>300</v>
      </c>
      <c r="O87" s="112" t="s">
        <v>81</v>
      </c>
      <c r="P87">
        <v>0.91349261823290695</v>
      </c>
      <c r="Q87">
        <v>0.93029861458505902</v>
      </c>
      <c r="R87">
        <v>0.24349082845720399</v>
      </c>
      <c r="S87">
        <v>4.2821542403420603E-3</v>
      </c>
      <c r="T87">
        <v>1.6003729641819699</v>
      </c>
      <c r="U87">
        <v>1.6003729641819699</v>
      </c>
      <c r="V87">
        <v>5.09</v>
      </c>
      <c r="W87">
        <v>4.97</v>
      </c>
      <c r="X87">
        <v>86548</v>
      </c>
      <c r="Y87">
        <v>5409</v>
      </c>
      <c r="Z87">
        <v>0.24</v>
      </c>
      <c r="AA87">
        <v>16</v>
      </c>
      <c r="AB87">
        <v>10</v>
      </c>
      <c r="AC87">
        <v>6</v>
      </c>
      <c r="AD87">
        <v>62.5</v>
      </c>
      <c r="AE87">
        <v>16</v>
      </c>
      <c r="AF87">
        <v>1</v>
      </c>
      <c r="AG87">
        <v>1</v>
      </c>
      <c r="AH87">
        <v>14</v>
      </c>
    </row>
    <row r="88" spans="1:34">
      <c r="A88" s="108">
        <v>40</v>
      </c>
      <c r="B88">
        <v>5802</v>
      </c>
      <c r="C88" s="112" t="s">
        <v>152</v>
      </c>
      <c r="D88" s="112" t="s">
        <v>153</v>
      </c>
      <c r="E88">
        <v>1688.5</v>
      </c>
      <c r="F88">
        <v>1690.5</v>
      </c>
      <c r="G88">
        <v>600</v>
      </c>
      <c r="H88" s="112" t="s">
        <v>83</v>
      </c>
      <c r="I88">
        <v>9810</v>
      </c>
      <c r="J88" s="112" t="s">
        <v>148</v>
      </c>
      <c r="K88" s="112" t="s">
        <v>122</v>
      </c>
      <c r="L88">
        <v>5290</v>
      </c>
      <c r="M88">
        <v>5230</v>
      </c>
      <c r="N88">
        <v>200</v>
      </c>
      <c r="O88" s="112" t="s">
        <v>81</v>
      </c>
      <c r="P88">
        <v>0.94684645644738996</v>
      </c>
      <c r="Q88">
        <v>0.94034568038757904</v>
      </c>
      <c r="R88">
        <v>0.25405578312381599</v>
      </c>
      <c r="S88" s="112">
        <v>2.4760450463984798E-2</v>
      </c>
      <c r="T88">
        <v>0.61390121526433805</v>
      </c>
      <c r="U88">
        <v>0.61390121526433805</v>
      </c>
      <c r="V88">
        <v>1.48</v>
      </c>
      <c r="W88">
        <v>3.03</v>
      </c>
      <c r="X88">
        <v>84914</v>
      </c>
      <c r="Y88">
        <v>5661</v>
      </c>
      <c r="Z88">
        <v>0.45</v>
      </c>
      <c r="AA88">
        <v>15</v>
      </c>
      <c r="AB88">
        <v>10</v>
      </c>
      <c r="AC88">
        <v>5</v>
      </c>
      <c r="AD88">
        <v>66.67</v>
      </c>
      <c r="AE88">
        <v>14</v>
      </c>
      <c r="AF88">
        <v>3</v>
      </c>
      <c r="AG88">
        <v>2</v>
      </c>
      <c r="AH88">
        <v>10</v>
      </c>
    </row>
    <row r="89" spans="1:34">
      <c r="A89" s="108">
        <v>39</v>
      </c>
      <c r="B89">
        <v>6770</v>
      </c>
      <c r="C89" s="112" t="s">
        <v>46</v>
      </c>
      <c r="D89" s="112" t="s">
        <v>108</v>
      </c>
      <c r="E89">
        <v>2628</v>
      </c>
      <c r="F89">
        <v>2609</v>
      </c>
      <c r="G89">
        <v>200</v>
      </c>
      <c r="H89" s="112" t="s">
        <v>83</v>
      </c>
      <c r="I89">
        <v>6988</v>
      </c>
      <c r="J89" s="112" t="s">
        <v>160</v>
      </c>
      <c r="K89" s="112" t="s">
        <v>82</v>
      </c>
      <c r="L89">
        <v>6350</v>
      </c>
      <c r="M89">
        <v>6410</v>
      </c>
      <c r="N89">
        <v>100</v>
      </c>
      <c r="O89" s="112" t="s">
        <v>81</v>
      </c>
      <c r="P89">
        <v>0.92023249392038797</v>
      </c>
      <c r="Q89">
        <v>0.94055366713601196</v>
      </c>
      <c r="R89" s="20">
        <v>0.357581050397005</v>
      </c>
      <c r="S89">
        <v>0.13221558473349401</v>
      </c>
      <c r="T89">
        <v>1.32588848531322</v>
      </c>
      <c r="U89">
        <v>1.32588848531322</v>
      </c>
      <c r="V89">
        <v>5.08</v>
      </c>
      <c r="W89">
        <v>18.600000000000001</v>
      </c>
      <c r="X89">
        <v>80018</v>
      </c>
      <c r="Y89">
        <v>5716</v>
      </c>
      <c r="Z89">
        <v>0.28999999999999998</v>
      </c>
      <c r="AA89">
        <v>14</v>
      </c>
      <c r="AB89">
        <v>8</v>
      </c>
      <c r="AC89">
        <v>6</v>
      </c>
      <c r="AD89">
        <v>57.14</v>
      </c>
      <c r="AE89">
        <v>12</v>
      </c>
      <c r="AF89">
        <v>7</v>
      </c>
      <c r="AG89">
        <v>3</v>
      </c>
      <c r="AH89">
        <v>4</v>
      </c>
    </row>
    <row r="90" spans="1:34">
      <c r="A90" s="108">
        <v>126</v>
      </c>
      <c r="B90">
        <v>8002</v>
      </c>
      <c r="C90" s="112" t="s">
        <v>51</v>
      </c>
      <c r="D90" s="112" t="s">
        <v>122</v>
      </c>
      <c r="E90">
        <v>834.9</v>
      </c>
      <c r="F90">
        <v>837.7</v>
      </c>
      <c r="G90">
        <v>1300</v>
      </c>
      <c r="H90" s="112" t="s">
        <v>83</v>
      </c>
      <c r="I90">
        <v>9072</v>
      </c>
      <c r="J90" s="112" t="s">
        <v>147</v>
      </c>
      <c r="K90" s="112" t="s">
        <v>140</v>
      </c>
      <c r="L90">
        <v>2740</v>
      </c>
      <c r="M90">
        <v>2739</v>
      </c>
      <c r="N90">
        <v>400</v>
      </c>
      <c r="O90" s="112" t="s">
        <v>81</v>
      </c>
      <c r="P90">
        <v>0.94190635641218001</v>
      </c>
      <c r="Q90">
        <v>0.91178550781720702</v>
      </c>
      <c r="R90">
        <v>0.126805220980795</v>
      </c>
      <c r="S90" s="20">
        <v>2.3393514754840401E-3</v>
      </c>
      <c r="T90">
        <v>2.1590845038233999</v>
      </c>
      <c r="U90">
        <v>2.1590845038233999</v>
      </c>
      <c r="V90">
        <v>4.12</v>
      </c>
      <c r="W90">
        <v>0.6</v>
      </c>
      <c r="X90">
        <v>77791</v>
      </c>
      <c r="Y90">
        <v>4862</v>
      </c>
      <c r="Z90">
        <v>0.24</v>
      </c>
      <c r="AA90">
        <v>16</v>
      </c>
      <c r="AB90">
        <v>8</v>
      </c>
      <c r="AC90">
        <v>8</v>
      </c>
      <c r="AD90">
        <v>50</v>
      </c>
      <c r="AE90">
        <v>16</v>
      </c>
      <c r="AF90">
        <v>4</v>
      </c>
      <c r="AG90">
        <v>1</v>
      </c>
      <c r="AH90">
        <v>11</v>
      </c>
    </row>
    <row r="91" spans="1:34">
      <c r="A91" s="108">
        <v>49</v>
      </c>
      <c r="B91">
        <v>4519</v>
      </c>
      <c r="C91" s="112" t="s">
        <v>980</v>
      </c>
      <c r="D91" s="112" t="s">
        <v>157</v>
      </c>
      <c r="E91">
        <v>10025</v>
      </c>
      <c r="F91">
        <v>10040</v>
      </c>
      <c r="G91">
        <v>100</v>
      </c>
      <c r="H91" s="112" t="s">
        <v>83</v>
      </c>
      <c r="I91">
        <v>6702</v>
      </c>
      <c r="J91" s="112" t="s">
        <v>357</v>
      </c>
      <c r="K91" s="112" t="s">
        <v>108</v>
      </c>
      <c r="L91">
        <v>10200</v>
      </c>
      <c r="M91">
        <v>10055</v>
      </c>
      <c r="N91">
        <v>100</v>
      </c>
      <c r="O91" s="112" t="s">
        <v>81</v>
      </c>
      <c r="P91">
        <v>0.96055253236196703</v>
      </c>
      <c r="Q91">
        <v>0.93657330409809303</v>
      </c>
      <c r="R91" s="20">
        <v>1.32121619392457E-2</v>
      </c>
      <c r="S91">
        <v>3.2944041718579301E-2</v>
      </c>
      <c r="T91">
        <v>1.8710183303322101</v>
      </c>
      <c r="U91">
        <v>1.8710183303322101</v>
      </c>
      <c r="V91">
        <v>5.31</v>
      </c>
      <c r="W91">
        <v>0.15</v>
      </c>
      <c r="X91">
        <v>75944</v>
      </c>
      <c r="Y91">
        <v>10849</v>
      </c>
      <c r="Z91">
        <v>0.79</v>
      </c>
      <c r="AA91">
        <v>7</v>
      </c>
      <c r="AB91">
        <v>4</v>
      </c>
      <c r="AC91">
        <v>3</v>
      </c>
      <c r="AD91">
        <v>57.14</v>
      </c>
      <c r="AE91">
        <v>12</v>
      </c>
      <c r="AF91">
        <v>3</v>
      </c>
      <c r="AG91">
        <v>1</v>
      </c>
      <c r="AH91">
        <v>3</v>
      </c>
    </row>
    <row r="92" spans="1:34">
      <c r="A92" s="108">
        <v>46</v>
      </c>
      <c r="B92">
        <v>1820</v>
      </c>
      <c r="C92" s="112" t="s">
        <v>143</v>
      </c>
      <c r="D92" s="112" t="s">
        <v>99</v>
      </c>
      <c r="E92">
        <v>2558</v>
      </c>
      <c r="F92">
        <v>2503</v>
      </c>
      <c r="G92">
        <v>400</v>
      </c>
      <c r="H92" s="112" t="s">
        <v>83</v>
      </c>
      <c r="I92">
        <v>4182</v>
      </c>
      <c r="J92" s="112" t="s">
        <v>109</v>
      </c>
      <c r="K92" s="112" t="s">
        <v>82</v>
      </c>
      <c r="L92">
        <v>1728</v>
      </c>
      <c r="M92">
        <v>1730</v>
      </c>
      <c r="N92">
        <v>600</v>
      </c>
      <c r="O92" s="112" t="s">
        <v>81</v>
      </c>
      <c r="P92">
        <v>0.95914510930146402</v>
      </c>
      <c r="Q92">
        <v>0.93928508277522205</v>
      </c>
      <c r="R92">
        <v>8.69521725832368E-2</v>
      </c>
      <c r="S92">
        <v>1.03250089820209E-2</v>
      </c>
      <c r="T92">
        <v>0.256610234037079</v>
      </c>
      <c r="U92">
        <v>0.256610234037079</v>
      </c>
      <c r="V92">
        <v>0.83</v>
      </c>
      <c r="W92">
        <v>3.68</v>
      </c>
      <c r="X92">
        <v>74834</v>
      </c>
      <c r="Y92">
        <v>6236</v>
      </c>
      <c r="Z92">
        <v>0.26</v>
      </c>
      <c r="AA92">
        <v>12</v>
      </c>
      <c r="AB92">
        <v>8</v>
      </c>
      <c r="AC92">
        <v>4</v>
      </c>
      <c r="AD92">
        <v>66.67</v>
      </c>
      <c r="AE92">
        <v>12</v>
      </c>
      <c r="AF92">
        <v>5</v>
      </c>
      <c r="AG92">
        <v>3</v>
      </c>
      <c r="AH92">
        <v>4</v>
      </c>
    </row>
    <row r="93" spans="1:34">
      <c r="A93" s="108">
        <v>109</v>
      </c>
      <c r="B93">
        <v>3116</v>
      </c>
      <c r="C93" s="112" t="s">
        <v>146</v>
      </c>
      <c r="D93" s="112" t="s">
        <v>105</v>
      </c>
      <c r="E93">
        <v>1852</v>
      </c>
      <c r="F93">
        <v>1818</v>
      </c>
      <c r="G93">
        <v>600</v>
      </c>
      <c r="H93" s="112" t="s">
        <v>83</v>
      </c>
      <c r="I93">
        <v>8002</v>
      </c>
      <c r="J93" s="112" t="s">
        <v>51</v>
      </c>
      <c r="K93" s="112" t="s">
        <v>122</v>
      </c>
      <c r="L93">
        <v>834.9</v>
      </c>
      <c r="M93">
        <v>837.7</v>
      </c>
      <c r="N93">
        <v>1300</v>
      </c>
      <c r="O93" s="112" t="s">
        <v>81</v>
      </c>
      <c r="P93">
        <v>0.94399534236470095</v>
      </c>
      <c r="Q93">
        <v>0.91612211734083804</v>
      </c>
      <c r="R93" s="112">
        <v>2.7571039957661601E-2</v>
      </c>
      <c r="S93">
        <v>0.23586810926967899</v>
      </c>
      <c r="T93">
        <v>1.58326457904383</v>
      </c>
      <c r="U93">
        <v>1.58326457904383</v>
      </c>
      <c r="V93">
        <v>3.33</v>
      </c>
      <c r="W93">
        <v>0.16</v>
      </c>
      <c r="X93">
        <v>69702</v>
      </c>
      <c r="Y93">
        <v>5362</v>
      </c>
      <c r="Z93">
        <v>0.33</v>
      </c>
      <c r="AA93">
        <v>13</v>
      </c>
      <c r="AB93">
        <v>5</v>
      </c>
      <c r="AC93">
        <v>8</v>
      </c>
      <c r="AD93">
        <v>38.46</v>
      </c>
      <c r="AE93">
        <v>16</v>
      </c>
      <c r="AF93">
        <v>4</v>
      </c>
      <c r="AG93">
        <v>0</v>
      </c>
      <c r="AH93">
        <v>9</v>
      </c>
    </row>
    <row r="94" spans="1:34">
      <c r="A94" s="108">
        <v>69</v>
      </c>
      <c r="B94">
        <v>1973</v>
      </c>
      <c r="C94" s="112" t="s">
        <v>335</v>
      </c>
      <c r="D94" s="112" t="s">
        <v>100</v>
      </c>
      <c r="E94">
        <v>3620</v>
      </c>
      <c r="F94">
        <v>3570</v>
      </c>
      <c r="G94">
        <v>300</v>
      </c>
      <c r="H94" s="112" t="s">
        <v>81</v>
      </c>
      <c r="I94">
        <v>4519</v>
      </c>
      <c r="J94" s="112" t="s">
        <v>980</v>
      </c>
      <c r="K94" s="112" t="s">
        <v>157</v>
      </c>
      <c r="L94">
        <v>10025</v>
      </c>
      <c r="M94">
        <v>10040</v>
      </c>
      <c r="N94">
        <v>100</v>
      </c>
      <c r="O94" s="112" t="s">
        <v>83</v>
      </c>
      <c r="P94">
        <v>0.94705675395215305</v>
      </c>
      <c r="Q94">
        <v>0.92975673182586904</v>
      </c>
      <c r="R94" s="20">
        <v>4.8351720442794304E-3</v>
      </c>
      <c r="S94" s="20">
        <v>0.111915199203934</v>
      </c>
      <c r="T94">
        <v>-1.1814254114810601</v>
      </c>
      <c r="U94">
        <v>1.1814254114810601</v>
      </c>
      <c r="V94">
        <v>-2.85</v>
      </c>
      <c r="W94">
        <v>6.67</v>
      </c>
      <c r="X94">
        <v>61928</v>
      </c>
      <c r="Y94">
        <v>7741</v>
      </c>
      <c r="Z94">
        <v>0.22</v>
      </c>
      <c r="AA94">
        <v>8</v>
      </c>
      <c r="AB94">
        <v>5</v>
      </c>
      <c r="AC94">
        <v>3</v>
      </c>
      <c r="AD94">
        <v>62.5</v>
      </c>
      <c r="AE94">
        <v>12</v>
      </c>
      <c r="AF94">
        <v>3</v>
      </c>
      <c r="AG94">
        <v>3</v>
      </c>
      <c r="AH94">
        <v>2</v>
      </c>
    </row>
    <row r="95" spans="1:34">
      <c r="A95" s="108">
        <v>114</v>
      </c>
      <c r="B95">
        <v>4182</v>
      </c>
      <c r="C95" s="112" t="s">
        <v>109</v>
      </c>
      <c r="D95" s="112" t="s">
        <v>82</v>
      </c>
      <c r="E95">
        <v>1728</v>
      </c>
      <c r="F95">
        <v>1730</v>
      </c>
      <c r="G95">
        <v>500</v>
      </c>
      <c r="H95" s="112" t="s">
        <v>83</v>
      </c>
      <c r="I95">
        <v>5463</v>
      </c>
      <c r="J95" s="112" t="s">
        <v>163</v>
      </c>
      <c r="K95" s="112" t="s">
        <v>113</v>
      </c>
      <c r="L95">
        <v>3120</v>
      </c>
      <c r="M95">
        <v>3135</v>
      </c>
      <c r="N95">
        <v>300</v>
      </c>
      <c r="O95" s="112" t="s">
        <v>81</v>
      </c>
      <c r="P95">
        <v>0.90546785101424199</v>
      </c>
      <c r="Q95">
        <v>0.91474022952423095</v>
      </c>
      <c r="R95">
        <v>0.130485485638836</v>
      </c>
      <c r="S95" s="20">
        <v>2.1067350919446198E-2</v>
      </c>
      <c r="T95">
        <v>1.8587712049848</v>
      </c>
      <c r="U95">
        <v>1.8587712049848</v>
      </c>
      <c r="V95">
        <v>6.23</v>
      </c>
      <c r="W95">
        <v>8.0299999999999994</v>
      </c>
      <c r="X95">
        <v>49018</v>
      </c>
      <c r="Y95">
        <v>2723</v>
      </c>
      <c r="Z95">
        <v>0.22</v>
      </c>
      <c r="AA95">
        <v>18</v>
      </c>
      <c r="AB95">
        <v>10</v>
      </c>
      <c r="AC95">
        <v>8</v>
      </c>
      <c r="AD95">
        <v>55.56</v>
      </c>
      <c r="AE95">
        <v>11</v>
      </c>
      <c r="AF95">
        <v>7</v>
      </c>
      <c r="AG95">
        <v>6</v>
      </c>
      <c r="AH95">
        <v>5</v>
      </c>
    </row>
    <row r="96" spans="1:34">
      <c r="A96" s="108">
        <v>54</v>
      </c>
      <c r="B96">
        <v>6135</v>
      </c>
      <c r="C96" s="112" t="s">
        <v>333</v>
      </c>
      <c r="D96" s="112" t="s">
        <v>120</v>
      </c>
      <c r="E96">
        <v>5410</v>
      </c>
      <c r="F96">
        <v>5400</v>
      </c>
      <c r="G96">
        <v>100</v>
      </c>
      <c r="H96" s="112" t="s">
        <v>81</v>
      </c>
      <c r="I96">
        <v>6856</v>
      </c>
      <c r="J96" s="112" t="s">
        <v>356</v>
      </c>
      <c r="K96" s="112" t="s">
        <v>108</v>
      </c>
      <c r="L96">
        <v>7760</v>
      </c>
      <c r="M96">
        <v>7770</v>
      </c>
      <c r="N96">
        <v>100</v>
      </c>
      <c r="O96" s="112" t="s">
        <v>83</v>
      </c>
      <c r="P96">
        <v>0.94052863106904305</v>
      </c>
      <c r="Q96">
        <v>0.93495382117789405</v>
      </c>
      <c r="R96">
        <v>0.22506173578557601</v>
      </c>
      <c r="S96">
        <v>0.225581015510016</v>
      </c>
      <c r="T96">
        <v>-1.67321911431574</v>
      </c>
      <c r="U96">
        <v>1.67321911431574</v>
      </c>
      <c r="V96">
        <v>-6.63</v>
      </c>
      <c r="W96">
        <v>30.5</v>
      </c>
      <c r="X96">
        <v>46787</v>
      </c>
      <c r="Y96">
        <v>46787</v>
      </c>
      <c r="Z96">
        <v>3.43</v>
      </c>
      <c r="AA96">
        <v>1</v>
      </c>
      <c r="AB96">
        <v>1</v>
      </c>
      <c r="AC96">
        <v>0</v>
      </c>
      <c r="AD96">
        <v>100</v>
      </c>
      <c r="AE96">
        <v>6</v>
      </c>
      <c r="AF96">
        <v>1</v>
      </c>
      <c r="AG96">
        <v>0</v>
      </c>
      <c r="AH96">
        <v>0</v>
      </c>
    </row>
    <row r="97" spans="1:34">
      <c r="A97" s="108">
        <v>16</v>
      </c>
      <c r="B97">
        <v>6471</v>
      </c>
      <c r="C97" s="112" t="s">
        <v>159</v>
      </c>
      <c r="D97" s="112" t="s">
        <v>120</v>
      </c>
      <c r="E97">
        <v>1090</v>
      </c>
      <c r="F97">
        <v>1088</v>
      </c>
      <c r="G97">
        <v>900</v>
      </c>
      <c r="H97" s="112" t="s">
        <v>83</v>
      </c>
      <c r="I97">
        <v>6473</v>
      </c>
      <c r="J97" s="112" t="s">
        <v>154</v>
      </c>
      <c r="K97" s="112" t="s">
        <v>120</v>
      </c>
      <c r="L97">
        <v>1375</v>
      </c>
      <c r="M97">
        <v>1381</v>
      </c>
      <c r="N97">
        <v>700</v>
      </c>
      <c r="O97" s="112" t="s">
        <v>81</v>
      </c>
      <c r="P97">
        <v>0.94272725897062004</v>
      </c>
      <c r="Q97">
        <v>0.95291942596938495</v>
      </c>
      <c r="R97">
        <v>0.28598676493220199</v>
      </c>
      <c r="S97" s="20">
        <v>1.7120885673949801E-2</v>
      </c>
      <c r="T97">
        <v>1.9551449391454601</v>
      </c>
      <c r="U97">
        <v>1.9551449391454601</v>
      </c>
      <c r="V97">
        <v>3.89</v>
      </c>
      <c r="W97">
        <v>1.29</v>
      </c>
      <c r="X97">
        <v>43650</v>
      </c>
      <c r="Y97">
        <v>3358</v>
      </c>
      <c r="Z97">
        <v>0.16</v>
      </c>
      <c r="AA97">
        <v>13</v>
      </c>
      <c r="AB97">
        <v>8</v>
      </c>
      <c r="AC97">
        <v>5</v>
      </c>
      <c r="AD97">
        <v>61.54</v>
      </c>
      <c r="AE97">
        <v>16</v>
      </c>
      <c r="AF97">
        <v>1</v>
      </c>
      <c r="AG97">
        <v>1</v>
      </c>
      <c r="AH97">
        <v>11</v>
      </c>
    </row>
    <row r="98" spans="1:34">
      <c r="A98" s="108">
        <v>26</v>
      </c>
      <c r="B98">
        <v>9746</v>
      </c>
      <c r="C98" s="112" t="s">
        <v>1327</v>
      </c>
      <c r="D98" s="112" t="s">
        <v>100</v>
      </c>
      <c r="E98">
        <v>5290</v>
      </c>
      <c r="F98">
        <v>5270</v>
      </c>
      <c r="G98">
        <v>200</v>
      </c>
      <c r="H98" s="112" t="s">
        <v>83</v>
      </c>
      <c r="I98">
        <v>9759</v>
      </c>
      <c r="J98" s="112" t="s">
        <v>1053</v>
      </c>
      <c r="K98" s="112" t="s">
        <v>100</v>
      </c>
      <c r="L98">
        <v>3625</v>
      </c>
      <c r="M98">
        <v>3555</v>
      </c>
      <c r="N98">
        <v>300</v>
      </c>
      <c r="O98" s="112" t="s">
        <v>81</v>
      </c>
      <c r="P98">
        <v>0.91167257914014499</v>
      </c>
      <c r="Q98">
        <v>0.94560201688311996</v>
      </c>
      <c r="R98" s="20">
        <v>9.3041315389003204E-2</v>
      </c>
      <c r="S98">
        <v>8.3597610438550295E-4</v>
      </c>
      <c r="T98">
        <v>1.2818290829202299</v>
      </c>
      <c r="U98">
        <v>1.2818290829202299</v>
      </c>
      <c r="V98">
        <v>3.25</v>
      </c>
      <c r="W98">
        <v>1.19</v>
      </c>
      <c r="X98">
        <v>40347</v>
      </c>
      <c r="Y98">
        <v>2882</v>
      </c>
      <c r="Z98">
        <v>0.18</v>
      </c>
      <c r="AA98">
        <v>14</v>
      </c>
      <c r="AB98">
        <v>8</v>
      </c>
      <c r="AC98">
        <v>6</v>
      </c>
      <c r="AD98">
        <v>57.14</v>
      </c>
      <c r="AE98">
        <v>14</v>
      </c>
      <c r="AF98">
        <v>5</v>
      </c>
      <c r="AG98">
        <v>2</v>
      </c>
      <c r="AH98">
        <v>7</v>
      </c>
    </row>
    <row r="99" spans="1:34">
      <c r="A99" s="108">
        <v>132</v>
      </c>
      <c r="B99">
        <v>5471</v>
      </c>
      <c r="C99" s="112" t="s">
        <v>328</v>
      </c>
      <c r="D99" s="112" t="s">
        <v>113</v>
      </c>
      <c r="E99">
        <v>5010</v>
      </c>
      <c r="F99">
        <v>5010</v>
      </c>
      <c r="G99">
        <v>200</v>
      </c>
      <c r="H99" s="112" t="s">
        <v>81</v>
      </c>
      <c r="I99">
        <v>7251</v>
      </c>
      <c r="J99" s="112" t="s">
        <v>986</v>
      </c>
      <c r="K99" s="112" t="s">
        <v>105</v>
      </c>
      <c r="L99">
        <v>2570</v>
      </c>
      <c r="M99">
        <v>2568</v>
      </c>
      <c r="N99">
        <v>400</v>
      </c>
      <c r="O99" s="112" t="s">
        <v>83</v>
      </c>
      <c r="P99">
        <v>0.92017102121489502</v>
      </c>
      <c r="Q99">
        <v>0.91071792672401797</v>
      </c>
      <c r="R99">
        <v>5.8003227744505302E-2</v>
      </c>
      <c r="S99" s="112">
        <v>3.6809594695417498E-3</v>
      </c>
      <c r="T99">
        <v>-1.1266120039886001</v>
      </c>
      <c r="U99">
        <v>1.1266120039886001</v>
      </c>
      <c r="V99">
        <v>-20.98</v>
      </c>
      <c r="W99">
        <v>2.5099999999999998</v>
      </c>
      <c r="X99">
        <v>35729</v>
      </c>
      <c r="Y99">
        <v>2233</v>
      </c>
      <c r="Z99">
        <v>0</v>
      </c>
      <c r="AA99">
        <v>16</v>
      </c>
      <c r="AB99">
        <v>10</v>
      </c>
      <c r="AC99">
        <v>6</v>
      </c>
      <c r="AD99">
        <v>62.5</v>
      </c>
      <c r="AE99">
        <v>14</v>
      </c>
      <c r="AF99">
        <v>4</v>
      </c>
      <c r="AG99">
        <v>3</v>
      </c>
      <c r="AH99">
        <v>9</v>
      </c>
    </row>
    <row r="100" spans="1:34">
      <c r="A100" s="108">
        <v>55</v>
      </c>
      <c r="B100">
        <v>5991</v>
      </c>
      <c r="C100" s="112" t="s">
        <v>136</v>
      </c>
      <c r="D100" s="112" t="s">
        <v>137</v>
      </c>
      <c r="E100">
        <v>1021</v>
      </c>
      <c r="F100">
        <v>1021</v>
      </c>
      <c r="G100">
        <v>1000</v>
      </c>
      <c r="H100" s="112" t="s">
        <v>83</v>
      </c>
      <c r="I100">
        <v>6752</v>
      </c>
      <c r="J100" s="112" t="s">
        <v>126</v>
      </c>
      <c r="K100" s="112" t="s">
        <v>108</v>
      </c>
      <c r="L100">
        <v>1059</v>
      </c>
      <c r="M100">
        <v>1058</v>
      </c>
      <c r="N100">
        <v>1000</v>
      </c>
      <c r="O100" s="112" t="s">
        <v>81</v>
      </c>
      <c r="P100">
        <v>0.966397508004329</v>
      </c>
      <c r="Q100">
        <v>0.93463636695701302</v>
      </c>
      <c r="R100">
        <v>3.7026776576019299E-2</v>
      </c>
      <c r="S100">
        <v>0.14541795366937399</v>
      </c>
      <c r="T100">
        <v>0.92648898412035396</v>
      </c>
      <c r="U100">
        <v>0.92648898412035396</v>
      </c>
      <c r="V100">
        <v>2.2200000000000002</v>
      </c>
      <c r="W100">
        <v>3.5</v>
      </c>
      <c r="X100">
        <v>34237</v>
      </c>
      <c r="Y100">
        <v>2014</v>
      </c>
      <c r="Z100">
        <v>0.09</v>
      </c>
      <c r="AA100">
        <v>17</v>
      </c>
      <c r="AB100">
        <v>9</v>
      </c>
      <c r="AC100">
        <v>8</v>
      </c>
      <c r="AD100">
        <v>52.94</v>
      </c>
      <c r="AE100">
        <v>12</v>
      </c>
      <c r="AF100">
        <v>7</v>
      </c>
      <c r="AG100">
        <v>6</v>
      </c>
      <c r="AH100">
        <v>4</v>
      </c>
    </row>
    <row r="101" spans="1:34">
      <c r="A101" s="108">
        <v>47</v>
      </c>
      <c r="B101">
        <v>7453</v>
      </c>
      <c r="C101" s="112" t="s">
        <v>125</v>
      </c>
      <c r="D101" s="112" t="s">
        <v>116</v>
      </c>
      <c r="E101">
        <v>2559</v>
      </c>
      <c r="F101">
        <v>2543</v>
      </c>
      <c r="G101">
        <v>400</v>
      </c>
      <c r="H101" s="112" t="s">
        <v>83</v>
      </c>
      <c r="I101">
        <v>8267</v>
      </c>
      <c r="J101" s="112" t="s">
        <v>329</v>
      </c>
      <c r="K101" s="112" t="s">
        <v>116</v>
      </c>
      <c r="L101">
        <v>2260</v>
      </c>
      <c r="M101">
        <v>2250</v>
      </c>
      <c r="N101">
        <v>500</v>
      </c>
      <c r="O101" s="112" t="s">
        <v>81</v>
      </c>
      <c r="P101">
        <v>0.924931222363232</v>
      </c>
      <c r="Q101">
        <v>0.93857279948430505</v>
      </c>
      <c r="R101">
        <v>4.7012425516962497E-2</v>
      </c>
      <c r="S101">
        <v>3.9129598489012398E-3</v>
      </c>
      <c r="T101">
        <v>1.34800723656643</v>
      </c>
      <c r="U101">
        <v>1.34800723656643</v>
      </c>
      <c r="V101">
        <v>6.57</v>
      </c>
      <c r="W101">
        <v>10.6</v>
      </c>
      <c r="X101">
        <v>32083</v>
      </c>
      <c r="Y101">
        <v>1689</v>
      </c>
      <c r="Z101">
        <v>0.15</v>
      </c>
      <c r="AA101">
        <v>19</v>
      </c>
      <c r="AB101">
        <v>9</v>
      </c>
      <c r="AC101">
        <v>10</v>
      </c>
      <c r="AD101">
        <v>47.37</v>
      </c>
      <c r="AE101">
        <v>12</v>
      </c>
      <c r="AF101">
        <v>6</v>
      </c>
      <c r="AG101">
        <v>3</v>
      </c>
      <c r="AH101">
        <v>10</v>
      </c>
    </row>
    <row r="102" spans="1:34">
      <c r="A102" s="108">
        <v>8</v>
      </c>
      <c r="B102">
        <v>3635</v>
      </c>
      <c r="C102" s="112" t="s">
        <v>106</v>
      </c>
      <c r="D102" s="112" t="s">
        <v>100</v>
      </c>
      <c r="E102">
        <v>2727</v>
      </c>
      <c r="F102">
        <v>2709</v>
      </c>
      <c r="G102">
        <v>400</v>
      </c>
      <c r="H102" s="112" t="s">
        <v>83</v>
      </c>
      <c r="I102">
        <v>6702</v>
      </c>
      <c r="J102" s="112" t="s">
        <v>357</v>
      </c>
      <c r="K102" s="112" t="s">
        <v>108</v>
      </c>
      <c r="L102">
        <v>10200</v>
      </c>
      <c r="M102">
        <v>10055</v>
      </c>
      <c r="N102">
        <v>100</v>
      </c>
      <c r="O102" s="112" t="s">
        <v>81</v>
      </c>
      <c r="P102">
        <v>0.95451224326531503</v>
      </c>
      <c r="Q102">
        <v>0.95891174523413303</v>
      </c>
      <c r="R102">
        <v>0.31289493722591799</v>
      </c>
      <c r="S102" s="20">
        <v>3.1537384503600899E-2</v>
      </c>
      <c r="T102">
        <v>0.88134120706053998</v>
      </c>
      <c r="U102">
        <v>0.88134120706053998</v>
      </c>
      <c r="V102">
        <v>1.64</v>
      </c>
      <c r="W102">
        <v>7.77</v>
      </c>
      <c r="X102">
        <v>31031</v>
      </c>
      <c r="Y102">
        <v>2586</v>
      </c>
      <c r="Z102">
        <v>0.16</v>
      </c>
      <c r="AA102">
        <v>12</v>
      </c>
      <c r="AB102">
        <v>7</v>
      </c>
      <c r="AC102">
        <v>5</v>
      </c>
      <c r="AD102">
        <v>58.33</v>
      </c>
      <c r="AE102">
        <v>13</v>
      </c>
      <c r="AF102">
        <v>6</v>
      </c>
      <c r="AG102">
        <v>1</v>
      </c>
      <c r="AH102">
        <v>5</v>
      </c>
    </row>
    <row r="103" spans="1:34">
      <c r="A103" s="108">
        <v>99</v>
      </c>
      <c r="B103">
        <v>6702</v>
      </c>
      <c r="C103" s="112" t="s">
        <v>357</v>
      </c>
      <c r="D103" s="112" t="s">
        <v>108</v>
      </c>
      <c r="E103">
        <v>10200</v>
      </c>
      <c r="F103">
        <v>10055</v>
      </c>
      <c r="G103">
        <v>100</v>
      </c>
      <c r="H103" s="112" t="s">
        <v>81</v>
      </c>
      <c r="I103">
        <v>6755</v>
      </c>
      <c r="J103" s="112" t="s">
        <v>1301</v>
      </c>
      <c r="K103" s="112" t="s">
        <v>108</v>
      </c>
      <c r="L103">
        <v>2362</v>
      </c>
      <c r="M103">
        <v>2350</v>
      </c>
      <c r="N103">
        <v>400</v>
      </c>
      <c r="O103" s="112" t="s">
        <v>83</v>
      </c>
      <c r="P103">
        <v>0.91856394254349505</v>
      </c>
      <c r="Q103">
        <v>0.91824877563793195</v>
      </c>
      <c r="R103" s="112">
        <v>2.69666148847174E-2</v>
      </c>
      <c r="S103" s="112">
        <v>2.50447757778944E-2</v>
      </c>
      <c r="T103">
        <v>-3.1525525678291602</v>
      </c>
      <c r="U103">
        <v>3.1525525678291602</v>
      </c>
      <c r="V103">
        <v>-12.35</v>
      </c>
      <c r="W103">
        <v>6.51</v>
      </c>
      <c r="X103">
        <v>29303</v>
      </c>
      <c r="Y103">
        <v>1831</v>
      </c>
      <c r="Z103">
        <v>0.1</v>
      </c>
      <c r="AA103">
        <v>16</v>
      </c>
      <c r="AB103">
        <v>7</v>
      </c>
      <c r="AC103">
        <v>9</v>
      </c>
      <c r="AD103">
        <v>43.75</v>
      </c>
      <c r="AE103">
        <v>13</v>
      </c>
      <c r="AF103">
        <v>5</v>
      </c>
      <c r="AG103">
        <v>5</v>
      </c>
      <c r="AH103">
        <v>6</v>
      </c>
    </row>
    <row r="104" spans="1:34">
      <c r="A104" s="108">
        <v>59</v>
      </c>
      <c r="B104">
        <v>6588</v>
      </c>
      <c r="C104" s="112" t="s">
        <v>981</v>
      </c>
      <c r="D104" s="112" t="s">
        <v>108</v>
      </c>
      <c r="E104">
        <v>4625</v>
      </c>
      <c r="F104">
        <v>4530</v>
      </c>
      <c r="G104">
        <v>100</v>
      </c>
      <c r="H104" s="112" t="s">
        <v>83</v>
      </c>
      <c r="I104">
        <v>9706</v>
      </c>
      <c r="J104" s="112" t="s">
        <v>362</v>
      </c>
      <c r="K104" s="112" t="s">
        <v>135</v>
      </c>
      <c r="L104">
        <v>6000</v>
      </c>
      <c r="M104">
        <v>6020</v>
      </c>
      <c r="N104">
        <v>100</v>
      </c>
      <c r="O104" s="112" t="s">
        <v>81</v>
      </c>
      <c r="P104">
        <v>0.97197631505201998</v>
      </c>
      <c r="Q104">
        <v>0.93172548151716705</v>
      </c>
      <c r="R104">
        <v>7.2797691856133599E-3</v>
      </c>
      <c r="S104" s="20">
        <v>6.1282676321059597E-2</v>
      </c>
      <c r="T104">
        <v>0.49261177339893802</v>
      </c>
      <c r="U104">
        <v>0.49261177339893802</v>
      </c>
      <c r="V104">
        <v>2.14</v>
      </c>
      <c r="W104">
        <v>24.75</v>
      </c>
      <c r="X104">
        <v>26767</v>
      </c>
      <c r="Y104">
        <v>2059</v>
      </c>
      <c r="Z104">
        <v>0.15</v>
      </c>
      <c r="AA104">
        <v>13</v>
      </c>
      <c r="AB104">
        <v>8</v>
      </c>
      <c r="AC104">
        <v>5</v>
      </c>
      <c r="AD104">
        <v>61.54</v>
      </c>
      <c r="AE104">
        <v>11</v>
      </c>
      <c r="AF104">
        <v>5</v>
      </c>
      <c r="AG104">
        <v>4</v>
      </c>
      <c r="AH104">
        <v>4</v>
      </c>
    </row>
    <row r="105" spans="1:34">
      <c r="A105" s="108">
        <v>70</v>
      </c>
      <c r="B105">
        <v>4519</v>
      </c>
      <c r="C105" s="112" t="s">
        <v>980</v>
      </c>
      <c r="D105" s="112" t="s">
        <v>157</v>
      </c>
      <c r="E105">
        <v>10025</v>
      </c>
      <c r="F105">
        <v>10040</v>
      </c>
      <c r="G105">
        <v>100</v>
      </c>
      <c r="H105" s="112" t="s">
        <v>83</v>
      </c>
      <c r="I105">
        <v>8425</v>
      </c>
      <c r="J105" s="112" t="s">
        <v>344</v>
      </c>
      <c r="K105" s="112" t="s">
        <v>324</v>
      </c>
      <c r="L105">
        <v>3355</v>
      </c>
      <c r="M105">
        <v>3350</v>
      </c>
      <c r="N105">
        <v>300</v>
      </c>
      <c r="O105" s="112" t="s">
        <v>81</v>
      </c>
      <c r="P105">
        <v>0.93738743825965698</v>
      </c>
      <c r="Q105">
        <v>0.929599691854048</v>
      </c>
      <c r="R105" s="112">
        <v>2.4400361172414699E-2</v>
      </c>
      <c r="S105" s="112">
        <v>2.1061250552854401E-2</v>
      </c>
      <c r="T105">
        <v>1.2083560150647401</v>
      </c>
      <c r="U105">
        <v>1.2083560150647401</v>
      </c>
      <c r="V105">
        <v>4.8099999999999996</v>
      </c>
      <c r="W105">
        <v>0.1</v>
      </c>
      <c r="X105">
        <v>25042</v>
      </c>
      <c r="Y105">
        <v>1926</v>
      </c>
      <c r="Z105">
        <v>0.5</v>
      </c>
      <c r="AA105">
        <v>13</v>
      </c>
      <c r="AB105">
        <v>8</v>
      </c>
      <c r="AC105">
        <v>5</v>
      </c>
      <c r="AD105">
        <v>61.54</v>
      </c>
      <c r="AE105">
        <v>14</v>
      </c>
      <c r="AF105">
        <v>6</v>
      </c>
      <c r="AG105">
        <v>3</v>
      </c>
      <c r="AH105">
        <v>4</v>
      </c>
    </row>
    <row r="106" spans="1:34">
      <c r="A106" s="108">
        <v>63</v>
      </c>
      <c r="B106">
        <v>6988</v>
      </c>
      <c r="C106" s="112" t="s">
        <v>160</v>
      </c>
      <c r="D106" s="112" t="s">
        <v>82</v>
      </c>
      <c r="E106">
        <v>6350</v>
      </c>
      <c r="F106">
        <v>6410</v>
      </c>
      <c r="G106">
        <v>100</v>
      </c>
      <c r="H106" s="112" t="s">
        <v>81</v>
      </c>
      <c r="I106">
        <v>6995</v>
      </c>
      <c r="J106" s="112" t="s">
        <v>112</v>
      </c>
      <c r="K106" s="112" t="s">
        <v>105</v>
      </c>
      <c r="L106">
        <v>2258</v>
      </c>
      <c r="M106">
        <v>2263</v>
      </c>
      <c r="N106">
        <v>300</v>
      </c>
      <c r="O106" s="112" t="s">
        <v>83</v>
      </c>
      <c r="P106">
        <v>0.94384256358750096</v>
      </c>
      <c r="Q106">
        <v>0.93086715174588097</v>
      </c>
      <c r="R106">
        <v>0.15981911480701899</v>
      </c>
      <c r="S106" s="20">
        <v>7.4025135353147304E-3</v>
      </c>
      <c r="T106">
        <v>-1.00212324050803</v>
      </c>
      <c r="U106">
        <v>1.00212324050803</v>
      </c>
      <c r="V106">
        <v>-2.4900000000000002</v>
      </c>
      <c r="W106">
        <v>5.91</v>
      </c>
      <c r="X106">
        <v>22867</v>
      </c>
      <c r="Y106">
        <v>2287</v>
      </c>
      <c r="Z106">
        <v>0.11</v>
      </c>
      <c r="AA106">
        <v>10</v>
      </c>
      <c r="AB106">
        <v>7</v>
      </c>
      <c r="AC106">
        <v>3</v>
      </c>
      <c r="AD106">
        <v>70</v>
      </c>
      <c r="AE106">
        <v>13</v>
      </c>
      <c r="AF106">
        <v>2</v>
      </c>
      <c r="AG106">
        <v>2</v>
      </c>
      <c r="AH106">
        <v>6</v>
      </c>
    </row>
    <row r="107" spans="1:34">
      <c r="A107" s="108">
        <v>153</v>
      </c>
      <c r="B107">
        <v>7259</v>
      </c>
      <c r="C107" s="112" t="s">
        <v>49</v>
      </c>
      <c r="D107" s="112" t="s">
        <v>105</v>
      </c>
      <c r="E107">
        <v>4260</v>
      </c>
      <c r="F107">
        <v>4265</v>
      </c>
      <c r="G107">
        <v>200</v>
      </c>
      <c r="H107" s="112" t="s">
        <v>83</v>
      </c>
      <c r="I107">
        <v>8316</v>
      </c>
      <c r="J107" s="112" t="s">
        <v>1302</v>
      </c>
      <c r="K107" s="112" t="s">
        <v>103</v>
      </c>
      <c r="L107">
        <v>4029</v>
      </c>
      <c r="M107">
        <v>4056</v>
      </c>
      <c r="N107">
        <v>200</v>
      </c>
      <c r="O107" s="112" t="s">
        <v>81</v>
      </c>
      <c r="P107">
        <v>0.912052058935097</v>
      </c>
      <c r="Q107">
        <v>0.90494743619727902</v>
      </c>
      <c r="R107" s="20">
        <v>0.216114935868844</v>
      </c>
      <c r="S107" s="112">
        <v>4.5522116366748704E-3</v>
      </c>
      <c r="T107">
        <v>0.93506317872290401</v>
      </c>
      <c r="U107">
        <v>0.93506317872290401</v>
      </c>
      <c r="V107">
        <v>5.89</v>
      </c>
      <c r="W107">
        <v>4.9000000000000004</v>
      </c>
      <c r="X107">
        <v>16481</v>
      </c>
      <c r="Y107">
        <v>2747</v>
      </c>
      <c r="Z107">
        <v>0.23</v>
      </c>
      <c r="AA107">
        <v>6</v>
      </c>
      <c r="AB107">
        <v>3</v>
      </c>
      <c r="AC107">
        <v>3</v>
      </c>
      <c r="AD107">
        <v>50</v>
      </c>
      <c r="AE107">
        <v>12</v>
      </c>
      <c r="AF107">
        <v>3</v>
      </c>
      <c r="AG107">
        <v>1</v>
      </c>
      <c r="AH107">
        <v>2</v>
      </c>
    </row>
    <row r="108" spans="1:34">
      <c r="A108" s="108">
        <v>129</v>
      </c>
      <c r="B108">
        <v>5991</v>
      </c>
      <c r="C108" s="112" t="s">
        <v>136</v>
      </c>
      <c r="D108" s="112" t="s">
        <v>137</v>
      </c>
      <c r="E108">
        <v>1021</v>
      </c>
      <c r="F108">
        <v>1021</v>
      </c>
      <c r="G108">
        <v>900</v>
      </c>
      <c r="H108" s="112" t="s">
        <v>83</v>
      </c>
      <c r="I108">
        <v>7327</v>
      </c>
      <c r="J108" s="112" t="s">
        <v>162</v>
      </c>
      <c r="K108" s="112" t="s">
        <v>103</v>
      </c>
      <c r="L108">
        <v>3095</v>
      </c>
      <c r="M108">
        <v>3140</v>
      </c>
      <c r="N108">
        <v>300</v>
      </c>
      <c r="O108" s="112" t="s">
        <v>81</v>
      </c>
      <c r="P108">
        <v>0.96260724293773603</v>
      </c>
      <c r="Q108">
        <v>0.91097438339078296</v>
      </c>
      <c r="R108">
        <v>1.3055140497727699E-3</v>
      </c>
      <c r="S108" s="112">
        <v>5.5807798171897002E-2</v>
      </c>
      <c r="T108">
        <v>0.65887405228746498</v>
      </c>
      <c r="U108">
        <v>0.65887405228746498</v>
      </c>
      <c r="V108">
        <v>2.2599999999999998</v>
      </c>
      <c r="W108">
        <v>2.4500000000000002</v>
      </c>
      <c r="X108">
        <v>15458</v>
      </c>
      <c r="Y108">
        <v>5153</v>
      </c>
      <c r="Z108">
        <v>0.2</v>
      </c>
      <c r="AA108">
        <v>3</v>
      </c>
      <c r="AB108">
        <v>2</v>
      </c>
      <c r="AC108">
        <v>1</v>
      </c>
      <c r="AD108">
        <v>66.67</v>
      </c>
      <c r="AE108">
        <v>16</v>
      </c>
      <c r="AF108">
        <v>0</v>
      </c>
      <c r="AG108">
        <v>0</v>
      </c>
      <c r="AH108">
        <v>3</v>
      </c>
    </row>
    <row r="109" spans="1:34">
      <c r="A109" s="108">
        <v>103</v>
      </c>
      <c r="B109">
        <v>4204</v>
      </c>
      <c r="C109" s="112" t="s">
        <v>349</v>
      </c>
      <c r="D109" s="112" t="s">
        <v>82</v>
      </c>
      <c r="E109">
        <v>1941</v>
      </c>
      <c r="F109">
        <v>1926</v>
      </c>
      <c r="G109">
        <v>600</v>
      </c>
      <c r="H109" s="112" t="s">
        <v>81</v>
      </c>
      <c r="I109">
        <v>5393</v>
      </c>
      <c r="J109" s="112" t="s">
        <v>358</v>
      </c>
      <c r="K109" s="112" t="s">
        <v>127</v>
      </c>
      <c r="L109">
        <v>2749</v>
      </c>
      <c r="M109">
        <v>2736</v>
      </c>
      <c r="N109">
        <v>400</v>
      </c>
      <c r="O109" s="112" t="s">
        <v>83</v>
      </c>
      <c r="P109">
        <v>0.94124635243265697</v>
      </c>
      <c r="Q109">
        <v>0.91710072873819704</v>
      </c>
      <c r="R109">
        <v>0.187867168250095</v>
      </c>
      <c r="S109" s="20">
        <v>1.59156197701656E-2</v>
      </c>
      <c r="T109">
        <v>-1.66643453938918</v>
      </c>
      <c r="U109">
        <v>1.66643453938918</v>
      </c>
      <c r="V109">
        <v>-17.07</v>
      </c>
      <c r="W109">
        <v>5.59</v>
      </c>
      <c r="X109">
        <v>13258</v>
      </c>
      <c r="Y109">
        <v>698</v>
      </c>
      <c r="Z109">
        <v>0.02</v>
      </c>
      <c r="AA109">
        <v>19</v>
      </c>
      <c r="AB109">
        <v>8</v>
      </c>
      <c r="AC109">
        <v>11</v>
      </c>
      <c r="AD109">
        <v>42.11</v>
      </c>
      <c r="AE109">
        <v>13</v>
      </c>
      <c r="AF109">
        <v>6</v>
      </c>
      <c r="AG109">
        <v>4</v>
      </c>
      <c r="AH109">
        <v>9</v>
      </c>
    </row>
    <row r="110" spans="1:34">
      <c r="A110" s="108">
        <v>116</v>
      </c>
      <c r="B110">
        <v>3291</v>
      </c>
      <c r="C110" s="112" t="s">
        <v>134</v>
      </c>
      <c r="D110" s="112" t="s">
        <v>135</v>
      </c>
      <c r="E110">
        <v>1943</v>
      </c>
      <c r="F110">
        <v>1921</v>
      </c>
      <c r="G110">
        <v>500</v>
      </c>
      <c r="H110" s="112" t="s">
        <v>81</v>
      </c>
      <c r="I110">
        <v>8601</v>
      </c>
      <c r="J110" s="112" t="s">
        <v>47</v>
      </c>
      <c r="K110" s="112" t="s">
        <v>985</v>
      </c>
      <c r="L110">
        <v>556.79999999999995</v>
      </c>
      <c r="M110">
        <v>551.29999999999995</v>
      </c>
      <c r="N110">
        <v>1700</v>
      </c>
      <c r="O110" s="112" t="s">
        <v>83</v>
      </c>
      <c r="P110">
        <v>0.95871955540839904</v>
      </c>
      <c r="Q110">
        <v>0.91459547866055901</v>
      </c>
      <c r="R110" s="20">
        <v>1.01520791458365E-4</v>
      </c>
      <c r="S110">
        <v>0.21119479080687301</v>
      </c>
      <c r="T110">
        <v>-1.5087618559689799</v>
      </c>
      <c r="U110">
        <v>1.5087618559689799</v>
      </c>
      <c r="V110">
        <v>-2.23</v>
      </c>
      <c r="W110">
        <v>2.42</v>
      </c>
      <c r="X110">
        <v>12422</v>
      </c>
      <c r="Y110">
        <v>731</v>
      </c>
      <c r="Z110">
        <v>0.05</v>
      </c>
      <c r="AA110">
        <v>17</v>
      </c>
      <c r="AB110">
        <v>10</v>
      </c>
      <c r="AC110">
        <v>7</v>
      </c>
      <c r="AD110">
        <v>58.82</v>
      </c>
      <c r="AE110">
        <v>15</v>
      </c>
      <c r="AF110">
        <v>3</v>
      </c>
      <c r="AG110">
        <v>1</v>
      </c>
      <c r="AH110">
        <v>13</v>
      </c>
    </row>
    <row r="111" spans="1:34">
      <c r="A111" s="108">
        <v>75</v>
      </c>
      <c r="B111">
        <v>5991</v>
      </c>
      <c r="C111" s="112" t="s">
        <v>136</v>
      </c>
      <c r="D111" s="112" t="s">
        <v>137</v>
      </c>
      <c r="E111">
        <v>1021</v>
      </c>
      <c r="F111">
        <v>1021</v>
      </c>
      <c r="G111">
        <v>1000</v>
      </c>
      <c r="H111" s="112" t="s">
        <v>83</v>
      </c>
      <c r="I111">
        <v>8002</v>
      </c>
      <c r="J111" s="112" t="s">
        <v>51</v>
      </c>
      <c r="K111" s="112" t="s">
        <v>122</v>
      </c>
      <c r="L111">
        <v>834.9</v>
      </c>
      <c r="M111">
        <v>837.7</v>
      </c>
      <c r="N111">
        <v>1200</v>
      </c>
      <c r="O111" s="112" t="s">
        <v>81</v>
      </c>
      <c r="P111">
        <v>0.96543541879859396</v>
      </c>
      <c r="Q111">
        <v>0.927222474303532</v>
      </c>
      <c r="R111" s="112">
        <v>0.30252261135299602</v>
      </c>
      <c r="S111">
        <v>2.3864863283444698E-2</v>
      </c>
      <c r="T111">
        <v>1.4177446439668699</v>
      </c>
      <c r="U111">
        <v>1.4177446439668699</v>
      </c>
      <c r="V111">
        <v>4.6100000000000003</v>
      </c>
      <c r="W111">
        <v>1.54</v>
      </c>
      <c r="X111">
        <v>10934</v>
      </c>
      <c r="Y111">
        <v>643</v>
      </c>
      <c r="Z111">
        <v>0.05</v>
      </c>
      <c r="AA111">
        <v>17</v>
      </c>
      <c r="AB111">
        <v>8</v>
      </c>
      <c r="AC111">
        <v>9</v>
      </c>
      <c r="AD111">
        <v>47.06</v>
      </c>
      <c r="AE111">
        <v>14</v>
      </c>
      <c r="AF111">
        <v>5</v>
      </c>
      <c r="AG111">
        <v>3</v>
      </c>
      <c r="AH111">
        <v>9</v>
      </c>
    </row>
    <row r="112" spans="1:34">
      <c r="A112" s="108">
        <v>90</v>
      </c>
      <c r="B112">
        <v>6755</v>
      </c>
      <c r="C112" s="112" t="s">
        <v>1301</v>
      </c>
      <c r="D112" s="112" t="s">
        <v>108</v>
      </c>
      <c r="E112">
        <v>2362</v>
      </c>
      <c r="F112">
        <v>2350</v>
      </c>
      <c r="G112">
        <v>400</v>
      </c>
      <c r="H112" s="112" t="s">
        <v>83</v>
      </c>
      <c r="I112">
        <v>9934</v>
      </c>
      <c r="J112" s="112" t="s">
        <v>976</v>
      </c>
      <c r="K112" s="112" t="s">
        <v>122</v>
      </c>
      <c r="L112">
        <v>2850</v>
      </c>
      <c r="M112">
        <v>2830</v>
      </c>
      <c r="N112">
        <v>300</v>
      </c>
      <c r="O112" s="112" t="s">
        <v>81</v>
      </c>
      <c r="P112">
        <v>0.95163591519959201</v>
      </c>
      <c r="Q112">
        <v>0.92172391638649498</v>
      </c>
      <c r="R112">
        <v>1.64124693509669E-3</v>
      </c>
      <c r="S112">
        <v>1.19465041394132E-3</v>
      </c>
      <c r="T112">
        <v>1.97069546350646</v>
      </c>
      <c r="U112">
        <v>1.97069546350646</v>
      </c>
      <c r="V112">
        <v>8.25</v>
      </c>
      <c r="W112">
        <v>10.72</v>
      </c>
      <c r="X112">
        <v>6683</v>
      </c>
      <c r="Y112">
        <v>446</v>
      </c>
      <c r="Z112">
        <v>0.03</v>
      </c>
      <c r="AA112">
        <v>15</v>
      </c>
      <c r="AB112">
        <v>7</v>
      </c>
      <c r="AC112">
        <v>8</v>
      </c>
      <c r="AD112">
        <v>46.67</v>
      </c>
      <c r="AE112">
        <v>14</v>
      </c>
      <c r="AF112">
        <v>4</v>
      </c>
      <c r="AG112">
        <v>2</v>
      </c>
      <c r="AH112">
        <v>9</v>
      </c>
    </row>
    <row r="113" spans="1:34">
      <c r="A113" s="108">
        <v>115</v>
      </c>
      <c r="B113">
        <v>6448</v>
      </c>
      <c r="C113" s="112" t="s">
        <v>987</v>
      </c>
      <c r="D113" s="112" t="s">
        <v>108</v>
      </c>
      <c r="E113">
        <v>2335</v>
      </c>
      <c r="F113">
        <v>2339</v>
      </c>
      <c r="G113">
        <v>400</v>
      </c>
      <c r="H113" s="112" t="s">
        <v>83</v>
      </c>
      <c r="I113">
        <v>6965</v>
      </c>
      <c r="J113" s="112" t="s">
        <v>988</v>
      </c>
      <c r="K113" s="112" t="s">
        <v>108</v>
      </c>
      <c r="L113">
        <v>4610</v>
      </c>
      <c r="M113">
        <v>4630</v>
      </c>
      <c r="N113">
        <v>200</v>
      </c>
      <c r="O113" s="112" t="s">
        <v>81</v>
      </c>
      <c r="P113">
        <v>0.94852201642225797</v>
      </c>
      <c r="Q113">
        <v>0.91461224259606999</v>
      </c>
      <c r="R113">
        <v>1.9452833097183202E-2</v>
      </c>
      <c r="S113">
        <v>2.2771853327597701E-2</v>
      </c>
      <c r="T113">
        <v>0.97396323801768103</v>
      </c>
      <c r="U113">
        <v>0.97396323801768103</v>
      </c>
      <c r="V113">
        <v>2.19</v>
      </c>
      <c r="W113">
        <v>1.04</v>
      </c>
      <c r="X113">
        <v>5132</v>
      </c>
      <c r="Y113">
        <v>321</v>
      </c>
      <c r="Z113">
        <v>0.05</v>
      </c>
      <c r="AA113">
        <v>16</v>
      </c>
      <c r="AB113">
        <v>9</v>
      </c>
      <c r="AC113">
        <v>7</v>
      </c>
      <c r="AD113">
        <v>56.25</v>
      </c>
      <c r="AE113">
        <v>13</v>
      </c>
      <c r="AF113">
        <v>4</v>
      </c>
      <c r="AG113">
        <v>4</v>
      </c>
      <c r="AH113">
        <v>8</v>
      </c>
    </row>
    <row r="114" spans="1:34">
      <c r="A114" s="108">
        <v>60</v>
      </c>
      <c r="B114">
        <v>5233</v>
      </c>
      <c r="C114" s="112" t="s">
        <v>164</v>
      </c>
      <c r="D114" s="112" t="s">
        <v>127</v>
      </c>
      <c r="E114">
        <v>3410</v>
      </c>
      <c r="F114">
        <v>3355</v>
      </c>
      <c r="G114">
        <v>300</v>
      </c>
      <c r="H114" s="112" t="s">
        <v>81</v>
      </c>
      <c r="I114">
        <v>7327</v>
      </c>
      <c r="J114" s="112" t="s">
        <v>162</v>
      </c>
      <c r="K114" s="112" t="s">
        <v>103</v>
      </c>
      <c r="L114">
        <v>3095</v>
      </c>
      <c r="M114">
        <v>3140</v>
      </c>
      <c r="N114">
        <v>300</v>
      </c>
      <c r="O114" s="112" t="s">
        <v>83</v>
      </c>
      <c r="P114">
        <v>0.91189941913605899</v>
      </c>
      <c r="Q114">
        <v>0.93150767200176698</v>
      </c>
      <c r="R114">
        <v>0.207471288514087</v>
      </c>
      <c r="S114">
        <v>3.8814123378952698E-3</v>
      </c>
      <c r="T114">
        <v>-1.1106769692313201</v>
      </c>
      <c r="U114">
        <v>1.1106769692313201</v>
      </c>
      <c r="V114">
        <v>-2.8</v>
      </c>
      <c r="W114">
        <v>6.41</v>
      </c>
      <c r="X114">
        <v>4195</v>
      </c>
      <c r="Y114">
        <v>2098</v>
      </c>
      <c r="Z114">
        <v>-0.01</v>
      </c>
      <c r="AA114">
        <v>2</v>
      </c>
      <c r="AB114">
        <v>1</v>
      </c>
      <c r="AC114">
        <v>1</v>
      </c>
      <c r="AD114">
        <v>50</v>
      </c>
      <c r="AE114">
        <v>10</v>
      </c>
      <c r="AF114">
        <v>1</v>
      </c>
      <c r="AG114">
        <v>1</v>
      </c>
      <c r="AH114">
        <v>0</v>
      </c>
    </row>
    <row r="115" spans="1:34">
      <c r="A115" s="108">
        <v>94</v>
      </c>
      <c r="B115">
        <v>1928</v>
      </c>
      <c r="C115" s="112" t="s">
        <v>327</v>
      </c>
      <c r="D115" s="112" t="s">
        <v>99</v>
      </c>
      <c r="E115">
        <v>2401</v>
      </c>
      <c r="F115">
        <v>2369.5</v>
      </c>
      <c r="G115">
        <v>400</v>
      </c>
      <c r="H115" s="112" t="s">
        <v>83</v>
      </c>
      <c r="I115">
        <v>4996</v>
      </c>
      <c r="J115" s="112" t="s">
        <v>353</v>
      </c>
      <c r="K115" s="112" t="s">
        <v>82</v>
      </c>
      <c r="L115">
        <v>1015</v>
      </c>
      <c r="M115">
        <v>1035</v>
      </c>
      <c r="N115">
        <v>900</v>
      </c>
      <c r="O115" s="112" t="s">
        <v>81</v>
      </c>
      <c r="P115">
        <v>0.90537778367468802</v>
      </c>
      <c r="Q115">
        <v>0.92043563279155505</v>
      </c>
      <c r="R115">
        <v>4.3285086976500402E-2</v>
      </c>
      <c r="S115">
        <v>0.16309351623347099</v>
      </c>
      <c r="T115">
        <v>0.32192454461505798</v>
      </c>
      <c r="U115">
        <v>0.32192454461505798</v>
      </c>
      <c r="V115">
        <v>1.36</v>
      </c>
      <c r="W115">
        <v>1.72</v>
      </c>
      <c r="X115">
        <v>3393</v>
      </c>
      <c r="Y115">
        <v>242</v>
      </c>
      <c r="Z115">
        <v>-0.03</v>
      </c>
      <c r="AA115">
        <v>14</v>
      </c>
      <c r="AB115">
        <v>8</v>
      </c>
      <c r="AC115">
        <v>6</v>
      </c>
      <c r="AD115">
        <v>57.14</v>
      </c>
      <c r="AE115">
        <v>12</v>
      </c>
      <c r="AF115">
        <v>6</v>
      </c>
      <c r="AG115">
        <v>3</v>
      </c>
      <c r="AH115">
        <v>5</v>
      </c>
    </row>
    <row r="116" spans="1:34">
      <c r="A116" s="108">
        <v>142</v>
      </c>
      <c r="B116">
        <v>4183</v>
      </c>
      <c r="C116" s="112" t="s">
        <v>326</v>
      </c>
      <c r="D116" s="112" t="s">
        <v>82</v>
      </c>
      <c r="E116">
        <v>2790</v>
      </c>
      <c r="F116">
        <v>2776</v>
      </c>
      <c r="G116">
        <v>300</v>
      </c>
      <c r="H116" s="112" t="s">
        <v>81</v>
      </c>
      <c r="I116">
        <v>7762</v>
      </c>
      <c r="J116" s="112" t="s">
        <v>128</v>
      </c>
      <c r="K116" s="112" t="s">
        <v>114</v>
      </c>
      <c r="L116">
        <v>625</v>
      </c>
      <c r="M116">
        <v>617</v>
      </c>
      <c r="N116">
        <v>1300</v>
      </c>
      <c r="O116" s="112" t="s">
        <v>83</v>
      </c>
      <c r="P116">
        <v>0.90757372066313502</v>
      </c>
      <c r="Q116">
        <v>0.90752354842489502</v>
      </c>
      <c r="R116">
        <v>0.146121878889548</v>
      </c>
      <c r="S116">
        <v>6.2677871653095598E-3</v>
      </c>
      <c r="T116">
        <v>-0.195187556849649</v>
      </c>
      <c r="U116">
        <v>0.195187556849649</v>
      </c>
      <c r="V116">
        <v>-0.46</v>
      </c>
      <c r="W116">
        <v>3.69</v>
      </c>
      <c r="X116">
        <v>760</v>
      </c>
      <c r="Y116">
        <v>54</v>
      </c>
      <c r="Z116">
        <v>-0.05</v>
      </c>
      <c r="AA116">
        <v>14</v>
      </c>
      <c r="AB116">
        <v>8</v>
      </c>
      <c r="AC116">
        <v>6</v>
      </c>
      <c r="AD116">
        <v>57.14</v>
      </c>
      <c r="AE116">
        <v>15</v>
      </c>
      <c r="AF116">
        <v>3</v>
      </c>
      <c r="AG116">
        <v>4</v>
      </c>
      <c r="AH116">
        <v>7</v>
      </c>
    </row>
    <row r="117" spans="1:34">
      <c r="A117" s="108">
        <v>106</v>
      </c>
      <c r="B117">
        <v>2175</v>
      </c>
      <c r="C117" s="112" t="s">
        <v>352</v>
      </c>
      <c r="D117" s="112" t="s">
        <v>141</v>
      </c>
      <c r="E117">
        <v>3035</v>
      </c>
      <c r="F117">
        <v>3000</v>
      </c>
      <c r="G117">
        <v>300</v>
      </c>
      <c r="H117" s="112" t="s">
        <v>81</v>
      </c>
      <c r="I117">
        <v>6098</v>
      </c>
      <c r="J117" s="112" t="s">
        <v>364</v>
      </c>
      <c r="K117" s="112" t="s">
        <v>141</v>
      </c>
      <c r="L117">
        <v>4053</v>
      </c>
      <c r="M117">
        <v>4103</v>
      </c>
      <c r="N117">
        <v>200</v>
      </c>
      <c r="O117" s="112" t="s">
        <v>83</v>
      </c>
      <c r="P117">
        <v>0.95094601854650895</v>
      </c>
      <c r="Q117">
        <v>0.91669950178884896</v>
      </c>
      <c r="R117" s="20">
        <v>7.1789131479088396E-7</v>
      </c>
      <c r="S117" s="20">
        <v>4.6072710511244001E-2</v>
      </c>
      <c r="T117">
        <v>-1.59515283610203</v>
      </c>
      <c r="U117">
        <v>1.59515283610203</v>
      </c>
      <c r="V117">
        <v>-5.29</v>
      </c>
      <c r="W117">
        <v>9.68</v>
      </c>
      <c r="X117">
        <v>-1755</v>
      </c>
      <c r="Y117">
        <v>-103</v>
      </c>
      <c r="Z117">
        <v>0.05</v>
      </c>
      <c r="AA117">
        <v>17</v>
      </c>
      <c r="AB117">
        <v>9</v>
      </c>
      <c r="AC117">
        <v>8</v>
      </c>
      <c r="AD117">
        <v>52.94</v>
      </c>
      <c r="AE117">
        <v>10</v>
      </c>
      <c r="AF117">
        <v>8</v>
      </c>
      <c r="AG117">
        <v>5</v>
      </c>
      <c r="AH117">
        <v>4</v>
      </c>
    </row>
    <row r="118" spans="1:34">
      <c r="A118" s="108">
        <v>152</v>
      </c>
      <c r="B118">
        <v>8306</v>
      </c>
      <c r="C118" s="112" t="s">
        <v>165</v>
      </c>
      <c r="D118" s="112" t="s">
        <v>103</v>
      </c>
      <c r="E118">
        <v>590</v>
      </c>
      <c r="F118">
        <v>595.70000000000005</v>
      </c>
      <c r="G118">
        <v>1800</v>
      </c>
      <c r="H118" s="112" t="s">
        <v>83</v>
      </c>
      <c r="I118">
        <v>8411</v>
      </c>
      <c r="J118" s="112" t="s">
        <v>142</v>
      </c>
      <c r="K118" s="112" t="s">
        <v>103</v>
      </c>
      <c r="L118">
        <v>169.2</v>
      </c>
      <c r="M118">
        <v>170.7</v>
      </c>
      <c r="N118">
        <v>6300</v>
      </c>
      <c r="O118" s="112" t="s">
        <v>81</v>
      </c>
      <c r="P118">
        <v>0.93360688554522098</v>
      </c>
      <c r="Q118">
        <v>0.90583435964880399</v>
      </c>
      <c r="R118">
        <v>0.14212168881260201</v>
      </c>
      <c r="S118">
        <v>0.14880478977352199</v>
      </c>
      <c r="T118">
        <v>2.17366951874402</v>
      </c>
      <c r="U118">
        <v>2.17366951874402</v>
      </c>
      <c r="V118">
        <v>3.69</v>
      </c>
      <c r="W118">
        <v>0.28999999999999998</v>
      </c>
      <c r="X118">
        <v>-2779</v>
      </c>
      <c r="Y118">
        <v>-154</v>
      </c>
      <c r="Z118">
        <v>0</v>
      </c>
      <c r="AA118">
        <v>18</v>
      </c>
      <c r="AB118">
        <v>8</v>
      </c>
      <c r="AC118">
        <v>10</v>
      </c>
      <c r="AD118">
        <v>44.44</v>
      </c>
      <c r="AE118">
        <v>17</v>
      </c>
      <c r="AF118">
        <v>2</v>
      </c>
      <c r="AG118">
        <v>0</v>
      </c>
      <c r="AH118">
        <v>16</v>
      </c>
    </row>
    <row r="119" spans="1:34">
      <c r="A119" s="108">
        <v>100</v>
      </c>
      <c r="B119">
        <v>4208</v>
      </c>
      <c r="C119" s="112" t="s">
        <v>119</v>
      </c>
      <c r="D119" s="112" t="s">
        <v>82</v>
      </c>
      <c r="E119">
        <v>2459</v>
      </c>
      <c r="F119">
        <v>2479</v>
      </c>
      <c r="G119">
        <v>400</v>
      </c>
      <c r="H119" s="112" t="s">
        <v>81</v>
      </c>
      <c r="I119">
        <v>5991</v>
      </c>
      <c r="J119" s="112" t="s">
        <v>136</v>
      </c>
      <c r="K119" s="112" t="s">
        <v>137</v>
      </c>
      <c r="L119">
        <v>1021</v>
      </c>
      <c r="M119">
        <v>1021</v>
      </c>
      <c r="N119">
        <v>1000</v>
      </c>
      <c r="O119" s="112" t="s">
        <v>83</v>
      </c>
      <c r="P119">
        <v>0.90986916982509003</v>
      </c>
      <c r="Q119">
        <v>0.91808182654296</v>
      </c>
      <c r="R119" s="20">
        <v>0.24824439720911901</v>
      </c>
      <c r="S119">
        <v>2.6973982347470001E-2</v>
      </c>
      <c r="T119">
        <v>-1.1766165517988401</v>
      </c>
      <c r="U119">
        <v>1.1766165517988401</v>
      </c>
      <c r="V119">
        <v>-5.72</v>
      </c>
      <c r="W119">
        <v>2.96</v>
      </c>
      <c r="X119">
        <v>-2779</v>
      </c>
      <c r="Y119">
        <v>-174</v>
      </c>
      <c r="Z119">
        <v>-0.06</v>
      </c>
      <c r="AA119">
        <v>16</v>
      </c>
      <c r="AB119">
        <v>8</v>
      </c>
      <c r="AC119">
        <v>8</v>
      </c>
      <c r="AD119">
        <v>50</v>
      </c>
      <c r="AE119">
        <v>12</v>
      </c>
      <c r="AF119">
        <v>6</v>
      </c>
      <c r="AG119">
        <v>4</v>
      </c>
      <c r="AH119">
        <v>6</v>
      </c>
    </row>
    <row r="120" spans="1:34">
      <c r="A120" s="108">
        <v>81</v>
      </c>
      <c r="B120">
        <v>4183</v>
      </c>
      <c r="C120" s="112" t="s">
        <v>326</v>
      </c>
      <c r="D120" s="112" t="s">
        <v>82</v>
      </c>
      <c r="E120">
        <v>2790</v>
      </c>
      <c r="F120">
        <v>2776</v>
      </c>
      <c r="G120">
        <v>300</v>
      </c>
      <c r="H120" s="112" t="s">
        <v>83</v>
      </c>
      <c r="I120">
        <v>6301</v>
      </c>
      <c r="J120" s="112" t="s">
        <v>130</v>
      </c>
      <c r="K120" s="112" t="s">
        <v>120</v>
      </c>
      <c r="L120">
        <v>2755</v>
      </c>
      <c r="M120">
        <v>2740</v>
      </c>
      <c r="N120">
        <v>300</v>
      </c>
      <c r="O120" s="112" t="s">
        <v>81</v>
      </c>
      <c r="P120">
        <v>0.90720543908860096</v>
      </c>
      <c r="Q120">
        <v>0.92527651423038604</v>
      </c>
      <c r="R120">
        <v>0.224397984386596</v>
      </c>
      <c r="S120" s="112">
        <v>1.2714438587966899E-3</v>
      </c>
      <c r="T120">
        <v>0.13766102255542001</v>
      </c>
      <c r="U120">
        <v>0.13766102255542001</v>
      </c>
      <c r="V120">
        <v>0.23</v>
      </c>
      <c r="W120">
        <v>1.3</v>
      </c>
      <c r="X120">
        <v>-3844</v>
      </c>
      <c r="Y120">
        <v>-384</v>
      </c>
      <c r="Z120">
        <v>0.04</v>
      </c>
      <c r="AA120">
        <v>10</v>
      </c>
      <c r="AB120">
        <v>6</v>
      </c>
      <c r="AC120">
        <v>4</v>
      </c>
      <c r="AD120">
        <v>60</v>
      </c>
      <c r="AE120">
        <v>15</v>
      </c>
      <c r="AF120">
        <v>1</v>
      </c>
      <c r="AG120">
        <v>1</v>
      </c>
      <c r="AH120">
        <v>8</v>
      </c>
    </row>
    <row r="121" spans="1:34">
      <c r="A121" s="108">
        <v>1</v>
      </c>
      <c r="B121">
        <v>6995</v>
      </c>
      <c r="C121" s="112" t="s">
        <v>112</v>
      </c>
      <c r="D121" s="112" t="s">
        <v>105</v>
      </c>
      <c r="E121">
        <v>2258</v>
      </c>
      <c r="F121">
        <v>2263</v>
      </c>
      <c r="G121">
        <v>400</v>
      </c>
      <c r="H121" s="112" t="s">
        <v>81</v>
      </c>
      <c r="I121">
        <v>7282</v>
      </c>
      <c r="J121" s="112" t="s">
        <v>979</v>
      </c>
      <c r="K121" s="112" t="s">
        <v>105</v>
      </c>
      <c r="L121">
        <v>2801</v>
      </c>
      <c r="M121">
        <v>2798</v>
      </c>
      <c r="N121">
        <v>300</v>
      </c>
      <c r="O121" s="112" t="s">
        <v>83</v>
      </c>
      <c r="P121">
        <v>0.988967158538401</v>
      </c>
      <c r="Q121">
        <v>0.97277198322759895</v>
      </c>
      <c r="R121" s="20">
        <v>1.45801376255496E-2</v>
      </c>
      <c r="S121" s="20">
        <v>4.1922812161963897E-3</v>
      </c>
      <c r="T121">
        <v>-1.72617065127487</v>
      </c>
      <c r="U121">
        <v>1.72617065127487</v>
      </c>
      <c r="V121">
        <v>-3.75</v>
      </c>
      <c r="W121">
        <v>7.84</v>
      </c>
      <c r="X121">
        <v>-4300</v>
      </c>
      <c r="Y121">
        <v>-287</v>
      </c>
      <c r="Z121">
        <v>-0.08</v>
      </c>
      <c r="AA121">
        <v>15</v>
      </c>
      <c r="AB121">
        <v>7</v>
      </c>
      <c r="AC121">
        <v>8</v>
      </c>
      <c r="AD121">
        <v>46.67</v>
      </c>
      <c r="AE121">
        <v>13</v>
      </c>
      <c r="AF121">
        <v>3</v>
      </c>
      <c r="AG121">
        <v>2</v>
      </c>
      <c r="AH121">
        <v>10</v>
      </c>
    </row>
    <row r="122" spans="1:34">
      <c r="A122" s="108">
        <v>53</v>
      </c>
      <c r="B122">
        <v>6752</v>
      </c>
      <c r="C122" s="112" t="s">
        <v>126</v>
      </c>
      <c r="D122" s="112" t="s">
        <v>108</v>
      </c>
      <c r="E122">
        <v>1059</v>
      </c>
      <c r="F122">
        <v>1058</v>
      </c>
      <c r="G122">
        <v>1000</v>
      </c>
      <c r="H122" s="112" t="s">
        <v>83</v>
      </c>
      <c r="I122">
        <v>8002</v>
      </c>
      <c r="J122" s="112" t="s">
        <v>51</v>
      </c>
      <c r="K122" s="112" t="s">
        <v>122</v>
      </c>
      <c r="L122">
        <v>834.9</v>
      </c>
      <c r="M122">
        <v>837.7</v>
      </c>
      <c r="N122">
        <v>1300</v>
      </c>
      <c r="O122" s="112" t="s">
        <v>81</v>
      </c>
      <c r="P122">
        <v>0.92282856801825996</v>
      </c>
      <c r="Q122">
        <v>0.935661011994394</v>
      </c>
      <c r="R122" s="112">
        <v>7.7300557089176603E-2</v>
      </c>
      <c r="S122">
        <v>1.36231448760256E-3</v>
      </c>
      <c r="T122">
        <v>0.94819425784302902</v>
      </c>
      <c r="U122">
        <v>0.94819425784302902</v>
      </c>
      <c r="V122">
        <v>2.44</v>
      </c>
      <c r="W122">
        <v>2.93</v>
      </c>
      <c r="X122">
        <v>-4844</v>
      </c>
      <c r="Y122">
        <v>-231</v>
      </c>
      <c r="Z122">
        <v>-0.02</v>
      </c>
      <c r="AA122">
        <v>21</v>
      </c>
      <c r="AB122">
        <v>11</v>
      </c>
      <c r="AC122">
        <v>10</v>
      </c>
      <c r="AD122">
        <v>52.38</v>
      </c>
      <c r="AE122">
        <v>15</v>
      </c>
      <c r="AF122">
        <v>5</v>
      </c>
      <c r="AG122">
        <v>4</v>
      </c>
      <c r="AH122">
        <v>12</v>
      </c>
    </row>
    <row r="123" spans="1:34">
      <c r="A123" s="108">
        <v>68</v>
      </c>
      <c r="B123">
        <v>5333</v>
      </c>
      <c r="C123" s="112" t="s">
        <v>359</v>
      </c>
      <c r="D123" s="112" t="s">
        <v>127</v>
      </c>
      <c r="E123">
        <v>1915</v>
      </c>
      <c r="F123">
        <v>1919</v>
      </c>
      <c r="G123">
        <v>600</v>
      </c>
      <c r="H123" s="112" t="s">
        <v>81</v>
      </c>
      <c r="I123">
        <v>5393</v>
      </c>
      <c r="J123" s="112" t="s">
        <v>358</v>
      </c>
      <c r="K123" s="112" t="s">
        <v>127</v>
      </c>
      <c r="L123">
        <v>2749</v>
      </c>
      <c r="M123">
        <v>2736</v>
      </c>
      <c r="N123">
        <v>400</v>
      </c>
      <c r="O123" s="112" t="s">
        <v>83</v>
      </c>
      <c r="P123">
        <v>0.96024002413640697</v>
      </c>
      <c r="Q123">
        <v>0.929971580279223</v>
      </c>
      <c r="R123" s="112">
        <v>0.38305583728096199</v>
      </c>
      <c r="S123">
        <v>1.3384379003533E-3</v>
      </c>
      <c r="T123">
        <v>-1.3087925402304501</v>
      </c>
      <c r="U123">
        <v>1.3087925402304501</v>
      </c>
      <c r="V123">
        <v>-9.24</v>
      </c>
      <c r="W123">
        <v>5.21</v>
      </c>
      <c r="X123">
        <v>-11690</v>
      </c>
      <c r="Y123">
        <v>-584</v>
      </c>
      <c r="Z123">
        <v>-0.01</v>
      </c>
      <c r="AA123">
        <v>20</v>
      </c>
      <c r="AB123">
        <v>12</v>
      </c>
      <c r="AC123">
        <v>8</v>
      </c>
      <c r="AD123">
        <v>60</v>
      </c>
      <c r="AE123">
        <v>11</v>
      </c>
      <c r="AF123">
        <v>7</v>
      </c>
      <c r="AG123">
        <v>8</v>
      </c>
      <c r="AH123">
        <v>5</v>
      </c>
    </row>
    <row r="124" spans="1:34">
      <c r="A124" s="108">
        <v>111</v>
      </c>
      <c r="B124">
        <v>4686</v>
      </c>
      <c r="C124" s="112" t="s">
        <v>1299</v>
      </c>
      <c r="D124" s="112" t="s">
        <v>100</v>
      </c>
      <c r="E124">
        <v>5910</v>
      </c>
      <c r="F124">
        <v>5910</v>
      </c>
      <c r="G124">
        <v>100</v>
      </c>
      <c r="H124" s="112" t="s">
        <v>83</v>
      </c>
      <c r="I124">
        <v>6845</v>
      </c>
      <c r="J124" s="112" t="s">
        <v>332</v>
      </c>
      <c r="K124" s="112" t="s">
        <v>108</v>
      </c>
      <c r="L124">
        <v>3260</v>
      </c>
      <c r="M124">
        <v>3205</v>
      </c>
      <c r="N124">
        <v>200</v>
      </c>
      <c r="O124" s="112" t="s">
        <v>81</v>
      </c>
      <c r="P124">
        <v>0.92978656960539696</v>
      </c>
      <c r="Q124">
        <v>0.91525021805850904</v>
      </c>
      <c r="R124" s="20">
        <v>0.22982851064818199</v>
      </c>
      <c r="S124">
        <v>0.17228223435276399</v>
      </c>
      <c r="T124">
        <v>1.61469548050137</v>
      </c>
      <c r="U124">
        <v>1.61469548050137</v>
      </c>
      <c r="V124">
        <v>16.37</v>
      </c>
      <c r="W124">
        <v>8.4600000000000009</v>
      </c>
      <c r="X124">
        <v>-13536</v>
      </c>
      <c r="Y124">
        <v>-712</v>
      </c>
      <c r="Z124">
        <v>-0.09</v>
      </c>
      <c r="AA124">
        <v>19</v>
      </c>
      <c r="AB124">
        <v>11</v>
      </c>
      <c r="AC124">
        <v>8</v>
      </c>
      <c r="AD124">
        <v>57.89</v>
      </c>
      <c r="AE124">
        <v>10</v>
      </c>
      <c r="AF124">
        <v>10</v>
      </c>
      <c r="AG124">
        <v>8</v>
      </c>
      <c r="AH124">
        <v>1</v>
      </c>
    </row>
    <row r="125" spans="1:34">
      <c r="A125" s="108">
        <v>21</v>
      </c>
      <c r="B125">
        <v>1928</v>
      </c>
      <c r="C125" s="112" t="s">
        <v>327</v>
      </c>
      <c r="D125" s="112" t="s">
        <v>99</v>
      </c>
      <c r="E125">
        <v>2401</v>
      </c>
      <c r="F125">
        <v>2369.5</v>
      </c>
      <c r="G125">
        <v>300</v>
      </c>
      <c r="H125" s="112" t="s">
        <v>81</v>
      </c>
      <c r="I125">
        <v>4613</v>
      </c>
      <c r="J125" s="112" t="s">
        <v>345</v>
      </c>
      <c r="K125" s="112" t="s">
        <v>82</v>
      </c>
      <c r="L125">
        <v>2822</v>
      </c>
      <c r="M125">
        <v>2757</v>
      </c>
      <c r="N125">
        <v>300</v>
      </c>
      <c r="O125" s="112" t="s">
        <v>83</v>
      </c>
      <c r="P125">
        <v>0.93171175265827599</v>
      </c>
      <c r="Q125">
        <v>0.94825535256203397</v>
      </c>
      <c r="R125" s="20">
        <v>0.16326228990227501</v>
      </c>
      <c r="S125" s="20">
        <v>0.104033039712068</v>
      </c>
      <c r="T125">
        <v>-0.32703931108946399</v>
      </c>
      <c r="U125">
        <v>0.32703931108946399</v>
      </c>
      <c r="V125">
        <v>-0.59</v>
      </c>
      <c r="W125">
        <v>14.06</v>
      </c>
      <c r="X125">
        <v>-16022</v>
      </c>
      <c r="Y125">
        <v>-1232</v>
      </c>
      <c r="Z125">
        <v>-0.04</v>
      </c>
      <c r="AA125">
        <v>13</v>
      </c>
      <c r="AB125">
        <v>7</v>
      </c>
      <c r="AC125">
        <v>6</v>
      </c>
      <c r="AD125">
        <v>53.85</v>
      </c>
      <c r="AE125">
        <v>13</v>
      </c>
      <c r="AF125">
        <v>5</v>
      </c>
      <c r="AG125">
        <v>3</v>
      </c>
      <c r="AH125">
        <v>5</v>
      </c>
    </row>
    <row r="126" spans="1:34">
      <c r="A126" s="108">
        <v>58</v>
      </c>
      <c r="B126">
        <v>6457</v>
      </c>
      <c r="C126" s="112" t="s">
        <v>339</v>
      </c>
      <c r="D126" s="112" t="s">
        <v>120</v>
      </c>
      <c r="E126">
        <v>3360</v>
      </c>
      <c r="F126">
        <v>3360</v>
      </c>
      <c r="G126">
        <v>300</v>
      </c>
      <c r="H126" s="112" t="s">
        <v>81</v>
      </c>
      <c r="I126">
        <v>6845</v>
      </c>
      <c r="J126" s="112" t="s">
        <v>332</v>
      </c>
      <c r="K126" s="112" t="s">
        <v>108</v>
      </c>
      <c r="L126">
        <v>3260</v>
      </c>
      <c r="M126">
        <v>3205</v>
      </c>
      <c r="N126">
        <v>300</v>
      </c>
      <c r="O126" s="112" t="s">
        <v>83</v>
      </c>
      <c r="P126">
        <v>0.94186229625280904</v>
      </c>
      <c r="Q126">
        <v>0.93232628633839199</v>
      </c>
      <c r="R126">
        <v>1.2149897697835799E-2</v>
      </c>
      <c r="S126" s="20">
        <v>0.184262930042142</v>
      </c>
      <c r="T126">
        <v>-0.49192632174296302</v>
      </c>
      <c r="U126">
        <v>0.49192632174296302</v>
      </c>
      <c r="V126">
        <v>-0.73</v>
      </c>
      <c r="W126">
        <v>4.6100000000000003</v>
      </c>
      <c r="X126">
        <v>-22683</v>
      </c>
      <c r="Y126">
        <v>-2062</v>
      </c>
      <c r="Z126">
        <v>-0.06</v>
      </c>
      <c r="AA126">
        <v>11</v>
      </c>
      <c r="AB126">
        <v>6</v>
      </c>
      <c r="AC126">
        <v>5</v>
      </c>
      <c r="AD126">
        <v>54.55</v>
      </c>
      <c r="AE126">
        <v>15</v>
      </c>
      <c r="AF126">
        <v>2</v>
      </c>
      <c r="AG126">
        <v>1</v>
      </c>
      <c r="AH126">
        <v>8</v>
      </c>
    </row>
    <row r="127" spans="1:34">
      <c r="A127" s="108">
        <v>71</v>
      </c>
      <c r="B127">
        <v>4519</v>
      </c>
      <c r="C127" s="112" t="s">
        <v>980</v>
      </c>
      <c r="D127" s="112" t="s">
        <v>157</v>
      </c>
      <c r="E127">
        <v>10025</v>
      </c>
      <c r="F127">
        <v>10040</v>
      </c>
      <c r="G127">
        <v>100</v>
      </c>
      <c r="H127" s="112" t="s">
        <v>81</v>
      </c>
      <c r="I127">
        <v>6920</v>
      </c>
      <c r="J127" s="112" t="s">
        <v>107</v>
      </c>
      <c r="K127" s="112" t="s">
        <v>108</v>
      </c>
      <c r="L127">
        <v>9950</v>
      </c>
      <c r="M127">
        <v>9850</v>
      </c>
      <c r="N127">
        <v>100</v>
      </c>
      <c r="O127" s="112" t="s">
        <v>83</v>
      </c>
      <c r="P127">
        <v>0.919561218008484</v>
      </c>
      <c r="Q127">
        <v>0.92878444501343804</v>
      </c>
      <c r="R127">
        <v>0.109342027975006</v>
      </c>
      <c r="S127" s="112">
        <v>4.1762566580515199E-2</v>
      </c>
      <c r="T127">
        <v>-1.34398610151596</v>
      </c>
      <c r="U127">
        <v>1.34398610151596</v>
      </c>
      <c r="V127">
        <v>-10.61</v>
      </c>
      <c r="W127">
        <v>1.89</v>
      </c>
      <c r="X127">
        <v>-24389</v>
      </c>
      <c r="Y127">
        <v>-2217</v>
      </c>
      <c r="Z127">
        <v>-0.19</v>
      </c>
      <c r="AA127">
        <v>11</v>
      </c>
      <c r="AB127">
        <v>6</v>
      </c>
      <c r="AC127">
        <v>5</v>
      </c>
      <c r="AD127">
        <v>54.55</v>
      </c>
      <c r="AE127">
        <v>8</v>
      </c>
      <c r="AF127">
        <v>6</v>
      </c>
      <c r="AG127">
        <v>5</v>
      </c>
      <c r="AH127">
        <v>0</v>
      </c>
    </row>
    <row r="128" spans="1:34">
      <c r="A128" s="108">
        <v>136</v>
      </c>
      <c r="B128">
        <v>6371</v>
      </c>
      <c r="C128" s="112" t="s">
        <v>129</v>
      </c>
      <c r="D128" s="112" t="s">
        <v>120</v>
      </c>
      <c r="E128">
        <v>3995</v>
      </c>
      <c r="F128">
        <v>4000</v>
      </c>
      <c r="G128">
        <v>200</v>
      </c>
      <c r="H128" s="112" t="s">
        <v>81</v>
      </c>
      <c r="I128">
        <v>7272</v>
      </c>
      <c r="J128" s="112" t="s">
        <v>325</v>
      </c>
      <c r="K128" s="112" t="s">
        <v>105</v>
      </c>
      <c r="L128">
        <v>2312</v>
      </c>
      <c r="M128">
        <v>2350</v>
      </c>
      <c r="N128">
        <v>300</v>
      </c>
      <c r="O128" s="112" t="s">
        <v>83</v>
      </c>
      <c r="P128">
        <v>0.900203622354383</v>
      </c>
      <c r="Q128">
        <v>0.90996166141916202</v>
      </c>
      <c r="R128">
        <v>0.29554159981091799</v>
      </c>
      <c r="S128">
        <v>5.0309551818654196E-3</v>
      </c>
      <c r="T128">
        <v>-0.57272370504644099</v>
      </c>
      <c r="U128">
        <v>0.57272370504644099</v>
      </c>
      <c r="V128">
        <v>-2.08</v>
      </c>
      <c r="W128">
        <v>11.88</v>
      </c>
      <c r="X128">
        <v>-28954</v>
      </c>
      <c r="Y128">
        <v>-2632</v>
      </c>
      <c r="Z128">
        <v>-0.13</v>
      </c>
      <c r="AA128">
        <v>11</v>
      </c>
      <c r="AB128">
        <v>6</v>
      </c>
      <c r="AC128">
        <v>5</v>
      </c>
      <c r="AD128">
        <v>54.55</v>
      </c>
      <c r="AE128">
        <v>13</v>
      </c>
      <c r="AF128">
        <v>3</v>
      </c>
      <c r="AG128">
        <v>3</v>
      </c>
      <c r="AH128">
        <v>5</v>
      </c>
    </row>
    <row r="129" spans="1:34">
      <c r="A129" s="108">
        <v>102</v>
      </c>
      <c r="B129">
        <v>2914</v>
      </c>
      <c r="C129" s="112" t="s">
        <v>117</v>
      </c>
      <c r="D129" s="112" t="s">
        <v>118</v>
      </c>
      <c r="E129">
        <v>2518</v>
      </c>
      <c r="F129">
        <v>2501.5</v>
      </c>
      <c r="G129">
        <v>300</v>
      </c>
      <c r="H129" s="112" t="s">
        <v>81</v>
      </c>
      <c r="I129">
        <v>4507</v>
      </c>
      <c r="J129" s="112" t="s">
        <v>1056</v>
      </c>
      <c r="K129" s="112" t="s">
        <v>157</v>
      </c>
      <c r="L129">
        <v>6480</v>
      </c>
      <c r="M129">
        <v>6518</v>
      </c>
      <c r="N129">
        <v>100</v>
      </c>
      <c r="O129" s="112" t="s">
        <v>83</v>
      </c>
      <c r="P129">
        <v>0.90462911842143601</v>
      </c>
      <c r="Q129">
        <v>0.91801096898811296</v>
      </c>
      <c r="R129">
        <v>2.9835998660964501E-2</v>
      </c>
      <c r="S129" s="112">
        <v>1.61470184641689E-3</v>
      </c>
      <c r="T129">
        <v>-1.20313862841848</v>
      </c>
      <c r="U129">
        <v>1.20313862841848</v>
      </c>
      <c r="V129">
        <v>-2.08</v>
      </c>
      <c r="W129">
        <v>15.14</v>
      </c>
      <c r="X129">
        <v>-30523</v>
      </c>
      <c r="Y129">
        <v>-5087</v>
      </c>
      <c r="Z129">
        <v>-0.76</v>
      </c>
      <c r="AA129">
        <v>6</v>
      </c>
      <c r="AB129">
        <v>3</v>
      </c>
      <c r="AC129">
        <v>3</v>
      </c>
      <c r="AD129">
        <v>50</v>
      </c>
      <c r="AE129">
        <v>11</v>
      </c>
      <c r="AF129">
        <v>2</v>
      </c>
      <c r="AG129">
        <v>3</v>
      </c>
      <c r="AH129">
        <v>1</v>
      </c>
    </row>
    <row r="130" spans="1:34">
      <c r="A130" s="108">
        <v>9</v>
      </c>
      <c r="B130">
        <v>6471</v>
      </c>
      <c r="C130" s="112" t="s">
        <v>159</v>
      </c>
      <c r="D130" s="112" t="s">
        <v>120</v>
      </c>
      <c r="E130">
        <v>1090</v>
      </c>
      <c r="F130">
        <v>1088</v>
      </c>
      <c r="G130">
        <v>1000</v>
      </c>
      <c r="H130" s="112" t="s">
        <v>81</v>
      </c>
      <c r="I130">
        <v>6472</v>
      </c>
      <c r="J130" s="112" t="s">
        <v>155</v>
      </c>
      <c r="K130" s="112" t="s">
        <v>120</v>
      </c>
      <c r="L130">
        <v>364</v>
      </c>
      <c r="M130">
        <v>363</v>
      </c>
      <c r="N130">
        <v>3000</v>
      </c>
      <c r="O130" s="112" t="s">
        <v>83</v>
      </c>
      <c r="P130">
        <v>0.92548366053251796</v>
      </c>
      <c r="Q130">
        <v>0.95799315295337995</v>
      </c>
      <c r="R130" s="20">
        <v>0.28901122105444599</v>
      </c>
      <c r="S130">
        <v>0.10520207936184101</v>
      </c>
      <c r="T130">
        <v>-0.50498303047725901</v>
      </c>
      <c r="U130">
        <v>0.50498303047725901</v>
      </c>
      <c r="V130">
        <v>-1.17</v>
      </c>
      <c r="W130">
        <v>0.09</v>
      </c>
      <c r="X130">
        <v>-34069</v>
      </c>
      <c r="Y130">
        <v>-1893</v>
      </c>
      <c r="Z130">
        <v>-0.11</v>
      </c>
      <c r="AA130">
        <v>18</v>
      </c>
      <c r="AB130">
        <v>9</v>
      </c>
      <c r="AC130">
        <v>9</v>
      </c>
      <c r="AD130">
        <v>50</v>
      </c>
      <c r="AE130">
        <v>16</v>
      </c>
      <c r="AF130">
        <v>2</v>
      </c>
      <c r="AG130">
        <v>3</v>
      </c>
      <c r="AH130">
        <v>13</v>
      </c>
    </row>
    <row r="131" spans="1:34">
      <c r="A131" s="108">
        <v>131</v>
      </c>
      <c r="B131">
        <v>3635</v>
      </c>
      <c r="C131" s="112" t="s">
        <v>106</v>
      </c>
      <c r="D131" s="112" t="s">
        <v>100</v>
      </c>
      <c r="E131">
        <v>2727</v>
      </c>
      <c r="F131">
        <v>2709</v>
      </c>
      <c r="G131">
        <v>400</v>
      </c>
      <c r="H131" s="112" t="s">
        <v>81</v>
      </c>
      <c r="I131">
        <v>6951</v>
      </c>
      <c r="J131" s="112" t="s">
        <v>348</v>
      </c>
      <c r="K131" s="112" t="s">
        <v>108</v>
      </c>
      <c r="L131">
        <v>3155</v>
      </c>
      <c r="M131">
        <v>3180</v>
      </c>
      <c r="N131">
        <v>300</v>
      </c>
      <c r="O131" s="112" t="s">
        <v>83</v>
      </c>
      <c r="P131">
        <v>0.92607053817594998</v>
      </c>
      <c r="Q131">
        <v>0.91076606483415301</v>
      </c>
      <c r="R131" s="20">
        <v>0.14687386113124601</v>
      </c>
      <c r="S131" s="112">
        <v>0.17559040196865999</v>
      </c>
      <c r="T131">
        <v>-0.79625939620523201</v>
      </c>
      <c r="U131">
        <v>0.79625939620523201</v>
      </c>
      <c r="V131">
        <v>-3.45</v>
      </c>
      <c r="W131">
        <v>13.58</v>
      </c>
      <c r="X131">
        <v>-35613</v>
      </c>
      <c r="Y131">
        <v>-2544</v>
      </c>
      <c r="Z131">
        <v>-0.08</v>
      </c>
      <c r="AA131">
        <v>14</v>
      </c>
      <c r="AB131">
        <v>6</v>
      </c>
      <c r="AC131">
        <v>8</v>
      </c>
      <c r="AD131">
        <v>42.86</v>
      </c>
      <c r="AE131">
        <v>11</v>
      </c>
      <c r="AF131">
        <v>4</v>
      </c>
      <c r="AG131">
        <v>5</v>
      </c>
      <c r="AH131">
        <v>5</v>
      </c>
    </row>
    <row r="132" spans="1:34">
      <c r="A132" s="108">
        <v>140</v>
      </c>
      <c r="B132">
        <v>7205</v>
      </c>
      <c r="C132" s="112" t="s">
        <v>138</v>
      </c>
      <c r="D132" s="112" t="s">
        <v>105</v>
      </c>
      <c r="E132">
        <v>1175</v>
      </c>
      <c r="F132">
        <v>1181</v>
      </c>
      <c r="G132">
        <v>900</v>
      </c>
      <c r="H132" s="112" t="s">
        <v>83</v>
      </c>
      <c r="I132">
        <v>8002</v>
      </c>
      <c r="J132" s="112" t="s">
        <v>51</v>
      </c>
      <c r="K132" s="112" t="s">
        <v>122</v>
      </c>
      <c r="L132">
        <v>834.9</v>
      </c>
      <c r="M132">
        <v>837.7</v>
      </c>
      <c r="N132">
        <v>1300</v>
      </c>
      <c r="O132" s="112" t="s">
        <v>81</v>
      </c>
      <c r="P132">
        <v>0.95272662804973696</v>
      </c>
      <c r="Q132">
        <v>0.90784407300846703</v>
      </c>
      <c r="R132">
        <v>0.18368612457215</v>
      </c>
      <c r="S132" s="20">
        <v>2.66794303812019E-2</v>
      </c>
      <c r="T132">
        <v>2.1734762655520101</v>
      </c>
      <c r="U132">
        <v>2.1734762655520101</v>
      </c>
      <c r="V132">
        <v>8.49</v>
      </c>
      <c r="W132">
        <v>2.46</v>
      </c>
      <c r="X132">
        <v>-42476</v>
      </c>
      <c r="Y132">
        <v>-2655</v>
      </c>
      <c r="Z132">
        <v>-0.13</v>
      </c>
      <c r="AA132">
        <v>16</v>
      </c>
      <c r="AB132">
        <v>7</v>
      </c>
      <c r="AC132">
        <v>9</v>
      </c>
      <c r="AD132">
        <v>43.75</v>
      </c>
      <c r="AE132">
        <v>16</v>
      </c>
      <c r="AF132">
        <v>2</v>
      </c>
      <c r="AG132">
        <v>2</v>
      </c>
      <c r="AH132">
        <v>12</v>
      </c>
    </row>
    <row r="133" spans="1:34">
      <c r="A133" s="108">
        <v>19</v>
      </c>
      <c r="B133">
        <v>6457</v>
      </c>
      <c r="C133" s="112" t="s">
        <v>339</v>
      </c>
      <c r="D133" s="112" t="s">
        <v>120</v>
      </c>
      <c r="E133">
        <v>3360</v>
      </c>
      <c r="F133">
        <v>3360</v>
      </c>
      <c r="G133">
        <v>200</v>
      </c>
      <c r="H133" s="112" t="s">
        <v>83</v>
      </c>
      <c r="I133">
        <v>7203</v>
      </c>
      <c r="J133" s="112" t="s">
        <v>354</v>
      </c>
      <c r="K133" s="112" t="s">
        <v>105</v>
      </c>
      <c r="L133">
        <v>7778</v>
      </c>
      <c r="M133">
        <v>7811</v>
      </c>
      <c r="N133">
        <v>100</v>
      </c>
      <c r="O133" s="112" t="s">
        <v>81</v>
      </c>
      <c r="P133">
        <v>0.93185278677755701</v>
      </c>
      <c r="Q133">
        <v>0.95058438506216603</v>
      </c>
      <c r="R133">
        <v>0.10406235921261101</v>
      </c>
      <c r="S133" s="112">
        <v>6.2547092266055496E-2</v>
      </c>
      <c r="T133">
        <v>0.88236372810656805</v>
      </c>
      <c r="U133">
        <v>0.88236372810656805</v>
      </c>
      <c r="V133">
        <v>1.57</v>
      </c>
      <c r="W133">
        <v>13.97</v>
      </c>
      <c r="X133">
        <v>-61118</v>
      </c>
      <c r="Y133">
        <v>-12224</v>
      </c>
      <c r="Z133">
        <v>-0.8</v>
      </c>
      <c r="AA133">
        <v>5</v>
      </c>
      <c r="AB133">
        <v>2</v>
      </c>
      <c r="AC133">
        <v>3</v>
      </c>
      <c r="AD133">
        <v>40</v>
      </c>
      <c r="AE133">
        <v>14</v>
      </c>
      <c r="AF133">
        <v>2</v>
      </c>
      <c r="AG133">
        <v>3</v>
      </c>
      <c r="AH133">
        <v>0</v>
      </c>
    </row>
    <row r="134" spans="1:34">
      <c r="A134" s="108">
        <v>85</v>
      </c>
      <c r="B134">
        <v>6702</v>
      </c>
      <c r="C134" s="112" t="s">
        <v>357</v>
      </c>
      <c r="D134" s="112" t="s">
        <v>108</v>
      </c>
      <c r="E134">
        <v>10200</v>
      </c>
      <c r="F134">
        <v>10055</v>
      </c>
      <c r="G134">
        <v>100</v>
      </c>
      <c r="H134" s="112" t="s">
        <v>81</v>
      </c>
      <c r="I134">
        <v>9934</v>
      </c>
      <c r="J134" s="112" t="s">
        <v>976</v>
      </c>
      <c r="K134" s="112" t="s">
        <v>122</v>
      </c>
      <c r="L134">
        <v>2850</v>
      </c>
      <c r="M134">
        <v>2830</v>
      </c>
      <c r="N134">
        <v>400</v>
      </c>
      <c r="O134" s="112" t="s">
        <v>83</v>
      </c>
      <c r="P134">
        <v>0.90820686529736006</v>
      </c>
      <c r="Q134">
        <v>0.92342838250164805</v>
      </c>
      <c r="R134">
        <v>4.8898108556825998E-2</v>
      </c>
      <c r="S134">
        <v>7.5414696607781098E-4</v>
      </c>
      <c r="T134">
        <v>-0.98054406886010004</v>
      </c>
      <c r="U134">
        <v>0.98054406886010004</v>
      </c>
      <c r="V134">
        <v>-2.96</v>
      </c>
      <c r="W134">
        <v>12.58</v>
      </c>
      <c r="X134">
        <v>-69216</v>
      </c>
      <c r="Y134">
        <v>-4072</v>
      </c>
      <c r="Z134">
        <v>-0.4</v>
      </c>
      <c r="AA134">
        <v>17</v>
      </c>
      <c r="AB134">
        <v>4</v>
      </c>
      <c r="AC134">
        <v>13</v>
      </c>
      <c r="AD134">
        <v>23.53</v>
      </c>
      <c r="AE134">
        <v>14</v>
      </c>
      <c r="AF134">
        <v>4</v>
      </c>
      <c r="AG134">
        <v>3</v>
      </c>
      <c r="AH134">
        <v>10</v>
      </c>
    </row>
    <row r="135" spans="1:34">
      <c r="A135" s="108">
        <v>80</v>
      </c>
      <c r="B135">
        <v>3231</v>
      </c>
      <c r="C135" s="112" t="s">
        <v>989</v>
      </c>
      <c r="D135" s="112" t="s">
        <v>135</v>
      </c>
      <c r="E135">
        <v>2659</v>
      </c>
      <c r="F135">
        <v>2627</v>
      </c>
      <c r="G135">
        <v>400</v>
      </c>
      <c r="H135" s="112" t="s">
        <v>81</v>
      </c>
      <c r="I135">
        <v>6951</v>
      </c>
      <c r="J135" s="112" t="s">
        <v>348</v>
      </c>
      <c r="K135" s="112" t="s">
        <v>108</v>
      </c>
      <c r="L135">
        <v>3155</v>
      </c>
      <c r="M135">
        <v>3180</v>
      </c>
      <c r="N135">
        <v>300</v>
      </c>
      <c r="O135" s="112" t="s">
        <v>83</v>
      </c>
      <c r="P135">
        <v>0.93279121932263098</v>
      </c>
      <c r="Q135">
        <v>0.92545379594368005</v>
      </c>
      <c r="R135" s="20">
        <v>5.3809779377687002E-2</v>
      </c>
      <c r="S135">
        <v>8.2418227072955805E-2</v>
      </c>
      <c r="T135">
        <v>-1.75971163335389</v>
      </c>
      <c r="U135">
        <v>1.75971163335389</v>
      </c>
      <c r="V135">
        <v>-9.18</v>
      </c>
      <c r="W135">
        <v>10.15</v>
      </c>
      <c r="X135">
        <v>-74636</v>
      </c>
      <c r="Y135">
        <v>-4665</v>
      </c>
      <c r="Z135">
        <v>-0.19</v>
      </c>
      <c r="AA135">
        <v>16</v>
      </c>
      <c r="AB135">
        <v>9</v>
      </c>
      <c r="AC135">
        <v>7</v>
      </c>
      <c r="AD135">
        <v>56.25</v>
      </c>
      <c r="AE135">
        <v>8</v>
      </c>
      <c r="AF135">
        <v>7</v>
      </c>
      <c r="AG135">
        <v>6</v>
      </c>
      <c r="AH135">
        <v>3</v>
      </c>
    </row>
    <row r="136" spans="1:34">
      <c r="A136" s="108">
        <v>104</v>
      </c>
      <c r="B136">
        <v>6752</v>
      </c>
      <c r="C136" s="112" t="s">
        <v>126</v>
      </c>
      <c r="D136" s="112" t="s">
        <v>108</v>
      </c>
      <c r="E136">
        <v>1059</v>
      </c>
      <c r="F136">
        <v>1058</v>
      </c>
      <c r="G136">
        <v>1000</v>
      </c>
      <c r="H136" s="112" t="s">
        <v>81</v>
      </c>
      <c r="I136">
        <v>8795</v>
      </c>
      <c r="J136" s="112" t="s">
        <v>156</v>
      </c>
      <c r="K136" s="112" t="s">
        <v>131</v>
      </c>
      <c r="L136">
        <v>1384</v>
      </c>
      <c r="M136">
        <v>1373</v>
      </c>
      <c r="N136">
        <v>800</v>
      </c>
      <c r="O136" s="112" t="s">
        <v>83</v>
      </c>
      <c r="P136">
        <v>0.93601780700530601</v>
      </c>
      <c r="Q136">
        <v>0.91709192493839198</v>
      </c>
      <c r="R136">
        <v>2.5168296467711699E-2</v>
      </c>
      <c r="S136" s="112">
        <v>1.25205342874227E-2</v>
      </c>
      <c r="T136" s="112">
        <v>-5.2860413250826001E-2</v>
      </c>
      <c r="U136" s="112">
        <v>5.2860413250826001E-2</v>
      </c>
      <c r="V136">
        <v>-0.13</v>
      </c>
      <c r="W136">
        <v>3.68</v>
      </c>
      <c r="X136">
        <v>-86216</v>
      </c>
      <c r="Y136">
        <v>-5388</v>
      </c>
      <c r="Z136">
        <v>-0.22</v>
      </c>
      <c r="AA136">
        <v>16</v>
      </c>
      <c r="AB136">
        <v>6</v>
      </c>
      <c r="AC136">
        <v>10</v>
      </c>
      <c r="AD136">
        <v>37.5</v>
      </c>
      <c r="AE136">
        <v>14</v>
      </c>
      <c r="AF136">
        <v>4</v>
      </c>
      <c r="AG136">
        <v>5</v>
      </c>
      <c r="AH136">
        <v>7</v>
      </c>
    </row>
    <row r="137" spans="1:34">
      <c r="A137" s="108">
        <v>150</v>
      </c>
      <c r="B137">
        <v>1911</v>
      </c>
      <c r="C137" s="112" t="s">
        <v>124</v>
      </c>
      <c r="D137" s="112" t="s">
        <v>99</v>
      </c>
      <c r="E137">
        <v>1666</v>
      </c>
      <c r="F137">
        <v>1644</v>
      </c>
      <c r="G137">
        <v>700</v>
      </c>
      <c r="H137" s="112" t="s">
        <v>83</v>
      </c>
      <c r="I137">
        <v>4634</v>
      </c>
      <c r="J137" s="112" t="s">
        <v>161</v>
      </c>
      <c r="K137" s="112" t="s">
        <v>82</v>
      </c>
      <c r="L137">
        <v>2765</v>
      </c>
      <c r="M137">
        <v>2734</v>
      </c>
      <c r="N137">
        <v>400</v>
      </c>
      <c r="O137" s="112" t="s">
        <v>81</v>
      </c>
      <c r="P137">
        <v>0.92248588091615402</v>
      </c>
      <c r="Q137">
        <v>0.906439339560285</v>
      </c>
      <c r="R137">
        <v>7.0621864514431601E-2</v>
      </c>
      <c r="S137" s="112">
        <v>0.21307900668526999</v>
      </c>
      <c r="T137">
        <v>1.1030325729252</v>
      </c>
      <c r="U137">
        <v>1.1030325729252</v>
      </c>
      <c r="V137">
        <v>1.89</v>
      </c>
      <c r="W137">
        <v>5.23</v>
      </c>
      <c r="X137">
        <v>-107878</v>
      </c>
      <c r="Y137">
        <v>-6742</v>
      </c>
      <c r="Z137">
        <v>-0.39</v>
      </c>
      <c r="AA137">
        <v>16</v>
      </c>
      <c r="AB137">
        <v>6</v>
      </c>
      <c r="AC137">
        <v>10</v>
      </c>
      <c r="AD137">
        <v>37.5</v>
      </c>
      <c r="AE137">
        <v>15</v>
      </c>
      <c r="AF137">
        <v>2</v>
      </c>
      <c r="AG137">
        <v>2</v>
      </c>
      <c r="AH137">
        <v>12</v>
      </c>
    </row>
    <row r="138" spans="1:34">
      <c r="A138" s="108">
        <v>160</v>
      </c>
      <c r="B138">
        <v>4202</v>
      </c>
      <c r="C138" s="112" t="s">
        <v>110</v>
      </c>
      <c r="D138" s="112" t="s">
        <v>82</v>
      </c>
      <c r="E138">
        <v>1079</v>
      </c>
      <c r="F138">
        <v>1079</v>
      </c>
      <c r="G138">
        <v>700</v>
      </c>
      <c r="H138" s="112" t="s">
        <v>81</v>
      </c>
      <c r="I138">
        <v>6371</v>
      </c>
      <c r="J138" s="112" t="s">
        <v>129</v>
      </c>
      <c r="K138" s="112" t="s">
        <v>120</v>
      </c>
      <c r="L138">
        <v>3995</v>
      </c>
      <c r="M138">
        <v>4000</v>
      </c>
      <c r="N138">
        <v>200</v>
      </c>
      <c r="O138" s="112" t="s">
        <v>83</v>
      </c>
      <c r="P138">
        <v>0.93383341843692502</v>
      </c>
      <c r="Q138">
        <v>0.90031756105437299</v>
      </c>
      <c r="R138">
        <v>0.160669839021332</v>
      </c>
      <c r="S138">
        <v>0.22839107011437501</v>
      </c>
      <c r="T138">
        <v>-0.11969610366439599</v>
      </c>
      <c r="U138">
        <v>0.11969610366439599</v>
      </c>
      <c r="V138">
        <v>-0.54</v>
      </c>
      <c r="W138">
        <v>5.59</v>
      </c>
      <c r="X138">
        <v>-110166</v>
      </c>
      <c r="Y138">
        <v>-6885</v>
      </c>
      <c r="Z138">
        <v>-0.47</v>
      </c>
      <c r="AA138">
        <v>16</v>
      </c>
      <c r="AB138">
        <v>5</v>
      </c>
      <c r="AC138">
        <v>11</v>
      </c>
      <c r="AD138">
        <v>31.25</v>
      </c>
      <c r="AE138">
        <v>14</v>
      </c>
      <c r="AF138">
        <v>3</v>
      </c>
      <c r="AG138">
        <v>5</v>
      </c>
      <c r="AH138">
        <v>8</v>
      </c>
    </row>
    <row r="139" spans="1:34">
      <c r="A139" s="108">
        <v>92</v>
      </c>
      <c r="B139">
        <v>4204</v>
      </c>
      <c r="C139" s="112" t="s">
        <v>349</v>
      </c>
      <c r="D139" s="112" t="s">
        <v>82</v>
      </c>
      <c r="E139">
        <v>1941</v>
      </c>
      <c r="F139">
        <v>1926</v>
      </c>
      <c r="G139">
        <v>400</v>
      </c>
      <c r="H139" s="112" t="s">
        <v>81</v>
      </c>
      <c r="I139">
        <v>5947</v>
      </c>
      <c r="J139" s="112" t="s">
        <v>350</v>
      </c>
      <c r="K139" s="112" t="s">
        <v>137</v>
      </c>
      <c r="L139">
        <v>8580</v>
      </c>
      <c r="M139">
        <v>8530</v>
      </c>
      <c r="N139">
        <v>100</v>
      </c>
      <c r="O139" s="112" t="s">
        <v>83</v>
      </c>
      <c r="P139">
        <v>0.92973564888283999</v>
      </c>
      <c r="Q139">
        <v>0.92121716168355605</v>
      </c>
      <c r="R139">
        <v>0.122954150818847</v>
      </c>
      <c r="S139">
        <v>2.6750232383308602E-3</v>
      </c>
      <c r="T139">
        <v>-0.60435174302876804</v>
      </c>
      <c r="U139">
        <v>0.60435174302876804</v>
      </c>
      <c r="V139">
        <v>-1.48</v>
      </c>
      <c r="W139">
        <v>9.68</v>
      </c>
      <c r="X139">
        <v>-110401</v>
      </c>
      <c r="Y139">
        <v>-7886</v>
      </c>
      <c r="Z139">
        <v>-0.25</v>
      </c>
      <c r="AA139">
        <v>14</v>
      </c>
      <c r="AB139">
        <v>7</v>
      </c>
      <c r="AC139">
        <v>7</v>
      </c>
      <c r="AD139">
        <v>50</v>
      </c>
      <c r="AE139">
        <v>16</v>
      </c>
      <c r="AF139">
        <v>4</v>
      </c>
      <c r="AG139">
        <v>2</v>
      </c>
      <c r="AH139">
        <v>8</v>
      </c>
    </row>
    <row r="140" spans="1:34">
      <c r="A140" s="108">
        <v>73</v>
      </c>
      <c r="B140">
        <v>6702</v>
      </c>
      <c r="C140" s="112" t="s">
        <v>357</v>
      </c>
      <c r="D140" s="112" t="s">
        <v>108</v>
      </c>
      <c r="E140">
        <v>10200</v>
      </c>
      <c r="F140">
        <v>10055</v>
      </c>
      <c r="G140">
        <v>100</v>
      </c>
      <c r="H140" s="112" t="s">
        <v>83</v>
      </c>
      <c r="I140">
        <v>6845</v>
      </c>
      <c r="J140" s="112" t="s">
        <v>332</v>
      </c>
      <c r="K140" s="112" t="s">
        <v>108</v>
      </c>
      <c r="L140">
        <v>3260</v>
      </c>
      <c r="M140">
        <v>3205</v>
      </c>
      <c r="N140">
        <v>300</v>
      </c>
      <c r="O140" s="112" t="s">
        <v>81</v>
      </c>
      <c r="P140">
        <v>0.91838268195031603</v>
      </c>
      <c r="Q140">
        <v>0.92799016097123399</v>
      </c>
      <c r="R140" s="20">
        <v>0.196829017151402</v>
      </c>
      <c r="S140">
        <v>4.7426715526741402E-2</v>
      </c>
      <c r="T140">
        <v>0.90478897429434202</v>
      </c>
      <c r="U140">
        <v>0.90478897429434202</v>
      </c>
      <c r="V140">
        <v>2.48</v>
      </c>
      <c r="W140">
        <v>4.38</v>
      </c>
      <c r="X140">
        <v>-115725</v>
      </c>
      <c r="Y140">
        <v>-9644</v>
      </c>
      <c r="Z140">
        <v>-0.71</v>
      </c>
      <c r="AA140">
        <v>12</v>
      </c>
      <c r="AB140">
        <v>5</v>
      </c>
      <c r="AC140">
        <v>7</v>
      </c>
      <c r="AD140">
        <v>41.67</v>
      </c>
      <c r="AE140">
        <v>13</v>
      </c>
      <c r="AF140">
        <v>4</v>
      </c>
      <c r="AG140">
        <v>3</v>
      </c>
      <c r="AH140">
        <v>5</v>
      </c>
    </row>
    <row r="141" spans="1:34">
      <c r="A141" s="108">
        <v>14</v>
      </c>
      <c r="B141">
        <v>2413</v>
      </c>
      <c r="C141" s="112" t="s">
        <v>1298</v>
      </c>
      <c r="D141" s="112" t="s">
        <v>141</v>
      </c>
      <c r="E141">
        <v>3065</v>
      </c>
      <c r="F141">
        <v>3025</v>
      </c>
      <c r="G141">
        <v>300</v>
      </c>
      <c r="H141" s="112" t="s">
        <v>81</v>
      </c>
      <c r="I141">
        <v>3110</v>
      </c>
      <c r="J141" s="112" t="s">
        <v>1334</v>
      </c>
      <c r="K141" s="112" t="s">
        <v>127</v>
      </c>
      <c r="L141">
        <v>4260</v>
      </c>
      <c r="M141">
        <v>4220</v>
      </c>
      <c r="N141">
        <v>200</v>
      </c>
      <c r="O141" s="112" t="s">
        <v>83</v>
      </c>
      <c r="P141">
        <v>0.93691893816233995</v>
      </c>
      <c r="Q141">
        <v>0.953999963459496</v>
      </c>
      <c r="R141" s="20">
        <v>0.23779450245884401</v>
      </c>
      <c r="S141">
        <v>7.4670265472324901E-2</v>
      </c>
      <c r="T141">
        <v>-1.7496343106060701</v>
      </c>
      <c r="U141">
        <v>1.7496343106060701</v>
      </c>
      <c r="V141">
        <v>-9.35</v>
      </c>
      <c r="W141">
        <v>7.52</v>
      </c>
      <c r="X141">
        <v>-115949</v>
      </c>
      <c r="Y141">
        <v>-6821</v>
      </c>
      <c r="Z141">
        <v>-0.22</v>
      </c>
      <c r="AA141">
        <v>17</v>
      </c>
      <c r="AB141">
        <v>8</v>
      </c>
      <c r="AC141">
        <v>9</v>
      </c>
      <c r="AD141">
        <v>47.06</v>
      </c>
      <c r="AE141">
        <v>10</v>
      </c>
      <c r="AF141">
        <v>5</v>
      </c>
      <c r="AG141">
        <v>8</v>
      </c>
      <c r="AH141">
        <v>4</v>
      </c>
    </row>
    <row r="142" spans="1:34">
      <c r="A142" s="108">
        <v>38</v>
      </c>
      <c r="B142">
        <v>4062</v>
      </c>
      <c r="C142" s="112" t="s">
        <v>351</v>
      </c>
      <c r="D142" s="112" t="s">
        <v>108</v>
      </c>
      <c r="E142">
        <v>2625</v>
      </c>
      <c r="F142">
        <v>2608</v>
      </c>
      <c r="G142">
        <v>400</v>
      </c>
      <c r="H142" s="112" t="s">
        <v>81</v>
      </c>
      <c r="I142">
        <v>6951</v>
      </c>
      <c r="J142" s="112" t="s">
        <v>348</v>
      </c>
      <c r="K142" s="112" t="s">
        <v>108</v>
      </c>
      <c r="L142">
        <v>3155</v>
      </c>
      <c r="M142">
        <v>3180</v>
      </c>
      <c r="N142">
        <v>300</v>
      </c>
      <c r="O142" s="112" t="s">
        <v>83</v>
      </c>
      <c r="P142">
        <v>0.94007297053250105</v>
      </c>
      <c r="Q142">
        <v>0.94173180717081495</v>
      </c>
      <c r="R142">
        <v>3.9913042827734002E-2</v>
      </c>
      <c r="S142" s="20">
        <v>0.12986678399785501</v>
      </c>
      <c r="T142">
        <v>-1.2709237771872901</v>
      </c>
      <c r="U142">
        <v>1.2709237771872901</v>
      </c>
      <c r="V142">
        <v>-3.76</v>
      </c>
      <c r="W142">
        <v>9.35</v>
      </c>
      <c r="X142">
        <v>-118052</v>
      </c>
      <c r="Y142">
        <v>-7870</v>
      </c>
      <c r="Z142">
        <v>-0.41</v>
      </c>
      <c r="AA142">
        <v>15</v>
      </c>
      <c r="AB142">
        <v>7</v>
      </c>
      <c r="AC142">
        <v>8</v>
      </c>
      <c r="AD142">
        <v>46.67</v>
      </c>
      <c r="AE142">
        <v>12</v>
      </c>
      <c r="AF142">
        <v>5</v>
      </c>
      <c r="AG142">
        <v>6</v>
      </c>
      <c r="AH142">
        <v>4</v>
      </c>
    </row>
    <row r="143" spans="1:34">
      <c r="A143" s="108">
        <v>15</v>
      </c>
      <c r="B143">
        <v>9501</v>
      </c>
      <c r="C143" s="112" t="s">
        <v>1303</v>
      </c>
      <c r="D143" s="112" t="s">
        <v>145</v>
      </c>
      <c r="E143">
        <v>484</v>
      </c>
      <c r="F143">
        <v>488</v>
      </c>
      <c r="G143">
        <v>2100</v>
      </c>
      <c r="H143" s="112" t="s">
        <v>83</v>
      </c>
      <c r="I143">
        <v>9508</v>
      </c>
      <c r="J143" s="112" t="s">
        <v>1304</v>
      </c>
      <c r="K143" s="112" t="s">
        <v>145</v>
      </c>
      <c r="L143">
        <v>951</v>
      </c>
      <c r="M143">
        <v>948</v>
      </c>
      <c r="N143">
        <v>1100</v>
      </c>
      <c r="O143" s="112" t="s">
        <v>81</v>
      </c>
      <c r="P143">
        <v>0.92096371465890803</v>
      </c>
      <c r="Q143">
        <v>0.95343763362418399</v>
      </c>
      <c r="R143">
        <v>0.124526242385693</v>
      </c>
      <c r="S143">
        <v>0.12617309042734701</v>
      </c>
      <c r="T143">
        <v>1.1658384816055001</v>
      </c>
      <c r="U143">
        <v>1.1658384816055001</v>
      </c>
      <c r="V143">
        <v>2.7</v>
      </c>
      <c r="W143">
        <v>1.73</v>
      </c>
      <c r="X143">
        <v>-124320</v>
      </c>
      <c r="Y143">
        <v>-9563</v>
      </c>
      <c r="Z143">
        <v>-0.48</v>
      </c>
      <c r="AA143">
        <v>13</v>
      </c>
      <c r="AB143">
        <v>5</v>
      </c>
      <c r="AC143">
        <v>8</v>
      </c>
      <c r="AD143">
        <v>38.46</v>
      </c>
      <c r="AE143">
        <v>14</v>
      </c>
      <c r="AF143">
        <v>3</v>
      </c>
      <c r="AG143">
        <v>4</v>
      </c>
      <c r="AH143">
        <v>6</v>
      </c>
    </row>
    <row r="144" spans="1:34">
      <c r="A144" s="108">
        <v>121</v>
      </c>
      <c r="B144">
        <v>7189</v>
      </c>
      <c r="C144" s="112" t="s">
        <v>102</v>
      </c>
      <c r="D144" s="112" t="s">
        <v>103</v>
      </c>
      <c r="E144">
        <v>873</v>
      </c>
      <c r="F144">
        <v>879</v>
      </c>
      <c r="G144">
        <v>1200</v>
      </c>
      <c r="H144" s="112" t="s">
        <v>83</v>
      </c>
      <c r="I144">
        <v>8377</v>
      </c>
      <c r="J144" s="112" t="s">
        <v>115</v>
      </c>
      <c r="K144" s="112" t="s">
        <v>103</v>
      </c>
      <c r="L144">
        <v>1164</v>
      </c>
      <c r="M144">
        <v>1172</v>
      </c>
      <c r="N144">
        <v>900</v>
      </c>
      <c r="O144" s="112" t="s">
        <v>81</v>
      </c>
      <c r="P144">
        <v>0.95176674622910695</v>
      </c>
      <c r="Q144">
        <v>0.91388896134494602</v>
      </c>
      <c r="R144">
        <v>0.26111794351433099</v>
      </c>
      <c r="S144">
        <v>0.29181540965246</v>
      </c>
      <c r="T144">
        <v>0.592819386696259</v>
      </c>
      <c r="U144">
        <v>0.592819386696259</v>
      </c>
      <c r="V144">
        <v>2.41</v>
      </c>
      <c r="W144">
        <v>0</v>
      </c>
      <c r="X144">
        <v>-129434</v>
      </c>
      <c r="Y144">
        <v>-6812</v>
      </c>
      <c r="Z144">
        <v>-0.3</v>
      </c>
      <c r="AA144">
        <v>19</v>
      </c>
      <c r="AB144">
        <v>9</v>
      </c>
      <c r="AC144">
        <v>10</v>
      </c>
      <c r="AD144">
        <v>47.37</v>
      </c>
      <c r="AE144">
        <v>15</v>
      </c>
      <c r="AF144">
        <v>3</v>
      </c>
      <c r="AG144">
        <v>4</v>
      </c>
      <c r="AH144">
        <v>12</v>
      </c>
    </row>
    <row r="145" spans="1:34">
      <c r="A145" s="108">
        <v>123</v>
      </c>
      <c r="B145">
        <v>5333</v>
      </c>
      <c r="C145" s="112" t="s">
        <v>359</v>
      </c>
      <c r="D145" s="112" t="s">
        <v>127</v>
      </c>
      <c r="E145">
        <v>1915</v>
      </c>
      <c r="F145">
        <v>1919</v>
      </c>
      <c r="G145">
        <v>500</v>
      </c>
      <c r="H145" s="112" t="s">
        <v>81</v>
      </c>
      <c r="I145">
        <v>8253</v>
      </c>
      <c r="J145" s="112" t="s">
        <v>1300</v>
      </c>
      <c r="K145" s="112" t="s">
        <v>324</v>
      </c>
      <c r="L145">
        <v>1901</v>
      </c>
      <c r="M145">
        <v>1908</v>
      </c>
      <c r="N145">
        <v>500</v>
      </c>
      <c r="O145" s="112" t="s">
        <v>83</v>
      </c>
      <c r="P145">
        <v>0.92634573182596103</v>
      </c>
      <c r="Q145">
        <v>0.91296935818390101</v>
      </c>
      <c r="R145" s="112">
        <v>0.154687813635</v>
      </c>
      <c r="S145">
        <v>4.9467356456332004E-3</v>
      </c>
      <c r="T145">
        <v>-1.06076587169183</v>
      </c>
      <c r="U145">
        <v>1.06076587169183</v>
      </c>
      <c r="V145">
        <v>-7.98</v>
      </c>
      <c r="W145">
        <v>0.56999999999999995</v>
      </c>
      <c r="X145">
        <v>-129824</v>
      </c>
      <c r="Y145">
        <v>-7637</v>
      </c>
      <c r="Z145">
        <v>-0.39</v>
      </c>
      <c r="AA145">
        <v>17</v>
      </c>
      <c r="AB145">
        <v>7</v>
      </c>
      <c r="AC145">
        <v>10</v>
      </c>
      <c r="AD145">
        <v>41.18</v>
      </c>
      <c r="AE145">
        <v>13</v>
      </c>
      <c r="AF145">
        <v>4</v>
      </c>
      <c r="AG145">
        <v>6</v>
      </c>
      <c r="AH145">
        <v>7</v>
      </c>
    </row>
    <row r="146" spans="1:34">
      <c r="A146" s="108">
        <v>82</v>
      </c>
      <c r="B146">
        <v>3635</v>
      </c>
      <c r="C146" s="112" t="s">
        <v>106</v>
      </c>
      <c r="D146" s="112" t="s">
        <v>100</v>
      </c>
      <c r="E146">
        <v>2727</v>
      </c>
      <c r="F146">
        <v>2709</v>
      </c>
      <c r="G146">
        <v>300</v>
      </c>
      <c r="H146" s="112" t="s">
        <v>81</v>
      </c>
      <c r="I146">
        <v>6588</v>
      </c>
      <c r="J146" s="112" t="s">
        <v>981</v>
      </c>
      <c r="K146" s="112" t="s">
        <v>108</v>
      </c>
      <c r="L146">
        <v>4625</v>
      </c>
      <c r="M146">
        <v>4530</v>
      </c>
      <c r="N146">
        <v>200</v>
      </c>
      <c r="O146" s="112" t="s">
        <v>83</v>
      </c>
      <c r="P146">
        <v>0.959124265042124</v>
      </c>
      <c r="Q146">
        <v>0.92445244275541205</v>
      </c>
      <c r="R146">
        <v>7.0350978554231704E-3</v>
      </c>
      <c r="S146">
        <v>0.14018340807837501</v>
      </c>
      <c r="T146">
        <v>-1.0703466633980201</v>
      </c>
      <c r="U146">
        <v>1.0703466633980201</v>
      </c>
      <c r="V146">
        <v>-9.36</v>
      </c>
      <c r="W146">
        <v>10.3</v>
      </c>
      <c r="X146">
        <v>-149155</v>
      </c>
      <c r="Y146">
        <v>-16573</v>
      </c>
      <c r="Z146">
        <v>-0.94</v>
      </c>
      <c r="AA146">
        <v>9</v>
      </c>
      <c r="AB146">
        <v>4</v>
      </c>
      <c r="AC146">
        <v>5</v>
      </c>
      <c r="AD146">
        <v>44.44</v>
      </c>
      <c r="AE146">
        <v>12</v>
      </c>
      <c r="AF146">
        <v>1</v>
      </c>
      <c r="AG146">
        <v>3</v>
      </c>
      <c r="AH146">
        <v>5</v>
      </c>
    </row>
    <row r="147" spans="1:34">
      <c r="A147" s="108">
        <v>62</v>
      </c>
      <c r="B147">
        <v>4182</v>
      </c>
      <c r="C147" s="112" t="s">
        <v>109</v>
      </c>
      <c r="D147" s="112" t="s">
        <v>82</v>
      </c>
      <c r="E147">
        <v>1728</v>
      </c>
      <c r="F147">
        <v>1730</v>
      </c>
      <c r="G147">
        <v>600</v>
      </c>
      <c r="H147" s="112" t="s">
        <v>83</v>
      </c>
      <c r="I147">
        <v>9072</v>
      </c>
      <c r="J147" s="112" t="s">
        <v>147</v>
      </c>
      <c r="K147" s="112" t="s">
        <v>140</v>
      </c>
      <c r="L147">
        <v>2740</v>
      </c>
      <c r="M147">
        <v>2739</v>
      </c>
      <c r="N147">
        <v>400</v>
      </c>
      <c r="O147" s="112" t="s">
        <v>81</v>
      </c>
      <c r="P147">
        <v>0.94965549511020497</v>
      </c>
      <c r="Q147">
        <v>0.93131522168615199</v>
      </c>
      <c r="R147">
        <v>6.53585450399466E-3</v>
      </c>
      <c r="S147" s="20">
        <v>9.3068475844434301E-5</v>
      </c>
      <c r="T147">
        <v>1.61100492484582</v>
      </c>
      <c r="U147">
        <v>1.61100492484582</v>
      </c>
      <c r="V147">
        <v>7.14</v>
      </c>
      <c r="W147">
        <v>5.26</v>
      </c>
      <c r="X147">
        <v>-153106</v>
      </c>
      <c r="Y147">
        <v>-9006</v>
      </c>
      <c r="Z147">
        <v>-0.41</v>
      </c>
      <c r="AA147">
        <v>17</v>
      </c>
      <c r="AB147">
        <v>6</v>
      </c>
      <c r="AC147">
        <v>11</v>
      </c>
      <c r="AD147">
        <v>35.29</v>
      </c>
      <c r="AE147">
        <v>13</v>
      </c>
      <c r="AF147">
        <v>6</v>
      </c>
      <c r="AG147">
        <v>5</v>
      </c>
      <c r="AH147">
        <v>6</v>
      </c>
    </row>
    <row r="148" spans="1:34">
      <c r="A148" s="108">
        <v>125</v>
      </c>
      <c r="B148">
        <v>4519</v>
      </c>
      <c r="C148" s="112" t="s">
        <v>980</v>
      </c>
      <c r="D148" s="112" t="s">
        <v>157</v>
      </c>
      <c r="E148">
        <v>10025</v>
      </c>
      <c r="F148">
        <v>10040</v>
      </c>
      <c r="G148">
        <v>100</v>
      </c>
      <c r="H148" s="112" t="s">
        <v>83</v>
      </c>
      <c r="I148">
        <v>4613</v>
      </c>
      <c r="J148" s="112" t="s">
        <v>345</v>
      </c>
      <c r="K148" s="112" t="s">
        <v>82</v>
      </c>
      <c r="L148">
        <v>2822</v>
      </c>
      <c r="M148">
        <v>2757</v>
      </c>
      <c r="N148">
        <v>400</v>
      </c>
      <c r="O148" s="112" t="s">
        <v>81</v>
      </c>
      <c r="P148">
        <v>0.92507405163888901</v>
      </c>
      <c r="Q148">
        <v>0.91265505585520001</v>
      </c>
      <c r="R148">
        <v>0.24827313705856299</v>
      </c>
      <c r="S148" s="20">
        <v>9.3367952693109504E-3</v>
      </c>
      <c r="T148">
        <v>2.3572776817252401</v>
      </c>
      <c r="U148">
        <v>2.3572776817252401</v>
      </c>
      <c r="V148">
        <v>7.35</v>
      </c>
      <c r="W148">
        <v>9.84</v>
      </c>
      <c r="X148">
        <v>-169869</v>
      </c>
      <c r="Y148">
        <v>-14156</v>
      </c>
      <c r="Z148">
        <v>-0.56000000000000005</v>
      </c>
      <c r="AA148">
        <v>12</v>
      </c>
      <c r="AB148">
        <v>5</v>
      </c>
      <c r="AC148">
        <v>7</v>
      </c>
      <c r="AD148">
        <v>41.67</v>
      </c>
      <c r="AE148">
        <v>11</v>
      </c>
      <c r="AF148">
        <v>5</v>
      </c>
      <c r="AG148">
        <v>5</v>
      </c>
      <c r="AH148">
        <v>2</v>
      </c>
    </row>
    <row r="149" spans="1:34">
      <c r="A149" s="108">
        <v>29</v>
      </c>
      <c r="B149">
        <v>7267</v>
      </c>
      <c r="C149" s="112" t="s">
        <v>139</v>
      </c>
      <c r="D149" s="112" t="s">
        <v>105</v>
      </c>
      <c r="E149">
        <v>3178</v>
      </c>
      <c r="F149">
        <v>3221</v>
      </c>
      <c r="G149">
        <v>300</v>
      </c>
      <c r="H149" s="112" t="s">
        <v>81</v>
      </c>
      <c r="I149">
        <v>8002</v>
      </c>
      <c r="J149" s="112" t="s">
        <v>51</v>
      </c>
      <c r="K149" s="112" t="s">
        <v>122</v>
      </c>
      <c r="L149">
        <v>834.9</v>
      </c>
      <c r="M149">
        <v>837.7</v>
      </c>
      <c r="N149">
        <v>1200</v>
      </c>
      <c r="O149" s="112" t="s">
        <v>83</v>
      </c>
      <c r="P149">
        <v>0.95378445539291201</v>
      </c>
      <c r="Q149">
        <v>0.94435721964262798</v>
      </c>
      <c r="R149">
        <v>8.2051284004877406E-2</v>
      </c>
      <c r="S149">
        <v>1.30762641162134E-3</v>
      </c>
      <c r="T149">
        <v>-0.246739258895178</v>
      </c>
      <c r="U149">
        <v>0.246739258895178</v>
      </c>
      <c r="V149">
        <v>-0.44</v>
      </c>
      <c r="W149">
        <v>4.03</v>
      </c>
      <c r="X149">
        <v>-183458</v>
      </c>
      <c r="Y149">
        <v>-12231</v>
      </c>
      <c r="Z149">
        <v>-0.72</v>
      </c>
      <c r="AA149">
        <v>15</v>
      </c>
      <c r="AB149">
        <v>6</v>
      </c>
      <c r="AC149">
        <v>9</v>
      </c>
      <c r="AD149">
        <v>40</v>
      </c>
      <c r="AE149">
        <v>16</v>
      </c>
      <c r="AF149">
        <v>0</v>
      </c>
      <c r="AG149">
        <v>3</v>
      </c>
      <c r="AH149">
        <v>12</v>
      </c>
    </row>
    <row r="150" spans="1:34">
      <c r="A150" s="108">
        <v>107</v>
      </c>
      <c r="B150">
        <v>4626</v>
      </c>
      <c r="C150" s="112" t="s">
        <v>974</v>
      </c>
      <c r="D150" s="112" t="s">
        <v>82</v>
      </c>
      <c r="E150">
        <v>4350</v>
      </c>
      <c r="F150">
        <v>4315</v>
      </c>
      <c r="G150">
        <v>200</v>
      </c>
      <c r="H150" s="112" t="s">
        <v>83</v>
      </c>
      <c r="I150">
        <v>5947</v>
      </c>
      <c r="J150" s="112" t="s">
        <v>350</v>
      </c>
      <c r="K150" s="112" t="s">
        <v>137</v>
      </c>
      <c r="L150">
        <v>8580</v>
      </c>
      <c r="M150">
        <v>8530</v>
      </c>
      <c r="N150">
        <v>100</v>
      </c>
      <c r="O150" s="112" t="s">
        <v>81</v>
      </c>
      <c r="P150">
        <v>0.94827959377150695</v>
      </c>
      <c r="Q150">
        <v>0.91668181265496895</v>
      </c>
      <c r="R150">
        <v>5.6387263318823801E-2</v>
      </c>
      <c r="S150">
        <v>0.134712793805501</v>
      </c>
      <c r="T150">
        <v>0.90178601635022804</v>
      </c>
      <c r="U150">
        <v>0.90178601635022804</v>
      </c>
      <c r="V150">
        <v>2.27</v>
      </c>
      <c r="W150">
        <v>1.17</v>
      </c>
      <c r="X150">
        <v>-185019</v>
      </c>
      <c r="Y150">
        <v>-11564</v>
      </c>
      <c r="Z150">
        <v>-0.52</v>
      </c>
      <c r="AA150">
        <v>16</v>
      </c>
      <c r="AB150">
        <v>6</v>
      </c>
      <c r="AC150">
        <v>10</v>
      </c>
      <c r="AD150">
        <v>37.5</v>
      </c>
      <c r="AE150">
        <v>14</v>
      </c>
      <c r="AF150">
        <v>3</v>
      </c>
      <c r="AG150">
        <v>4</v>
      </c>
      <c r="AH150">
        <v>9</v>
      </c>
    </row>
    <row r="151" spans="1:34">
      <c r="A151" s="108">
        <v>51</v>
      </c>
      <c r="B151">
        <v>3038</v>
      </c>
      <c r="C151" s="112" t="s">
        <v>363</v>
      </c>
      <c r="D151" s="112" t="s">
        <v>122</v>
      </c>
      <c r="E151">
        <v>3440</v>
      </c>
      <c r="F151">
        <v>3440</v>
      </c>
      <c r="G151">
        <v>200</v>
      </c>
      <c r="H151" s="112" t="s">
        <v>83</v>
      </c>
      <c r="I151">
        <v>6098</v>
      </c>
      <c r="J151" s="112" t="s">
        <v>364</v>
      </c>
      <c r="K151" s="112" t="s">
        <v>141</v>
      </c>
      <c r="L151">
        <v>4053</v>
      </c>
      <c r="M151">
        <v>4103</v>
      </c>
      <c r="N151">
        <v>200</v>
      </c>
      <c r="O151" s="112" t="s">
        <v>81</v>
      </c>
      <c r="P151">
        <v>0.93050406400974395</v>
      </c>
      <c r="Q151">
        <v>0.936228069551028</v>
      </c>
      <c r="R151">
        <v>0.33458693859531202</v>
      </c>
      <c r="S151">
        <v>5.50780823092617E-2</v>
      </c>
      <c r="T151">
        <v>0.257460876774671</v>
      </c>
      <c r="U151">
        <v>0.257460876774671</v>
      </c>
      <c r="V151">
        <v>1.18</v>
      </c>
      <c r="W151">
        <v>16.16</v>
      </c>
      <c r="X151">
        <v>-187710</v>
      </c>
      <c r="Y151">
        <v>-8161</v>
      </c>
      <c r="Z151">
        <v>-0.37</v>
      </c>
      <c r="AA151">
        <v>23</v>
      </c>
      <c r="AB151">
        <v>11</v>
      </c>
      <c r="AC151">
        <v>12</v>
      </c>
      <c r="AD151">
        <v>47.83</v>
      </c>
      <c r="AE151">
        <v>10</v>
      </c>
      <c r="AF151">
        <v>10</v>
      </c>
      <c r="AG151">
        <v>12</v>
      </c>
      <c r="AH151">
        <v>1</v>
      </c>
    </row>
    <row r="152" spans="1:34">
      <c r="A152" s="108">
        <v>147</v>
      </c>
      <c r="B152">
        <v>4183</v>
      </c>
      <c r="C152" s="112" t="s">
        <v>326</v>
      </c>
      <c r="D152" s="112" t="s">
        <v>82</v>
      </c>
      <c r="E152">
        <v>2790</v>
      </c>
      <c r="F152">
        <v>2776</v>
      </c>
      <c r="G152">
        <v>300</v>
      </c>
      <c r="H152" s="112" t="s">
        <v>83</v>
      </c>
      <c r="I152">
        <v>6473</v>
      </c>
      <c r="J152" s="112" t="s">
        <v>154</v>
      </c>
      <c r="K152" s="112" t="s">
        <v>120</v>
      </c>
      <c r="L152">
        <v>1375</v>
      </c>
      <c r="M152">
        <v>1381</v>
      </c>
      <c r="N152">
        <v>600</v>
      </c>
      <c r="O152" s="112" t="s">
        <v>81</v>
      </c>
      <c r="P152">
        <v>0.937385608295075</v>
      </c>
      <c r="Q152">
        <v>0.907068979996144</v>
      </c>
      <c r="R152" s="20">
        <v>9.4554935566329903E-3</v>
      </c>
      <c r="S152" s="20">
        <v>5.1645626098436301E-2</v>
      </c>
      <c r="T152">
        <v>1.90434576983326</v>
      </c>
      <c r="U152">
        <v>1.90434576983326</v>
      </c>
      <c r="V152">
        <v>3.37</v>
      </c>
      <c r="W152">
        <v>0.5</v>
      </c>
      <c r="X152">
        <v>-201641</v>
      </c>
      <c r="Y152">
        <v>-11861</v>
      </c>
      <c r="Z152">
        <v>-0.67</v>
      </c>
      <c r="AA152">
        <v>17</v>
      </c>
      <c r="AB152">
        <v>5</v>
      </c>
      <c r="AC152">
        <v>12</v>
      </c>
      <c r="AD152">
        <v>29.41</v>
      </c>
      <c r="AE152">
        <v>15</v>
      </c>
      <c r="AF152">
        <v>4</v>
      </c>
      <c r="AG152">
        <v>5</v>
      </c>
      <c r="AH152">
        <v>8</v>
      </c>
    </row>
    <row r="153" spans="1:34">
      <c r="A153" s="108">
        <v>154</v>
      </c>
      <c r="B153">
        <v>4634</v>
      </c>
      <c r="C153" s="112" t="s">
        <v>161</v>
      </c>
      <c r="D153" s="112" t="s">
        <v>82</v>
      </c>
      <c r="E153">
        <v>2765</v>
      </c>
      <c r="F153">
        <v>2734</v>
      </c>
      <c r="G153">
        <v>400</v>
      </c>
      <c r="H153" s="112" t="s">
        <v>81</v>
      </c>
      <c r="I153">
        <v>5803</v>
      </c>
      <c r="J153" s="112" t="s">
        <v>48</v>
      </c>
      <c r="K153" s="112" t="s">
        <v>153</v>
      </c>
      <c r="L153">
        <v>493</v>
      </c>
      <c r="M153">
        <v>491</v>
      </c>
      <c r="N153">
        <v>2200</v>
      </c>
      <c r="O153" s="112" t="s">
        <v>83</v>
      </c>
      <c r="P153">
        <v>0.91621691255936299</v>
      </c>
      <c r="Q153">
        <v>0.90476327054127104</v>
      </c>
      <c r="R153" s="112">
        <v>0.15292713440071701</v>
      </c>
      <c r="S153" s="20">
        <v>1.8592497232454E-2</v>
      </c>
      <c r="T153">
        <v>-1.03218389324057</v>
      </c>
      <c r="U153">
        <v>1.03218389324057</v>
      </c>
      <c r="V153">
        <v>-5.61</v>
      </c>
      <c r="W153">
        <v>1.23</v>
      </c>
      <c r="X153">
        <v>-201900</v>
      </c>
      <c r="Y153">
        <v>-11876</v>
      </c>
      <c r="Z153">
        <v>-0.71</v>
      </c>
      <c r="AA153">
        <v>17</v>
      </c>
      <c r="AB153">
        <v>8</v>
      </c>
      <c r="AC153">
        <v>9</v>
      </c>
      <c r="AD153">
        <v>47.06</v>
      </c>
      <c r="AE153">
        <v>12</v>
      </c>
      <c r="AF153">
        <v>4</v>
      </c>
      <c r="AG153">
        <v>6</v>
      </c>
      <c r="AH153">
        <v>7</v>
      </c>
    </row>
    <row r="154" spans="1:34">
      <c r="A154" s="108">
        <v>108</v>
      </c>
      <c r="B154">
        <v>6752</v>
      </c>
      <c r="C154" s="112" t="s">
        <v>126</v>
      </c>
      <c r="D154" s="112" t="s">
        <v>108</v>
      </c>
      <c r="E154">
        <v>1059</v>
      </c>
      <c r="F154">
        <v>1058</v>
      </c>
      <c r="G154">
        <v>900</v>
      </c>
      <c r="H154" s="112" t="s">
        <v>83</v>
      </c>
      <c r="I154">
        <v>7267</v>
      </c>
      <c r="J154" s="112" t="s">
        <v>139</v>
      </c>
      <c r="K154" s="112" t="s">
        <v>105</v>
      </c>
      <c r="L154">
        <v>3178</v>
      </c>
      <c r="M154">
        <v>3221</v>
      </c>
      <c r="N154">
        <v>300</v>
      </c>
      <c r="O154" s="112" t="s">
        <v>81</v>
      </c>
      <c r="P154">
        <v>0.90402626792136598</v>
      </c>
      <c r="Q154">
        <v>0.91655147125092995</v>
      </c>
      <c r="R154">
        <v>4.73939163873425E-2</v>
      </c>
      <c r="S154" s="20">
        <v>0.110496339601278</v>
      </c>
      <c r="T154">
        <v>0.97797219288978898</v>
      </c>
      <c r="U154">
        <v>0.97797219288978898</v>
      </c>
      <c r="V154">
        <v>2.84</v>
      </c>
      <c r="W154">
        <v>1.46</v>
      </c>
      <c r="X154">
        <v>-214152</v>
      </c>
      <c r="Y154">
        <v>-12597</v>
      </c>
      <c r="Z154">
        <v>-0.65</v>
      </c>
      <c r="AA154">
        <v>17</v>
      </c>
      <c r="AB154">
        <v>7</v>
      </c>
      <c r="AC154">
        <v>10</v>
      </c>
      <c r="AD154">
        <v>41.18</v>
      </c>
      <c r="AE154">
        <v>15</v>
      </c>
      <c r="AF154">
        <v>2</v>
      </c>
      <c r="AG154">
        <v>3</v>
      </c>
      <c r="AH154">
        <v>12</v>
      </c>
    </row>
    <row r="155" spans="1:34">
      <c r="A155" s="108">
        <v>3</v>
      </c>
      <c r="B155">
        <v>6951</v>
      </c>
      <c r="C155" s="112" t="s">
        <v>348</v>
      </c>
      <c r="D155" s="112" t="s">
        <v>108</v>
      </c>
      <c r="E155">
        <v>3155</v>
      </c>
      <c r="F155">
        <v>3180</v>
      </c>
      <c r="G155">
        <v>200</v>
      </c>
      <c r="H155" s="112" t="s">
        <v>81</v>
      </c>
      <c r="I155">
        <v>8036</v>
      </c>
      <c r="J155" s="112" t="s">
        <v>346</v>
      </c>
      <c r="K155" s="112" t="s">
        <v>122</v>
      </c>
      <c r="L155">
        <v>7670</v>
      </c>
      <c r="M155">
        <v>7550</v>
      </c>
      <c r="N155">
        <v>100</v>
      </c>
      <c r="O155" s="112" t="s">
        <v>83</v>
      </c>
      <c r="P155">
        <v>0.90102611419020295</v>
      </c>
      <c r="Q155">
        <v>0.96412656175281497</v>
      </c>
      <c r="R155">
        <v>0.37056687399930099</v>
      </c>
      <c r="S155">
        <v>0.16081305038893001</v>
      </c>
      <c r="T155">
        <v>-2.6380685793360299E-2</v>
      </c>
      <c r="U155">
        <v>2.6380685793360299E-2</v>
      </c>
      <c r="V155">
        <v>-0.09</v>
      </c>
      <c r="W155">
        <v>15.76</v>
      </c>
      <c r="X155">
        <v>-220595</v>
      </c>
      <c r="Y155">
        <v>-11030</v>
      </c>
      <c r="Z155">
        <v>-0.46</v>
      </c>
      <c r="AA155">
        <v>20</v>
      </c>
      <c r="AB155">
        <v>9</v>
      </c>
      <c r="AC155">
        <v>11</v>
      </c>
      <c r="AD155">
        <v>45</v>
      </c>
      <c r="AE155">
        <v>10</v>
      </c>
      <c r="AF155">
        <v>8</v>
      </c>
      <c r="AG155">
        <v>8</v>
      </c>
      <c r="AH155">
        <v>4</v>
      </c>
    </row>
    <row r="156" spans="1:34">
      <c r="A156" s="108">
        <v>50</v>
      </c>
      <c r="B156">
        <v>2413</v>
      </c>
      <c r="C156" s="112" t="s">
        <v>1298</v>
      </c>
      <c r="D156" s="112" t="s">
        <v>141</v>
      </c>
      <c r="E156">
        <v>3065</v>
      </c>
      <c r="F156">
        <v>3025</v>
      </c>
      <c r="G156">
        <v>300</v>
      </c>
      <c r="H156" s="112" t="s">
        <v>81</v>
      </c>
      <c r="I156">
        <v>6920</v>
      </c>
      <c r="J156" s="112" t="s">
        <v>107</v>
      </c>
      <c r="K156" s="112" t="s">
        <v>108</v>
      </c>
      <c r="L156">
        <v>9950</v>
      </c>
      <c r="M156">
        <v>9850</v>
      </c>
      <c r="N156">
        <v>100</v>
      </c>
      <c r="O156" s="112" t="s">
        <v>83</v>
      </c>
      <c r="P156">
        <v>0.92162118622849698</v>
      </c>
      <c r="Q156">
        <v>0.93651734322216096</v>
      </c>
      <c r="R156">
        <v>0.106879244782399</v>
      </c>
      <c r="S156" s="20">
        <v>0.15237373093867901</v>
      </c>
      <c r="T156">
        <v>-1.57283877700538</v>
      </c>
      <c r="U156">
        <v>1.57283877700538</v>
      </c>
      <c r="V156">
        <v>-13.26</v>
      </c>
      <c r="W156">
        <v>7.87</v>
      </c>
      <c r="X156">
        <v>-245378</v>
      </c>
      <c r="Y156">
        <v>-16359</v>
      </c>
      <c r="Z156">
        <v>-0.61</v>
      </c>
      <c r="AA156">
        <v>15</v>
      </c>
      <c r="AB156">
        <v>8</v>
      </c>
      <c r="AC156">
        <v>7</v>
      </c>
      <c r="AD156">
        <v>53.33</v>
      </c>
      <c r="AE156">
        <v>9</v>
      </c>
      <c r="AF156">
        <v>7</v>
      </c>
      <c r="AG156">
        <v>6</v>
      </c>
      <c r="AH156">
        <v>2</v>
      </c>
    </row>
    <row r="157" spans="1:34">
      <c r="A157" s="108">
        <v>156</v>
      </c>
      <c r="B157">
        <v>6471</v>
      </c>
      <c r="C157" s="112" t="s">
        <v>159</v>
      </c>
      <c r="D157" s="112" t="s">
        <v>120</v>
      </c>
      <c r="E157">
        <v>1090</v>
      </c>
      <c r="F157">
        <v>1088</v>
      </c>
      <c r="G157">
        <v>600</v>
      </c>
      <c r="H157" s="112" t="s">
        <v>81</v>
      </c>
      <c r="I157">
        <v>6988</v>
      </c>
      <c r="J157" s="112" t="s">
        <v>160</v>
      </c>
      <c r="K157" s="112" t="s">
        <v>82</v>
      </c>
      <c r="L157">
        <v>6350</v>
      </c>
      <c r="M157">
        <v>6410</v>
      </c>
      <c r="N157">
        <v>100</v>
      </c>
      <c r="O157" s="112" t="s">
        <v>83</v>
      </c>
      <c r="P157">
        <v>0.97315138196719697</v>
      </c>
      <c r="Q157">
        <v>0.90335895199439198</v>
      </c>
      <c r="R157" s="112">
        <v>2.9732814711081901E-2</v>
      </c>
      <c r="S157">
        <v>0.11439034671088399</v>
      </c>
      <c r="T157">
        <v>-1.39972372048321</v>
      </c>
      <c r="U157">
        <v>1.39972372048321</v>
      </c>
      <c r="V157">
        <v>-2.74</v>
      </c>
      <c r="W157">
        <v>1.84</v>
      </c>
      <c r="X157">
        <v>-260430</v>
      </c>
      <c r="Y157">
        <v>-14468</v>
      </c>
      <c r="Z157">
        <v>-0.98</v>
      </c>
      <c r="AA157">
        <v>18</v>
      </c>
      <c r="AB157">
        <v>5</v>
      </c>
      <c r="AC157">
        <v>13</v>
      </c>
      <c r="AD157">
        <v>27.78</v>
      </c>
      <c r="AE157">
        <v>14</v>
      </c>
      <c r="AF157">
        <v>3</v>
      </c>
      <c r="AG157">
        <v>4</v>
      </c>
      <c r="AH157">
        <v>11</v>
      </c>
    </row>
    <row r="158" spans="1:34">
      <c r="A158" s="108">
        <v>101</v>
      </c>
      <c r="B158">
        <v>5110</v>
      </c>
      <c r="C158" s="112" t="s">
        <v>149</v>
      </c>
      <c r="D158" s="112" t="s">
        <v>150</v>
      </c>
      <c r="E158">
        <v>1437</v>
      </c>
      <c r="F158">
        <v>1432</v>
      </c>
      <c r="G158">
        <v>700</v>
      </c>
      <c r="H158" s="112" t="s">
        <v>81</v>
      </c>
      <c r="I158">
        <v>5803</v>
      </c>
      <c r="J158" s="112" t="s">
        <v>48</v>
      </c>
      <c r="K158" s="112" t="s">
        <v>153</v>
      </c>
      <c r="L158">
        <v>493</v>
      </c>
      <c r="M158">
        <v>491</v>
      </c>
      <c r="N158">
        <v>2000</v>
      </c>
      <c r="O158" s="112" t="s">
        <v>83</v>
      </c>
      <c r="P158">
        <v>0.93579664354154302</v>
      </c>
      <c r="Q158">
        <v>0.91803271755849403</v>
      </c>
      <c r="R158" s="20">
        <v>2.7792602730979499E-2</v>
      </c>
      <c r="S158" s="20">
        <v>2.3879528748882699E-2</v>
      </c>
      <c r="T158">
        <v>-0.92109771002484297</v>
      </c>
      <c r="U158">
        <v>0.92109771002484297</v>
      </c>
      <c r="V158">
        <v>-6.44</v>
      </c>
      <c r="W158">
        <v>2.04</v>
      </c>
      <c r="X158">
        <v>-308037</v>
      </c>
      <c r="Y158">
        <v>-17113</v>
      </c>
      <c r="Z158">
        <v>-0.84</v>
      </c>
      <c r="AA158">
        <v>18</v>
      </c>
      <c r="AB158">
        <v>6</v>
      </c>
      <c r="AC158">
        <v>12</v>
      </c>
      <c r="AD158">
        <v>33.33</v>
      </c>
      <c r="AE158">
        <v>12</v>
      </c>
      <c r="AF158">
        <v>5</v>
      </c>
      <c r="AG158">
        <v>6</v>
      </c>
      <c r="AH158">
        <v>7</v>
      </c>
    </row>
    <row r="159" spans="1:34">
      <c r="A159" s="108">
        <v>127</v>
      </c>
      <c r="B159">
        <v>4686</v>
      </c>
      <c r="C159" s="112" t="s">
        <v>1299</v>
      </c>
      <c r="D159" s="112" t="s">
        <v>100</v>
      </c>
      <c r="E159">
        <v>5910</v>
      </c>
      <c r="F159">
        <v>5910</v>
      </c>
      <c r="G159">
        <v>200</v>
      </c>
      <c r="H159" s="112" t="s">
        <v>83</v>
      </c>
      <c r="I159">
        <v>6702</v>
      </c>
      <c r="J159" s="112" t="s">
        <v>357</v>
      </c>
      <c r="K159" s="112" t="s">
        <v>108</v>
      </c>
      <c r="L159">
        <v>10200</v>
      </c>
      <c r="M159">
        <v>10055</v>
      </c>
      <c r="N159">
        <v>100</v>
      </c>
      <c r="O159" s="112" t="s">
        <v>81</v>
      </c>
      <c r="P159">
        <v>0.93343009191449799</v>
      </c>
      <c r="Q159">
        <v>0.91135160336366305</v>
      </c>
      <c r="R159">
        <v>4.8945474673179202E-4</v>
      </c>
      <c r="S159">
        <v>0.15520594180637501</v>
      </c>
      <c r="T159">
        <v>1.6076170745494101</v>
      </c>
      <c r="U159">
        <v>1.6076170745494101</v>
      </c>
      <c r="V159">
        <v>14.36</v>
      </c>
      <c r="W159">
        <v>17.55</v>
      </c>
      <c r="X159">
        <v>-319315</v>
      </c>
      <c r="Y159">
        <v>-21288</v>
      </c>
      <c r="Z159">
        <v>-1.34</v>
      </c>
      <c r="AA159">
        <v>15</v>
      </c>
      <c r="AB159">
        <v>6</v>
      </c>
      <c r="AC159">
        <v>9</v>
      </c>
      <c r="AD159">
        <v>40</v>
      </c>
      <c r="AE159">
        <v>11</v>
      </c>
      <c r="AF159">
        <v>5</v>
      </c>
      <c r="AG159">
        <v>8</v>
      </c>
      <c r="AH159">
        <v>2</v>
      </c>
    </row>
    <row r="160" spans="1:34">
      <c r="A160" s="108">
        <v>86</v>
      </c>
      <c r="B160">
        <v>1824</v>
      </c>
      <c r="C160" s="112" t="s">
        <v>337</v>
      </c>
      <c r="D160" s="112" t="s">
        <v>99</v>
      </c>
      <c r="E160">
        <v>1081</v>
      </c>
      <c r="F160">
        <v>1069</v>
      </c>
      <c r="G160">
        <v>1000</v>
      </c>
      <c r="H160" s="112" t="s">
        <v>81</v>
      </c>
      <c r="I160">
        <v>1860</v>
      </c>
      <c r="J160" s="112" t="s">
        <v>132</v>
      </c>
      <c r="K160" s="112" t="s">
        <v>99</v>
      </c>
      <c r="L160">
        <v>746</v>
      </c>
      <c r="M160">
        <v>738</v>
      </c>
      <c r="N160">
        <v>1400</v>
      </c>
      <c r="O160" s="112" t="s">
        <v>83</v>
      </c>
      <c r="P160">
        <v>0.92880932670580896</v>
      </c>
      <c r="Q160">
        <v>0.92307277569462798</v>
      </c>
      <c r="R160">
        <v>0.20473029292352901</v>
      </c>
      <c r="S160" s="20">
        <v>2.1751226065286702E-2</v>
      </c>
      <c r="T160">
        <v>-1.42050043768017</v>
      </c>
      <c r="U160">
        <v>1.42050043768017</v>
      </c>
      <c r="V160">
        <v>-2.73</v>
      </c>
      <c r="W160">
        <v>3.35</v>
      </c>
      <c r="X160">
        <v>-347677</v>
      </c>
      <c r="Y160">
        <v>-18299</v>
      </c>
      <c r="Z160">
        <v>-0.89</v>
      </c>
      <c r="AA160">
        <v>19</v>
      </c>
      <c r="AB160">
        <v>7</v>
      </c>
      <c r="AC160">
        <v>12</v>
      </c>
      <c r="AD160">
        <v>36.840000000000003</v>
      </c>
      <c r="AE160">
        <v>12</v>
      </c>
      <c r="AF160">
        <v>3</v>
      </c>
      <c r="AG160">
        <v>8</v>
      </c>
      <c r="AH160">
        <v>8</v>
      </c>
    </row>
    <row r="161" spans="1:34">
      <c r="A161" s="108">
        <v>64</v>
      </c>
      <c r="B161">
        <v>6588</v>
      </c>
      <c r="C161" s="112" t="s">
        <v>981</v>
      </c>
      <c r="D161" s="112" t="s">
        <v>108</v>
      </c>
      <c r="E161">
        <v>4625</v>
      </c>
      <c r="F161">
        <v>4530</v>
      </c>
      <c r="G161">
        <v>200</v>
      </c>
      <c r="H161" s="112" t="s">
        <v>81</v>
      </c>
      <c r="I161">
        <v>6920</v>
      </c>
      <c r="J161" s="112" t="s">
        <v>107</v>
      </c>
      <c r="K161" s="112" t="s">
        <v>108</v>
      </c>
      <c r="L161">
        <v>9950</v>
      </c>
      <c r="M161">
        <v>9850</v>
      </c>
      <c r="N161">
        <v>100</v>
      </c>
      <c r="O161" s="112" t="s">
        <v>83</v>
      </c>
      <c r="P161">
        <v>0.95692484778381703</v>
      </c>
      <c r="Q161">
        <v>0.93061395307128103</v>
      </c>
      <c r="R161">
        <v>9.9973967827147903E-2</v>
      </c>
      <c r="S161">
        <v>0.19297325733607501</v>
      </c>
      <c r="T161">
        <v>-1.22527086886002</v>
      </c>
      <c r="U161">
        <v>1.22527086886002</v>
      </c>
      <c r="V161">
        <v>-5.24</v>
      </c>
      <c r="W161">
        <v>8.02</v>
      </c>
      <c r="X161">
        <v>-349103</v>
      </c>
      <c r="Y161">
        <v>-21819</v>
      </c>
      <c r="Z161">
        <v>-1.37</v>
      </c>
      <c r="AA161">
        <v>16</v>
      </c>
      <c r="AB161">
        <v>5</v>
      </c>
      <c r="AC161">
        <v>11</v>
      </c>
      <c r="AD161">
        <v>31.25</v>
      </c>
      <c r="AE161">
        <v>9</v>
      </c>
      <c r="AF161">
        <v>3</v>
      </c>
      <c r="AG161">
        <v>10</v>
      </c>
      <c r="AH161">
        <v>3</v>
      </c>
    </row>
    <row r="162" spans="1:34">
      <c r="A162" s="108">
        <v>122</v>
      </c>
      <c r="B162">
        <v>3635</v>
      </c>
      <c r="C162" s="112" t="s">
        <v>106</v>
      </c>
      <c r="D162" s="112" t="s">
        <v>100</v>
      </c>
      <c r="E162">
        <v>2727</v>
      </c>
      <c r="F162">
        <v>2709</v>
      </c>
      <c r="G162">
        <v>200</v>
      </c>
      <c r="H162" s="112" t="s">
        <v>81</v>
      </c>
      <c r="I162">
        <v>4686</v>
      </c>
      <c r="J162" s="112" t="s">
        <v>1299</v>
      </c>
      <c r="K162" s="112" t="s">
        <v>100</v>
      </c>
      <c r="L162">
        <v>5910</v>
      </c>
      <c r="M162">
        <v>5910</v>
      </c>
      <c r="N162">
        <v>100</v>
      </c>
      <c r="O162" s="112" t="s">
        <v>83</v>
      </c>
      <c r="P162">
        <v>0.91377003500196297</v>
      </c>
      <c r="Q162">
        <v>0.91330375510607897</v>
      </c>
      <c r="R162" s="20">
        <v>0.16803012869794701</v>
      </c>
      <c r="S162">
        <v>0.25255182691435102</v>
      </c>
      <c r="T162">
        <v>-1.2980125426968001</v>
      </c>
      <c r="U162">
        <v>1.2980125426968001</v>
      </c>
      <c r="V162">
        <v>-16.13</v>
      </c>
      <c r="W162">
        <v>8.32</v>
      </c>
      <c r="X162">
        <v>-359580</v>
      </c>
      <c r="Y162">
        <v>-17123</v>
      </c>
      <c r="Z162">
        <v>-0.72</v>
      </c>
      <c r="AA162">
        <v>21</v>
      </c>
      <c r="AB162">
        <v>10</v>
      </c>
      <c r="AC162">
        <v>11</v>
      </c>
      <c r="AD162">
        <v>47.62</v>
      </c>
      <c r="AE162">
        <v>10</v>
      </c>
      <c r="AF162">
        <v>8</v>
      </c>
      <c r="AG162">
        <v>8</v>
      </c>
      <c r="AH162">
        <v>5</v>
      </c>
    </row>
    <row r="163" spans="1:34">
      <c r="C163" s="112"/>
      <c r="D163" s="112"/>
      <c r="H163" s="112"/>
      <c r="J163" s="112"/>
      <c r="K163" s="112"/>
      <c r="O163" s="112"/>
      <c r="S163" s="20"/>
    </row>
    <row r="164" spans="1:34">
      <c r="C164" s="112"/>
      <c r="D164" s="112"/>
      <c r="H164" s="112"/>
      <c r="J164" s="112"/>
      <c r="K164" s="112"/>
      <c r="O164" s="112"/>
    </row>
    <row r="165" spans="1:34">
      <c r="C165" s="112"/>
      <c r="D165" s="112"/>
      <c r="H165" s="112"/>
      <c r="J165" s="112"/>
      <c r="K165" s="112"/>
      <c r="O165" s="112"/>
    </row>
    <row r="166" spans="1:34">
      <c r="C166" s="112"/>
      <c r="D166" s="112"/>
      <c r="H166" s="112"/>
      <c r="J166" s="112"/>
      <c r="K166" s="112"/>
      <c r="O166" s="112"/>
    </row>
    <row r="167" spans="1:34">
      <c r="C167" s="112"/>
      <c r="D167" s="112"/>
      <c r="H167" s="112"/>
      <c r="J167" s="112"/>
      <c r="K167" s="112"/>
      <c r="O167" s="112"/>
    </row>
    <row r="168" spans="1:34">
      <c r="C168" s="112"/>
      <c r="D168" s="112"/>
      <c r="H168" s="112"/>
      <c r="J168" s="112"/>
      <c r="K168" s="112"/>
      <c r="O168" s="112"/>
    </row>
    <row r="169" spans="1:34">
      <c r="C169" s="112"/>
      <c r="D169" s="112"/>
      <c r="H169" s="112"/>
      <c r="J169" s="112"/>
      <c r="K169" s="112"/>
      <c r="O169" s="112"/>
    </row>
    <row r="170" spans="1:34">
      <c r="C170" s="112"/>
      <c r="D170" s="112"/>
      <c r="H170" s="112"/>
      <c r="J170" s="112"/>
      <c r="K170" s="112"/>
      <c r="O170" s="112"/>
      <c r="R170" s="20"/>
    </row>
    <row r="171" spans="1:34">
      <c r="C171" s="112"/>
      <c r="D171" s="112"/>
      <c r="H171" s="112"/>
      <c r="J171" s="112"/>
      <c r="K171" s="112"/>
      <c r="O171" s="112"/>
    </row>
    <row r="172" spans="1:34">
      <c r="C172" s="112"/>
      <c r="D172" s="112"/>
      <c r="H172" s="112"/>
      <c r="J172" s="112"/>
      <c r="K172" s="112"/>
      <c r="O172" s="112"/>
    </row>
    <row r="173" spans="1:34">
      <c r="C173" s="112"/>
      <c r="D173" s="112"/>
      <c r="H173" s="112"/>
      <c r="J173" s="112"/>
      <c r="K173" s="112"/>
      <c r="O173" s="112"/>
    </row>
    <row r="174" spans="1:34">
      <c r="C174" s="112"/>
      <c r="D174" s="112"/>
      <c r="H174" s="112"/>
      <c r="J174" s="112"/>
      <c r="K174" s="112"/>
      <c r="O174" s="112"/>
      <c r="S174" s="20"/>
    </row>
    <row r="175" spans="1:34">
      <c r="C175" s="112"/>
      <c r="D175" s="112"/>
      <c r="H175" s="112"/>
      <c r="J175" s="112"/>
      <c r="K175" s="112"/>
      <c r="O175" s="112"/>
      <c r="S175" s="20"/>
    </row>
    <row r="176" spans="1:34">
      <c r="C176" s="112"/>
      <c r="D176" s="112"/>
      <c r="H176" s="112"/>
      <c r="J176" s="112"/>
      <c r="K176" s="112"/>
      <c r="O176" s="112"/>
    </row>
    <row r="177" spans="3:19">
      <c r="C177" s="112"/>
      <c r="D177" s="112"/>
      <c r="H177" s="112"/>
      <c r="J177" s="112"/>
      <c r="K177" s="112"/>
      <c r="O177" s="112"/>
    </row>
    <row r="178" spans="3:19">
      <c r="C178" s="112"/>
      <c r="D178" s="112"/>
      <c r="H178" s="112"/>
      <c r="J178" s="112"/>
      <c r="K178" s="112"/>
      <c r="O178" s="112"/>
    </row>
    <row r="179" spans="3:19">
      <c r="C179" s="112"/>
      <c r="D179" s="112"/>
      <c r="H179" s="112"/>
      <c r="J179" s="112"/>
      <c r="K179" s="112"/>
      <c r="O179" s="112"/>
    </row>
    <row r="180" spans="3:19">
      <c r="C180" s="112"/>
      <c r="D180" s="112"/>
      <c r="H180" s="112"/>
      <c r="J180" s="112"/>
      <c r="K180" s="112"/>
      <c r="O180" s="112"/>
    </row>
    <row r="181" spans="3:19">
      <c r="C181" s="112"/>
      <c r="D181" s="112"/>
      <c r="H181" s="112"/>
      <c r="J181" s="112"/>
      <c r="K181" s="112"/>
      <c r="O181" s="112"/>
      <c r="S181" s="20"/>
    </row>
    <row r="182" spans="3:19">
      <c r="C182" s="112"/>
      <c r="D182" s="112"/>
      <c r="H182" s="112"/>
      <c r="J182" s="112"/>
      <c r="K182" s="112"/>
      <c r="O182" s="112"/>
      <c r="R182" s="20"/>
    </row>
    <row r="183" spans="3:19">
      <c r="C183" s="112"/>
      <c r="D183" s="112"/>
      <c r="H183" s="112"/>
      <c r="J183" s="112"/>
      <c r="K183" s="112"/>
      <c r="O183" s="112"/>
    </row>
    <row r="184" spans="3:19">
      <c r="C184" s="112"/>
      <c r="D184" s="112"/>
      <c r="H184" s="112"/>
      <c r="J184" s="112"/>
      <c r="K184" s="112"/>
      <c r="O184" s="112"/>
      <c r="R184" s="20"/>
    </row>
    <row r="185" spans="3:19">
      <c r="C185" s="112"/>
      <c r="D185" s="112"/>
      <c r="H185" s="112"/>
      <c r="J185" s="112"/>
      <c r="K185" s="112"/>
      <c r="O185" s="112"/>
    </row>
    <row r="186" spans="3:19">
      <c r="C186" s="112"/>
      <c r="D186" s="112"/>
      <c r="H186" s="112"/>
      <c r="J186" s="112"/>
      <c r="K186" s="112"/>
      <c r="O186" s="112"/>
    </row>
    <row r="187" spans="3:19">
      <c r="C187" s="112"/>
      <c r="D187" s="112"/>
      <c r="H187" s="112"/>
      <c r="J187" s="112"/>
      <c r="K187" s="112"/>
      <c r="O187" s="112"/>
    </row>
    <row r="188" spans="3:19">
      <c r="C188" s="112"/>
      <c r="D188" s="112"/>
      <c r="H188" s="112"/>
      <c r="J188" s="112"/>
      <c r="K188" s="112"/>
      <c r="O188" s="112"/>
    </row>
    <row r="189" spans="3:19">
      <c r="C189" s="112"/>
      <c r="D189" s="112"/>
      <c r="H189" s="112"/>
      <c r="J189" s="112"/>
      <c r="K189" s="112"/>
      <c r="O189" s="112"/>
    </row>
    <row r="190" spans="3:19">
      <c r="C190" s="112"/>
      <c r="D190" s="112"/>
      <c r="H190" s="112"/>
      <c r="J190" s="112"/>
      <c r="K190" s="112"/>
      <c r="O190" s="112"/>
      <c r="S190" s="20"/>
    </row>
    <row r="191" spans="3:19">
      <c r="C191" s="112"/>
      <c r="D191" s="112"/>
      <c r="H191" s="112"/>
      <c r="J191" s="112"/>
      <c r="K191" s="112"/>
      <c r="O191" s="112"/>
      <c r="S191" s="20"/>
    </row>
    <row r="192" spans="3:19">
      <c r="C192" s="112"/>
      <c r="D192" s="112"/>
      <c r="H192" s="112"/>
      <c r="J192" s="112"/>
      <c r="K192" s="112"/>
      <c r="O192" s="112"/>
    </row>
    <row r="193" spans="3:19">
      <c r="C193" s="112"/>
      <c r="D193" s="112"/>
      <c r="H193" s="112"/>
      <c r="J193" s="112"/>
      <c r="K193" s="112"/>
      <c r="O193" s="112"/>
    </row>
    <row r="194" spans="3:19">
      <c r="C194" s="112"/>
      <c r="D194" s="112"/>
      <c r="H194" s="112"/>
      <c r="J194" s="112"/>
      <c r="K194" s="112"/>
      <c r="O194" s="112"/>
    </row>
    <row r="195" spans="3:19">
      <c r="C195" s="112"/>
      <c r="D195" s="112"/>
      <c r="H195" s="112"/>
      <c r="J195" s="112"/>
      <c r="K195" s="112"/>
      <c r="O195" s="112"/>
    </row>
    <row r="196" spans="3:19">
      <c r="C196" s="112"/>
      <c r="D196" s="112"/>
      <c r="H196" s="112"/>
      <c r="J196" s="112"/>
      <c r="K196" s="112"/>
      <c r="O196" s="112"/>
    </row>
    <row r="197" spans="3:19">
      <c r="C197" s="112"/>
      <c r="D197" s="112"/>
      <c r="H197" s="112"/>
      <c r="J197" s="112"/>
      <c r="K197" s="112"/>
      <c r="O197" s="112"/>
      <c r="R197" s="20"/>
      <c r="S197" s="20"/>
    </row>
    <row r="198" spans="3:19">
      <c r="C198" s="112"/>
      <c r="D198" s="112"/>
      <c r="H198" s="112"/>
      <c r="J198" s="112"/>
      <c r="K198" s="112"/>
      <c r="O198" s="112"/>
    </row>
    <row r="199" spans="3:19">
      <c r="C199" s="112"/>
      <c r="D199" s="112"/>
      <c r="H199" s="112"/>
      <c r="J199" s="112"/>
      <c r="K199" s="112"/>
      <c r="O199" s="112"/>
    </row>
    <row r="200" spans="3:19">
      <c r="C200" s="112"/>
      <c r="D200" s="112"/>
      <c r="H200" s="112"/>
      <c r="J200" s="112"/>
      <c r="K200" s="112"/>
      <c r="O200" s="112"/>
    </row>
    <row r="201" spans="3:19">
      <c r="C201" s="112"/>
      <c r="D201" s="112"/>
      <c r="H201" s="112"/>
      <c r="J201" s="112"/>
      <c r="K201" s="112"/>
      <c r="O201" s="112"/>
    </row>
    <row r="202" spans="3:19">
      <c r="C202" s="112"/>
      <c r="D202" s="112"/>
      <c r="H202" s="112"/>
      <c r="J202" s="112"/>
      <c r="K202" s="112"/>
      <c r="O202" s="112"/>
    </row>
    <row r="203" spans="3:19">
      <c r="C203" s="112"/>
      <c r="D203" s="112"/>
      <c r="H203" s="112"/>
      <c r="J203" s="112"/>
      <c r="K203" s="112"/>
      <c r="O203" s="112"/>
    </row>
    <row r="204" spans="3:19">
      <c r="C204" s="112"/>
      <c r="D204" s="112"/>
      <c r="H204" s="112"/>
      <c r="J204" s="112"/>
      <c r="K204" s="112"/>
      <c r="O204" s="112"/>
    </row>
    <row r="205" spans="3:19">
      <c r="C205" s="112"/>
      <c r="D205" s="112"/>
      <c r="H205" s="112"/>
      <c r="J205" s="112"/>
      <c r="K205" s="112"/>
      <c r="O205" s="112"/>
    </row>
    <row r="206" spans="3:19">
      <c r="C206" s="112"/>
      <c r="D206" s="112"/>
      <c r="H206" s="112"/>
      <c r="J206" s="112"/>
      <c r="K206" s="112"/>
      <c r="O206" s="112"/>
      <c r="R206" s="20"/>
    </row>
    <row r="207" spans="3:19">
      <c r="C207" s="112"/>
      <c r="D207" s="112"/>
      <c r="H207" s="112"/>
      <c r="J207" s="112"/>
      <c r="K207" s="112"/>
      <c r="O207" s="112"/>
    </row>
    <row r="208" spans="3:19">
      <c r="C208" s="112"/>
      <c r="D208" s="112"/>
      <c r="H208" s="112"/>
      <c r="J208" s="112"/>
      <c r="K208" s="112"/>
      <c r="O208" s="112"/>
    </row>
    <row r="209" spans="3:19">
      <c r="C209" s="112"/>
      <c r="D209" s="112"/>
      <c r="H209" s="112"/>
      <c r="J209" s="112"/>
      <c r="K209" s="112"/>
      <c r="O209" s="112"/>
    </row>
    <row r="210" spans="3:19">
      <c r="C210" s="112"/>
      <c r="D210" s="112"/>
      <c r="H210" s="112"/>
      <c r="J210" s="112"/>
      <c r="K210" s="112"/>
      <c r="O210" s="112"/>
    </row>
    <row r="211" spans="3:19">
      <c r="C211" s="112"/>
      <c r="D211" s="112"/>
      <c r="H211" s="112"/>
      <c r="J211" s="112"/>
      <c r="K211" s="112"/>
      <c r="O211" s="112"/>
    </row>
    <row r="212" spans="3:19">
      <c r="C212" s="112"/>
      <c r="D212" s="112"/>
      <c r="H212" s="112"/>
      <c r="J212" s="112"/>
      <c r="K212" s="112"/>
      <c r="O212" s="112"/>
    </row>
    <row r="213" spans="3:19">
      <c r="C213" s="112"/>
      <c r="D213" s="112"/>
      <c r="H213" s="112"/>
      <c r="J213" s="112"/>
      <c r="K213" s="112"/>
      <c r="O213" s="112"/>
      <c r="S213" s="20"/>
    </row>
    <row r="214" spans="3:19">
      <c r="C214" s="112"/>
      <c r="D214" s="112"/>
      <c r="H214" s="112"/>
      <c r="J214" s="112"/>
      <c r="K214" s="112"/>
      <c r="O214" s="112"/>
    </row>
    <row r="215" spans="3:19">
      <c r="C215" s="112"/>
      <c r="D215" s="112"/>
      <c r="H215" s="112"/>
      <c r="J215" s="112"/>
      <c r="K215" s="112"/>
      <c r="O215" s="112"/>
      <c r="R215" s="20"/>
    </row>
    <row r="216" spans="3:19">
      <c r="C216" s="112"/>
      <c r="D216" s="112"/>
      <c r="H216" s="112"/>
      <c r="J216" s="112"/>
      <c r="K216" s="112"/>
      <c r="O216" s="112"/>
    </row>
    <row r="217" spans="3:19">
      <c r="C217" s="112"/>
      <c r="D217" s="112"/>
      <c r="H217" s="112"/>
      <c r="J217" s="112"/>
      <c r="K217" s="112"/>
      <c r="O217" s="112"/>
    </row>
    <row r="218" spans="3:19">
      <c r="C218" s="112"/>
      <c r="D218" s="112"/>
      <c r="H218" s="112"/>
      <c r="J218" s="112"/>
      <c r="K218" s="112"/>
      <c r="O218" s="112"/>
    </row>
    <row r="219" spans="3:19">
      <c r="C219" s="112"/>
      <c r="D219" s="112"/>
      <c r="H219" s="112"/>
      <c r="J219" s="112"/>
      <c r="K219" s="112"/>
      <c r="O219" s="112"/>
    </row>
    <row r="220" spans="3:19">
      <c r="C220" s="112"/>
      <c r="D220" s="112"/>
      <c r="H220" s="112"/>
      <c r="J220" s="112"/>
      <c r="K220" s="112"/>
      <c r="O220" s="112"/>
    </row>
    <row r="221" spans="3:19">
      <c r="C221" s="112"/>
      <c r="D221" s="112"/>
      <c r="H221" s="112"/>
      <c r="J221" s="112"/>
      <c r="K221" s="112"/>
      <c r="O221" s="112"/>
      <c r="R221" s="20"/>
    </row>
    <row r="222" spans="3:19">
      <c r="C222" s="112"/>
      <c r="D222" s="112"/>
      <c r="H222" s="112"/>
      <c r="J222" s="112"/>
      <c r="K222" s="112"/>
      <c r="O222" s="112"/>
      <c r="R222" s="20"/>
    </row>
    <row r="223" spans="3:19">
      <c r="C223" s="112"/>
      <c r="D223" s="112"/>
      <c r="H223" s="112"/>
      <c r="J223" s="112"/>
      <c r="K223" s="112"/>
      <c r="O223" s="112"/>
    </row>
    <row r="224" spans="3:19">
      <c r="C224" s="112"/>
      <c r="D224" s="112"/>
      <c r="H224" s="112"/>
      <c r="J224" s="112"/>
      <c r="K224" s="112"/>
      <c r="O224" s="112"/>
    </row>
    <row r="225" spans="3:19">
      <c r="C225" s="112"/>
      <c r="D225" s="112"/>
      <c r="H225" s="112"/>
      <c r="J225" s="112"/>
      <c r="K225" s="112"/>
      <c r="O225" s="112"/>
      <c r="R225" s="20"/>
    </row>
    <row r="226" spans="3:19">
      <c r="C226" s="112"/>
      <c r="D226" s="112"/>
      <c r="H226" s="112"/>
      <c r="J226" s="112"/>
      <c r="K226" s="112"/>
      <c r="O226" s="112"/>
    </row>
    <row r="227" spans="3:19">
      <c r="C227" s="112"/>
      <c r="D227" s="112"/>
      <c r="H227" s="112"/>
      <c r="J227" s="112"/>
      <c r="K227" s="112"/>
      <c r="O227" s="112"/>
    </row>
    <row r="228" spans="3:19">
      <c r="C228" s="112"/>
      <c r="D228" s="112"/>
      <c r="H228" s="112"/>
      <c r="J228" s="112"/>
      <c r="K228" s="112"/>
      <c r="O228" s="112"/>
    </row>
    <row r="229" spans="3:19">
      <c r="C229" s="112"/>
      <c r="D229" s="112"/>
      <c r="H229" s="112"/>
      <c r="J229" s="112"/>
      <c r="K229" s="112"/>
      <c r="O229" s="112"/>
    </row>
    <row r="230" spans="3:19">
      <c r="C230" s="112"/>
      <c r="D230" s="112"/>
      <c r="H230" s="112"/>
      <c r="J230" s="112"/>
      <c r="K230" s="112"/>
      <c r="O230" s="112"/>
    </row>
    <row r="231" spans="3:19">
      <c r="C231" s="112"/>
      <c r="D231" s="112"/>
      <c r="H231" s="112"/>
      <c r="J231" s="112"/>
      <c r="K231" s="112"/>
      <c r="O231" s="112"/>
    </row>
    <row r="232" spans="3:19">
      <c r="C232" s="112"/>
      <c r="D232" s="112"/>
      <c r="H232" s="112"/>
      <c r="J232" s="112"/>
      <c r="K232" s="112"/>
      <c r="O232" s="112"/>
    </row>
    <row r="233" spans="3:19">
      <c r="C233" s="112"/>
      <c r="D233" s="112"/>
      <c r="H233" s="112"/>
      <c r="J233" s="112"/>
      <c r="K233" s="112"/>
      <c r="O233" s="112"/>
      <c r="R233" s="20"/>
    </row>
    <row r="234" spans="3:19">
      <c r="C234" s="112"/>
      <c r="D234" s="112"/>
      <c r="H234" s="112"/>
      <c r="J234" s="112"/>
      <c r="K234" s="112"/>
      <c r="O234" s="112"/>
    </row>
    <row r="235" spans="3:19">
      <c r="C235" s="112"/>
      <c r="D235" s="112"/>
      <c r="H235" s="112"/>
      <c r="J235" s="112"/>
      <c r="K235" s="112"/>
      <c r="O235" s="112"/>
    </row>
    <row r="236" spans="3:19">
      <c r="C236" s="112"/>
      <c r="D236" s="112"/>
      <c r="H236" s="112"/>
      <c r="J236" s="112"/>
      <c r="K236" s="112"/>
      <c r="O236" s="112"/>
    </row>
    <row r="237" spans="3:19">
      <c r="C237" s="112"/>
      <c r="D237" s="112"/>
      <c r="H237" s="112"/>
      <c r="J237" s="112"/>
      <c r="K237" s="112"/>
      <c r="O237" s="112"/>
      <c r="R237" s="20"/>
      <c r="S237" s="20"/>
    </row>
    <row r="238" spans="3:19">
      <c r="C238" s="112"/>
      <c r="D238" s="112"/>
      <c r="H238" s="112"/>
      <c r="J238" s="112"/>
      <c r="K238" s="112"/>
      <c r="O238" s="112"/>
    </row>
    <row r="239" spans="3:19">
      <c r="C239" s="112"/>
      <c r="D239" s="112"/>
      <c r="H239" s="112"/>
      <c r="J239" s="112"/>
      <c r="K239" s="112"/>
      <c r="O239" s="112"/>
    </row>
    <row r="240" spans="3:19">
      <c r="C240" s="112"/>
      <c r="D240" s="112"/>
      <c r="H240" s="112"/>
      <c r="J240" s="112"/>
      <c r="K240" s="112"/>
      <c r="O240" s="112"/>
      <c r="R240" s="20"/>
    </row>
    <row r="241" spans="3:19">
      <c r="C241" s="112"/>
      <c r="D241" s="112"/>
      <c r="H241" s="112"/>
      <c r="J241" s="112"/>
      <c r="K241" s="112"/>
      <c r="O241" s="112"/>
    </row>
    <row r="242" spans="3:19">
      <c r="C242" s="112"/>
      <c r="D242" s="112"/>
      <c r="H242" s="112"/>
      <c r="J242" s="112"/>
      <c r="K242" s="112"/>
      <c r="O242" s="112"/>
    </row>
    <row r="243" spans="3:19">
      <c r="C243" s="112"/>
      <c r="D243" s="112"/>
      <c r="H243" s="112"/>
      <c r="J243" s="112"/>
      <c r="K243" s="112"/>
      <c r="O243" s="112"/>
      <c r="R243" s="20"/>
    </row>
    <row r="244" spans="3:19">
      <c r="C244" s="112"/>
      <c r="D244" s="112"/>
      <c r="H244" s="112"/>
      <c r="J244" s="112"/>
      <c r="K244" s="112"/>
      <c r="O244" s="112"/>
      <c r="R244" s="20"/>
      <c r="S244" s="20"/>
    </row>
    <row r="245" spans="3:19">
      <c r="C245" s="112"/>
      <c r="D245" s="112"/>
      <c r="H245" s="112"/>
      <c r="J245" s="112"/>
      <c r="K245" s="112"/>
      <c r="O245" s="112"/>
    </row>
    <row r="246" spans="3:19">
      <c r="C246" s="112"/>
      <c r="D246" s="112"/>
      <c r="H246" s="112"/>
      <c r="J246" s="112"/>
      <c r="K246" s="112"/>
      <c r="O246" s="112"/>
    </row>
    <row r="247" spans="3:19">
      <c r="C247" s="112"/>
      <c r="D247" s="112"/>
      <c r="H247" s="112"/>
      <c r="J247" s="112"/>
      <c r="K247" s="112"/>
      <c r="O247" s="112"/>
    </row>
    <row r="248" spans="3:19">
      <c r="C248" s="112"/>
      <c r="D248" s="112"/>
      <c r="H248" s="112"/>
      <c r="J248" s="112"/>
      <c r="K248" s="112"/>
      <c r="O248" s="112"/>
    </row>
    <row r="249" spans="3:19">
      <c r="C249" s="112"/>
      <c r="D249" s="112"/>
      <c r="H249" s="112"/>
      <c r="J249" s="112"/>
      <c r="K249" s="112"/>
      <c r="O249" s="112"/>
    </row>
    <row r="250" spans="3:19">
      <c r="C250" s="112"/>
      <c r="D250" s="112"/>
      <c r="H250" s="112"/>
      <c r="J250" s="112"/>
      <c r="K250" s="112"/>
      <c r="O250" s="112"/>
    </row>
    <row r="251" spans="3:19">
      <c r="C251" s="112"/>
      <c r="D251" s="112"/>
      <c r="H251" s="112"/>
      <c r="J251" s="112"/>
      <c r="K251" s="112"/>
      <c r="O251" s="112"/>
    </row>
    <row r="252" spans="3:19">
      <c r="C252" s="112"/>
      <c r="D252" s="112"/>
      <c r="H252" s="112"/>
      <c r="J252" s="112"/>
      <c r="K252" s="112"/>
      <c r="O252" s="112"/>
    </row>
    <row r="253" spans="3:19">
      <c r="C253" s="112"/>
      <c r="D253" s="112"/>
      <c r="H253" s="112"/>
      <c r="J253" s="112"/>
      <c r="K253" s="112"/>
      <c r="O253" s="112"/>
    </row>
    <row r="254" spans="3:19">
      <c r="C254" s="112"/>
      <c r="D254" s="112"/>
      <c r="H254" s="112"/>
      <c r="J254" s="112"/>
      <c r="K254" s="112"/>
      <c r="O254" s="112"/>
    </row>
    <row r="255" spans="3:19">
      <c r="C255" s="112"/>
      <c r="D255" s="112"/>
      <c r="H255" s="112"/>
      <c r="J255" s="112"/>
      <c r="K255" s="112"/>
      <c r="O255" s="112"/>
    </row>
    <row r="256" spans="3:19">
      <c r="C256" s="112"/>
      <c r="D256" s="112"/>
      <c r="H256" s="112"/>
      <c r="J256" s="112"/>
      <c r="K256" s="112"/>
      <c r="O256" s="112"/>
    </row>
    <row r="257" spans="3:18">
      <c r="C257" s="112"/>
      <c r="D257" s="112"/>
      <c r="H257" s="112"/>
      <c r="J257" s="112"/>
      <c r="K257" s="112"/>
      <c r="O257" s="112"/>
      <c r="R257" s="20"/>
    </row>
    <row r="258" spans="3:18">
      <c r="C258" s="112"/>
      <c r="D258" s="112"/>
      <c r="H258" s="112"/>
      <c r="J258" s="112"/>
      <c r="K258" s="112"/>
      <c r="O258" s="112"/>
    </row>
    <row r="259" spans="3:18">
      <c r="C259" s="112"/>
      <c r="D259" s="112"/>
      <c r="H259" s="112"/>
      <c r="J259" s="112"/>
      <c r="K259" s="112"/>
      <c r="O259" s="112"/>
      <c r="R259" s="20"/>
    </row>
    <row r="260" spans="3:18">
      <c r="C260" s="112"/>
      <c r="D260" s="112"/>
      <c r="H260" s="112"/>
      <c r="J260" s="112"/>
      <c r="K260" s="112"/>
      <c r="O260" s="112"/>
    </row>
    <row r="261" spans="3:18">
      <c r="C261" s="112"/>
      <c r="D261" s="112"/>
      <c r="H261" s="112"/>
      <c r="J261" s="112"/>
      <c r="K261" s="112"/>
      <c r="O261" s="112"/>
    </row>
    <row r="262" spans="3:18">
      <c r="C262" s="112"/>
      <c r="D262" s="112"/>
      <c r="H262" s="112"/>
      <c r="J262" s="112"/>
      <c r="K262" s="112"/>
      <c r="O262" s="112"/>
      <c r="R262" s="20"/>
    </row>
    <row r="263" spans="3:18">
      <c r="C263" s="112"/>
      <c r="D263" s="112"/>
      <c r="H263" s="112"/>
      <c r="J263" s="112"/>
      <c r="K263" s="112"/>
      <c r="O263" s="112"/>
    </row>
    <row r="264" spans="3:18">
      <c r="C264" s="112"/>
      <c r="D264" s="112"/>
      <c r="H264" s="112"/>
      <c r="J264" s="112"/>
      <c r="K264" s="112"/>
      <c r="O264" s="112"/>
    </row>
    <row r="265" spans="3:18">
      <c r="C265" s="112"/>
      <c r="D265" s="112"/>
      <c r="H265" s="112"/>
      <c r="J265" s="112"/>
      <c r="K265" s="112"/>
      <c r="O265" s="112"/>
    </row>
    <row r="266" spans="3:18">
      <c r="C266" s="112"/>
      <c r="D266" s="112"/>
      <c r="H266" s="112"/>
      <c r="J266" s="112"/>
      <c r="K266" s="112"/>
      <c r="O266" s="112"/>
    </row>
    <row r="267" spans="3:18">
      <c r="C267" s="112"/>
      <c r="D267" s="112"/>
      <c r="H267" s="112"/>
      <c r="J267" s="112"/>
      <c r="K267" s="112"/>
      <c r="O267" s="112"/>
    </row>
    <row r="268" spans="3:18">
      <c r="C268" s="112"/>
      <c r="D268" s="112"/>
      <c r="H268" s="112"/>
      <c r="J268" s="112"/>
      <c r="K268" s="112"/>
      <c r="O268" s="112"/>
    </row>
    <row r="269" spans="3:18">
      <c r="C269" s="112"/>
      <c r="D269" s="112"/>
      <c r="H269" s="112"/>
      <c r="J269" s="112"/>
      <c r="K269" s="112"/>
      <c r="O269" s="112"/>
    </row>
    <row r="270" spans="3:18">
      <c r="C270" s="112"/>
      <c r="D270" s="112"/>
      <c r="H270" s="112"/>
      <c r="J270" s="112"/>
      <c r="K270" s="112"/>
      <c r="O270" s="112"/>
    </row>
    <row r="271" spans="3:18">
      <c r="C271" s="112"/>
      <c r="D271" s="112"/>
      <c r="H271" s="112"/>
      <c r="J271" s="112"/>
      <c r="K271" s="112"/>
      <c r="O271" s="112"/>
    </row>
    <row r="272" spans="3:18">
      <c r="C272" s="112"/>
      <c r="D272" s="112"/>
      <c r="H272" s="112"/>
      <c r="J272" s="112"/>
      <c r="K272" s="112"/>
      <c r="O272" s="112"/>
    </row>
    <row r="273" spans="3:18">
      <c r="C273" s="112"/>
      <c r="D273" s="112"/>
      <c r="H273" s="112"/>
      <c r="J273" s="112"/>
      <c r="K273" s="112"/>
      <c r="O273" s="112"/>
    </row>
    <row r="274" spans="3:18">
      <c r="C274" s="112"/>
      <c r="D274" s="112"/>
      <c r="H274" s="112"/>
      <c r="J274" s="112"/>
      <c r="K274" s="112"/>
      <c r="O274" s="112"/>
    </row>
    <row r="275" spans="3:18">
      <c r="C275" s="112"/>
      <c r="D275" s="112"/>
      <c r="H275" s="112"/>
      <c r="J275" s="112"/>
      <c r="K275" s="112"/>
      <c r="O275" s="112"/>
    </row>
    <row r="276" spans="3:18">
      <c r="C276" s="112"/>
      <c r="D276" s="112"/>
      <c r="H276" s="112"/>
      <c r="J276" s="112"/>
      <c r="K276" s="112"/>
      <c r="O276" s="112"/>
    </row>
    <row r="277" spans="3:18">
      <c r="C277" s="112"/>
      <c r="D277" s="112"/>
      <c r="H277" s="112"/>
      <c r="J277" s="112"/>
      <c r="K277" s="112"/>
      <c r="O277" s="112"/>
    </row>
    <row r="278" spans="3:18">
      <c r="C278" s="112"/>
      <c r="D278" s="112"/>
      <c r="H278" s="112"/>
      <c r="J278" s="112"/>
      <c r="K278" s="112"/>
      <c r="O278" s="112"/>
    </row>
    <row r="279" spans="3:18">
      <c r="C279" s="112"/>
      <c r="D279" s="112"/>
      <c r="H279" s="112"/>
      <c r="J279" s="112"/>
      <c r="K279" s="112"/>
      <c r="O279" s="112"/>
    </row>
    <row r="280" spans="3:18">
      <c r="C280" s="112"/>
      <c r="D280" s="112"/>
      <c r="H280" s="112"/>
      <c r="J280" s="112"/>
      <c r="K280" s="112"/>
      <c r="O280" s="112"/>
    </row>
    <row r="281" spans="3:18">
      <c r="C281" s="112"/>
      <c r="D281" s="112"/>
      <c r="H281" s="112"/>
      <c r="J281" s="112"/>
      <c r="K281" s="112"/>
      <c r="O281" s="112"/>
      <c r="R281" s="20"/>
    </row>
    <row r="282" spans="3:18">
      <c r="C282" s="112"/>
      <c r="D282" s="112"/>
      <c r="H282" s="112"/>
      <c r="J282" s="112"/>
      <c r="K282" s="112"/>
      <c r="O282" s="112"/>
    </row>
    <row r="283" spans="3:18">
      <c r="C283" s="112"/>
      <c r="D283" s="112"/>
      <c r="H283" s="112"/>
      <c r="J283" s="112"/>
      <c r="K283" s="112"/>
      <c r="O283" s="112"/>
    </row>
    <row r="284" spans="3:18">
      <c r="C284" s="112"/>
      <c r="D284" s="112"/>
      <c r="H284" s="112"/>
      <c r="J284" s="112"/>
      <c r="K284" s="112"/>
      <c r="O284" s="112"/>
    </row>
    <row r="285" spans="3:18">
      <c r="C285" s="112"/>
      <c r="D285" s="112"/>
      <c r="H285" s="112"/>
      <c r="J285" s="112"/>
      <c r="K285" s="112"/>
      <c r="O285" s="112"/>
    </row>
    <row r="286" spans="3:18">
      <c r="C286" s="112"/>
      <c r="D286" s="112"/>
      <c r="H286" s="112"/>
      <c r="J286" s="112"/>
      <c r="K286" s="112"/>
      <c r="O286" s="112"/>
    </row>
    <row r="287" spans="3:18">
      <c r="C287" s="112"/>
      <c r="D287" s="112"/>
      <c r="H287" s="112"/>
      <c r="J287" s="112"/>
      <c r="K287" s="112"/>
      <c r="O287" s="112"/>
    </row>
    <row r="288" spans="3:18">
      <c r="C288" s="112"/>
      <c r="D288" s="112"/>
      <c r="H288" s="112"/>
      <c r="J288" s="112"/>
      <c r="K288" s="112"/>
      <c r="O288" s="112"/>
    </row>
    <row r="289" spans="3:19">
      <c r="C289" s="112"/>
      <c r="D289" s="112"/>
      <c r="H289" s="112"/>
      <c r="J289" s="112"/>
      <c r="K289" s="112"/>
      <c r="O289" s="112"/>
    </row>
    <row r="290" spans="3:19">
      <c r="C290" s="112"/>
      <c r="D290" s="112"/>
      <c r="H290" s="112"/>
      <c r="J290" s="112"/>
      <c r="K290" s="112"/>
      <c r="O290" s="112"/>
    </row>
    <row r="291" spans="3:19">
      <c r="C291" s="112"/>
      <c r="D291" s="112"/>
      <c r="H291" s="112"/>
      <c r="J291" s="112"/>
      <c r="K291" s="112"/>
      <c r="O291" s="112"/>
    </row>
    <row r="292" spans="3:19">
      <c r="C292" s="112"/>
      <c r="D292" s="112"/>
      <c r="H292" s="112"/>
      <c r="J292" s="112"/>
      <c r="K292" s="112"/>
      <c r="O292" s="112"/>
    </row>
    <row r="293" spans="3:19">
      <c r="C293" s="112"/>
      <c r="D293" s="112"/>
      <c r="H293" s="112"/>
      <c r="J293" s="112"/>
      <c r="K293" s="112"/>
      <c r="O293" s="112"/>
    </row>
    <row r="294" spans="3:19">
      <c r="C294" s="112"/>
      <c r="D294" s="112"/>
      <c r="H294" s="112"/>
      <c r="J294" s="112"/>
      <c r="K294" s="112"/>
      <c r="O294" s="112"/>
    </row>
    <row r="295" spans="3:19">
      <c r="C295" s="112"/>
      <c r="D295" s="112"/>
      <c r="H295" s="112"/>
      <c r="J295" s="112"/>
      <c r="K295" s="112"/>
      <c r="O295" s="112"/>
    </row>
    <row r="296" spans="3:19">
      <c r="C296" s="112"/>
      <c r="D296" s="112"/>
      <c r="H296" s="112"/>
      <c r="J296" s="112"/>
      <c r="K296" s="112"/>
      <c r="O296" s="112"/>
      <c r="R296" s="20"/>
    </row>
    <row r="297" spans="3:19">
      <c r="C297" s="112"/>
      <c r="D297" s="112"/>
      <c r="H297" s="112"/>
      <c r="J297" s="112"/>
      <c r="K297" s="112"/>
      <c r="O297" s="112"/>
      <c r="R297" s="20"/>
    </row>
    <row r="298" spans="3:19">
      <c r="C298" s="112"/>
      <c r="D298" s="112"/>
      <c r="H298" s="112"/>
      <c r="J298" s="112"/>
      <c r="K298" s="112"/>
      <c r="O298" s="112"/>
    </row>
    <row r="299" spans="3:19">
      <c r="C299" s="112"/>
      <c r="D299" s="112"/>
      <c r="H299" s="112"/>
      <c r="J299" s="112"/>
      <c r="K299" s="112"/>
      <c r="O299" s="112"/>
    </row>
    <row r="300" spans="3:19">
      <c r="C300" s="112"/>
      <c r="D300" s="112"/>
      <c r="H300" s="112"/>
      <c r="J300" s="112"/>
      <c r="K300" s="112"/>
      <c r="O300" s="112"/>
    </row>
    <row r="301" spans="3:19">
      <c r="C301" s="112"/>
      <c r="D301" s="112"/>
      <c r="H301" s="112"/>
      <c r="J301" s="112"/>
      <c r="K301" s="112"/>
      <c r="O301" s="112"/>
      <c r="S301" s="20"/>
    </row>
    <row r="302" spans="3:19">
      <c r="C302" s="112"/>
      <c r="D302" s="112"/>
      <c r="H302" s="112"/>
      <c r="J302" s="112"/>
      <c r="K302" s="112"/>
      <c r="O302" s="112"/>
    </row>
    <row r="303" spans="3:19">
      <c r="C303" s="112"/>
      <c r="D303" s="112"/>
      <c r="H303" s="112"/>
      <c r="J303" s="112"/>
      <c r="K303" s="112"/>
      <c r="O303" s="112"/>
    </row>
    <row r="304" spans="3:19">
      <c r="C304" s="112"/>
      <c r="D304" s="112"/>
      <c r="H304" s="112"/>
      <c r="J304" s="112"/>
      <c r="K304" s="112"/>
      <c r="O304" s="112"/>
    </row>
    <row r="305" spans="3:19">
      <c r="C305" s="112"/>
      <c r="D305" s="112"/>
      <c r="H305" s="112"/>
      <c r="J305" s="112"/>
      <c r="K305" s="112"/>
      <c r="O305" s="112"/>
    </row>
    <row r="306" spans="3:19">
      <c r="C306" s="112"/>
      <c r="D306" s="112"/>
      <c r="H306" s="112"/>
      <c r="J306" s="112"/>
      <c r="K306" s="112"/>
      <c r="O306" s="112"/>
      <c r="S306" s="20"/>
    </row>
    <row r="307" spans="3:19">
      <c r="C307" s="112"/>
      <c r="D307" s="112"/>
      <c r="H307" s="112"/>
      <c r="J307" s="112"/>
      <c r="K307" s="112"/>
      <c r="O307" s="112"/>
    </row>
    <row r="308" spans="3:19">
      <c r="C308" s="112"/>
      <c r="D308" s="112"/>
      <c r="H308" s="112"/>
      <c r="J308" s="112"/>
      <c r="K308" s="112"/>
      <c r="O308" s="112"/>
    </row>
    <row r="309" spans="3:19">
      <c r="C309" s="112"/>
      <c r="D309" s="112"/>
      <c r="H309" s="112"/>
      <c r="J309" s="112"/>
      <c r="K309" s="112"/>
      <c r="O309" s="112"/>
    </row>
    <row r="310" spans="3:19">
      <c r="C310" s="112"/>
      <c r="D310" s="112"/>
      <c r="H310" s="112"/>
      <c r="J310" s="112"/>
      <c r="K310" s="112"/>
      <c r="O310" s="112"/>
    </row>
    <row r="311" spans="3:19">
      <c r="C311" s="112"/>
      <c r="D311" s="112"/>
      <c r="H311" s="112"/>
      <c r="J311" s="112"/>
      <c r="K311" s="112"/>
      <c r="O311" s="112"/>
    </row>
    <row r="312" spans="3:19">
      <c r="C312" s="112"/>
      <c r="D312" s="112"/>
      <c r="H312" s="112"/>
      <c r="J312" s="112"/>
      <c r="K312" s="112"/>
      <c r="O312" s="112"/>
    </row>
    <row r="313" spans="3:19">
      <c r="C313" s="112"/>
      <c r="D313" s="112"/>
      <c r="H313" s="112"/>
      <c r="J313" s="112"/>
      <c r="K313" s="112"/>
      <c r="O313" s="112"/>
    </row>
    <row r="314" spans="3:19">
      <c r="C314" s="112"/>
      <c r="D314" s="112"/>
      <c r="H314" s="112"/>
      <c r="J314" s="112"/>
      <c r="K314" s="112"/>
      <c r="O314" s="112"/>
    </row>
    <row r="315" spans="3:19">
      <c r="C315" s="112"/>
      <c r="D315" s="112"/>
      <c r="H315" s="112"/>
      <c r="J315" s="112"/>
      <c r="K315" s="112"/>
      <c r="O315" s="112"/>
    </row>
    <row r="316" spans="3:19">
      <c r="C316" s="112"/>
      <c r="D316" s="112"/>
      <c r="H316" s="112"/>
      <c r="J316" s="112"/>
      <c r="K316" s="112"/>
      <c r="O316" s="112"/>
    </row>
    <row r="317" spans="3:19">
      <c r="C317" s="112"/>
      <c r="D317" s="112"/>
      <c r="H317" s="112"/>
      <c r="J317" s="112"/>
      <c r="K317" s="112"/>
      <c r="O317" s="112"/>
    </row>
    <row r="318" spans="3:19">
      <c r="C318" s="112"/>
      <c r="D318" s="112"/>
      <c r="H318" s="112"/>
      <c r="J318" s="112"/>
      <c r="K318" s="112"/>
      <c r="O318" s="112"/>
    </row>
    <row r="319" spans="3:19">
      <c r="C319" s="112"/>
      <c r="D319" s="112"/>
      <c r="H319" s="112"/>
      <c r="J319" s="112"/>
      <c r="K319" s="112"/>
      <c r="O319" s="112"/>
    </row>
    <row r="320" spans="3:19">
      <c r="C320" s="112"/>
      <c r="D320" s="112"/>
      <c r="H320" s="112"/>
      <c r="J320" s="112"/>
      <c r="K320" s="112"/>
      <c r="O320" s="112"/>
    </row>
    <row r="321" spans="3:18">
      <c r="C321" s="112"/>
      <c r="D321" s="112"/>
      <c r="H321" s="112"/>
      <c r="J321" s="112"/>
      <c r="K321" s="112"/>
      <c r="O321" s="112"/>
      <c r="R321" s="20"/>
    </row>
    <row r="322" spans="3:18">
      <c r="C322" s="112"/>
      <c r="D322" s="112"/>
      <c r="H322" s="112"/>
      <c r="J322" s="112"/>
      <c r="K322" s="112"/>
      <c r="O322" s="112"/>
    </row>
    <row r="323" spans="3:18">
      <c r="C323" s="112"/>
      <c r="D323" s="112"/>
      <c r="H323" s="112"/>
      <c r="J323" s="112"/>
      <c r="K323" s="112"/>
      <c r="O323" s="112"/>
    </row>
    <row r="324" spans="3:18">
      <c r="C324" s="112"/>
      <c r="D324" s="112"/>
      <c r="H324" s="112"/>
      <c r="J324" s="112"/>
      <c r="K324" s="112"/>
      <c r="O324" s="112"/>
    </row>
    <row r="325" spans="3:18">
      <c r="C325" s="112"/>
      <c r="D325" s="112"/>
      <c r="H325" s="112"/>
      <c r="J325" s="112"/>
      <c r="K325" s="112"/>
      <c r="O325" s="112"/>
    </row>
    <row r="326" spans="3:18">
      <c r="C326" s="112"/>
      <c r="D326" s="112"/>
      <c r="H326" s="112"/>
      <c r="J326" s="112"/>
      <c r="K326" s="112"/>
      <c r="O326" s="112"/>
    </row>
    <row r="327" spans="3:18">
      <c r="C327" s="112"/>
      <c r="D327" s="112"/>
      <c r="H327" s="112"/>
      <c r="J327" s="112"/>
      <c r="K327" s="112"/>
      <c r="O327" s="112"/>
    </row>
    <row r="328" spans="3:18">
      <c r="C328" s="112"/>
      <c r="D328" s="112"/>
      <c r="H328" s="112"/>
      <c r="J328" s="112"/>
      <c r="K328" s="112"/>
      <c r="O328" s="112"/>
    </row>
    <row r="329" spans="3:18">
      <c r="C329" s="112"/>
      <c r="D329" s="112"/>
      <c r="H329" s="112"/>
      <c r="J329" s="112"/>
      <c r="K329" s="112"/>
      <c r="O329" s="112"/>
    </row>
    <row r="330" spans="3:18">
      <c r="C330" s="112"/>
      <c r="D330" s="112"/>
      <c r="H330" s="112"/>
      <c r="J330" s="112"/>
      <c r="K330" s="112"/>
      <c r="O330" s="112"/>
    </row>
    <row r="331" spans="3:18">
      <c r="C331" s="112"/>
      <c r="D331" s="112"/>
      <c r="H331" s="112"/>
      <c r="J331" s="112"/>
      <c r="K331" s="112"/>
      <c r="O331" s="112"/>
    </row>
    <row r="332" spans="3:18">
      <c r="C332" s="112"/>
      <c r="D332" s="112"/>
      <c r="H332" s="112"/>
      <c r="J332" s="112"/>
      <c r="K332" s="112"/>
      <c r="O332" s="112"/>
    </row>
    <row r="333" spans="3:18">
      <c r="C333" s="112"/>
      <c r="D333" s="112"/>
      <c r="H333" s="112"/>
      <c r="J333" s="112"/>
      <c r="K333" s="112"/>
      <c r="O333" s="112"/>
    </row>
    <row r="334" spans="3:18">
      <c r="C334" s="112"/>
      <c r="D334" s="112"/>
      <c r="H334" s="112"/>
      <c r="J334" s="112"/>
      <c r="K334" s="112"/>
      <c r="O334" s="112"/>
    </row>
    <row r="335" spans="3:18">
      <c r="C335" s="112"/>
      <c r="D335" s="112"/>
      <c r="H335" s="112"/>
      <c r="J335" s="112"/>
      <c r="K335" s="112"/>
      <c r="O335" s="112"/>
    </row>
    <row r="336" spans="3:18">
      <c r="C336" s="112"/>
      <c r="D336" s="112"/>
      <c r="H336" s="112"/>
      <c r="J336" s="112"/>
      <c r="K336" s="112"/>
      <c r="O336" s="112"/>
      <c r="R336" s="20"/>
    </row>
    <row r="337" spans="3:18">
      <c r="C337" s="112"/>
      <c r="D337" s="112"/>
      <c r="H337" s="112"/>
      <c r="J337" s="112"/>
      <c r="K337" s="112"/>
      <c r="O337" s="112"/>
    </row>
    <row r="338" spans="3:18">
      <c r="C338" s="112"/>
      <c r="D338" s="112"/>
      <c r="H338" s="112"/>
      <c r="J338" s="112"/>
      <c r="K338" s="112"/>
      <c r="O338" s="112"/>
    </row>
    <row r="339" spans="3:18">
      <c r="C339" s="112"/>
      <c r="D339" s="112"/>
      <c r="H339" s="112"/>
      <c r="J339" s="112"/>
      <c r="K339" s="112"/>
      <c r="O339" s="112"/>
    </row>
    <row r="340" spans="3:18">
      <c r="C340" s="112"/>
      <c r="D340" s="112"/>
      <c r="H340" s="112"/>
      <c r="J340" s="112"/>
      <c r="K340" s="112"/>
      <c r="O340" s="112"/>
    </row>
    <row r="341" spans="3:18">
      <c r="C341" s="112"/>
      <c r="D341" s="112"/>
      <c r="H341" s="112"/>
      <c r="J341" s="112"/>
      <c r="K341" s="112"/>
      <c r="O341" s="112"/>
      <c r="R341" s="20"/>
    </row>
    <row r="342" spans="3:18">
      <c r="C342" s="112"/>
      <c r="D342" s="112"/>
      <c r="H342" s="112"/>
      <c r="J342" s="112"/>
      <c r="K342" s="112"/>
      <c r="O342" s="112"/>
    </row>
    <row r="343" spans="3:18">
      <c r="C343" s="112"/>
      <c r="D343" s="112"/>
      <c r="H343" s="112"/>
      <c r="J343" s="112"/>
      <c r="K343" s="112"/>
      <c r="O343" s="112"/>
    </row>
    <row r="344" spans="3:18">
      <c r="C344" s="112"/>
      <c r="D344" s="112"/>
      <c r="H344" s="112"/>
      <c r="J344" s="112"/>
      <c r="K344" s="112"/>
      <c r="O344" s="112"/>
    </row>
    <row r="345" spans="3:18">
      <c r="C345" s="112"/>
      <c r="D345" s="112"/>
      <c r="H345" s="112"/>
      <c r="J345" s="112"/>
      <c r="K345" s="112"/>
      <c r="O345" s="112"/>
    </row>
    <row r="346" spans="3:18">
      <c r="C346" s="112"/>
      <c r="D346" s="112"/>
      <c r="H346" s="112"/>
      <c r="J346" s="112"/>
      <c r="K346" s="112"/>
      <c r="O346" s="112"/>
    </row>
    <row r="347" spans="3:18">
      <c r="C347" s="112"/>
      <c r="D347" s="112"/>
      <c r="H347" s="112"/>
      <c r="J347" s="112"/>
      <c r="K347" s="112"/>
      <c r="O347" s="112"/>
    </row>
    <row r="348" spans="3:18">
      <c r="C348" s="112"/>
      <c r="D348" s="112"/>
      <c r="H348" s="112"/>
      <c r="J348" s="112"/>
      <c r="K348" s="112"/>
      <c r="O348" s="112"/>
    </row>
    <row r="349" spans="3:18">
      <c r="C349" s="112"/>
      <c r="D349" s="112"/>
      <c r="H349" s="112"/>
      <c r="J349" s="112"/>
      <c r="K349" s="112"/>
      <c r="O349" s="112"/>
    </row>
    <row r="350" spans="3:18">
      <c r="C350" s="112"/>
      <c r="D350" s="112"/>
      <c r="H350" s="112"/>
      <c r="J350" s="112"/>
      <c r="K350" s="112"/>
      <c r="O350" s="112"/>
    </row>
    <row r="351" spans="3:18">
      <c r="C351" s="112"/>
      <c r="D351" s="112"/>
      <c r="H351" s="112"/>
      <c r="J351" s="112"/>
      <c r="K351" s="112"/>
      <c r="O351" s="112"/>
    </row>
    <row r="352" spans="3:18">
      <c r="C352" s="112"/>
      <c r="D352" s="112"/>
      <c r="H352" s="112"/>
      <c r="J352" s="112"/>
      <c r="K352" s="112"/>
      <c r="O352" s="112"/>
    </row>
    <row r="353" spans="3:15">
      <c r="C353" s="112"/>
      <c r="D353" s="112"/>
      <c r="H353" s="112"/>
      <c r="J353" s="112"/>
      <c r="K353" s="112"/>
      <c r="O353" s="112"/>
    </row>
    <row r="354" spans="3:15">
      <c r="C354" s="112"/>
      <c r="D354" s="112"/>
      <c r="H354" s="112"/>
      <c r="J354" s="112"/>
      <c r="K354" s="112"/>
      <c r="O354" s="112"/>
    </row>
    <row r="355" spans="3:15">
      <c r="C355" s="112"/>
      <c r="D355" s="112"/>
      <c r="H355" s="112"/>
      <c r="J355" s="112"/>
      <c r="K355" s="112"/>
      <c r="O355" s="112"/>
    </row>
    <row r="356" spans="3:15">
      <c r="C356" s="112"/>
      <c r="D356" s="112"/>
      <c r="H356" s="112"/>
      <c r="J356" s="112"/>
      <c r="K356" s="112"/>
      <c r="O356" s="112"/>
    </row>
    <row r="357" spans="3:15">
      <c r="C357" s="112"/>
      <c r="D357" s="112"/>
      <c r="H357" s="112"/>
      <c r="J357" s="112"/>
      <c r="K357" s="112"/>
      <c r="O357" s="112"/>
    </row>
    <row r="358" spans="3:15">
      <c r="C358" s="112"/>
      <c r="D358" s="112"/>
      <c r="H358" s="112"/>
      <c r="J358" s="112"/>
      <c r="K358" s="112"/>
      <c r="O358" s="112"/>
    </row>
    <row r="359" spans="3:15">
      <c r="C359" s="112"/>
      <c r="D359" s="112"/>
      <c r="H359" s="112"/>
      <c r="J359" s="112"/>
      <c r="K359" s="112"/>
      <c r="O359" s="112"/>
    </row>
    <row r="360" spans="3:15">
      <c r="C360" s="112"/>
      <c r="D360" s="112"/>
      <c r="H360" s="112"/>
      <c r="J360" s="112"/>
      <c r="K360" s="112"/>
      <c r="O360" s="112"/>
    </row>
    <row r="361" spans="3:15">
      <c r="C361" s="112"/>
      <c r="D361" s="112"/>
      <c r="H361" s="112"/>
      <c r="J361" s="112"/>
      <c r="K361" s="112"/>
      <c r="O361" s="112"/>
    </row>
    <row r="362" spans="3:15">
      <c r="C362" s="112"/>
      <c r="D362" s="112"/>
      <c r="H362" s="112"/>
      <c r="J362" s="112"/>
      <c r="K362" s="112"/>
      <c r="O362" s="112"/>
    </row>
    <row r="363" spans="3:15">
      <c r="C363" s="112"/>
      <c r="D363" s="112"/>
      <c r="H363" s="112"/>
      <c r="J363" s="112"/>
      <c r="K363" s="112"/>
      <c r="O363" s="112"/>
    </row>
    <row r="364" spans="3:15">
      <c r="C364" s="112"/>
      <c r="D364" s="112"/>
      <c r="H364" s="112"/>
      <c r="J364" s="112"/>
      <c r="K364" s="112"/>
      <c r="O364" s="112"/>
    </row>
    <row r="365" spans="3:15">
      <c r="C365" s="112"/>
      <c r="D365" s="112"/>
      <c r="H365" s="112"/>
      <c r="J365" s="112"/>
      <c r="K365" s="112"/>
      <c r="O365" s="112"/>
    </row>
    <row r="366" spans="3:15">
      <c r="C366" s="112"/>
      <c r="D366" s="112"/>
      <c r="H366" s="112"/>
      <c r="J366" s="112"/>
      <c r="K366" s="112"/>
      <c r="O366" s="112"/>
    </row>
    <row r="367" spans="3:15">
      <c r="C367" s="112"/>
      <c r="D367" s="112"/>
      <c r="H367" s="112"/>
      <c r="J367" s="112"/>
      <c r="K367" s="112"/>
      <c r="O367" s="112"/>
    </row>
    <row r="368" spans="3:15">
      <c r="C368" s="112"/>
      <c r="D368" s="112"/>
      <c r="H368" s="112"/>
      <c r="J368" s="112"/>
      <c r="K368" s="112"/>
      <c r="O368" s="112"/>
    </row>
    <row r="369" spans="3:19">
      <c r="C369" s="112"/>
      <c r="D369" s="112"/>
      <c r="H369" s="112"/>
      <c r="J369" s="112"/>
      <c r="K369" s="112"/>
      <c r="O369" s="112"/>
    </row>
    <row r="370" spans="3:19">
      <c r="C370" s="112"/>
      <c r="D370" s="112"/>
      <c r="H370" s="112"/>
      <c r="J370" s="112"/>
      <c r="K370" s="112"/>
      <c r="O370" s="112"/>
    </row>
    <row r="371" spans="3:19">
      <c r="C371" s="112"/>
      <c r="D371" s="112"/>
      <c r="H371" s="112"/>
      <c r="J371" s="112"/>
      <c r="K371" s="112"/>
      <c r="O371" s="112"/>
    </row>
    <row r="372" spans="3:19">
      <c r="C372" s="112"/>
      <c r="D372" s="112"/>
      <c r="H372" s="112"/>
      <c r="J372" s="112"/>
      <c r="K372" s="112"/>
      <c r="O372" s="112"/>
    </row>
    <row r="373" spans="3:19">
      <c r="C373" s="112"/>
      <c r="D373" s="112"/>
      <c r="H373" s="112"/>
      <c r="J373" s="112"/>
      <c r="K373" s="112"/>
      <c r="O373" s="112"/>
    </row>
    <row r="374" spans="3:19">
      <c r="C374" s="112"/>
      <c r="D374" s="112"/>
      <c r="H374" s="112"/>
      <c r="J374" s="112"/>
      <c r="K374" s="112"/>
      <c r="O374" s="112"/>
    </row>
    <row r="375" spans="3:19">
      <c r="C375" s="112"/>
      <c r="D375" s="112"/>
      <c r="H375" s="112"/>
      <c r="J375" s="112"/>
      <c r="K375" s="112"/>
      <c r="O375" s="112"/>
    </row>
    <row r="376" spans="3:19">
      <c r="C376" s="112"/>
      <c r="D376" s="112"/>
      <c r="H376" s="112"/>
      <c r="J376" s="112"/>
      <c r="K376" s="112"/>
      <c r="O376" s="112"/>
    </row>
    <row r="377" spans="3:19">
      <c r="C377" s="112"/>
      <c r="D377" s="112"/>
      <c r="H377" s="112"/>
      <c r="J377" s="112"/>
      <c r="K377" s="112"/>
      <c r="O377" s="112"/>
      <c r="S377" s="20"/>
    </row>
    <row r="378" spans="3:19">
      <c r="C378" s="112"/>
      <c r="D378" s="112"/>
      <c r="H378" s="112"/>
      <c r="J378" s="112"/>
      <c r="K378" s="112"/>
      <c r="O378" s="112"/>
    </row>
    <row r="379" spans="3:19">
      <c r="C379" s="112"/>
      <c r="D379" s="112"/>
      <c r="H379" s="112"/>
      <c r="J379" s="112"/>
      <c r="K379" s="112"/>
      <c r="O379" s="112"/>
      <c r="R379" s="20"/>
    </row>
    <row r="380" spans="3:19">
      <c r="C380" s="112"/>
      <c r="D380" s="112"/>
      <c r="H380" s="112"/>
      <c r="J380" s="112"/>
      <c r="K380" s="112"/>
      <c r="O380" s="112"/>
    </row>
    <row r="381" spans="3:19">
      <c r="C381" s="112"/>
      <c r="D381" s="112"/>
      <c r="H381" s="112"/>
      <c r="J381" s="112"/>
      <c r="K381" s="112"/>
      <c r="O381" s="112"/>
    </row>
    <row r="382" spans="3:19">
      <c r="C382" s="112"/>
      <c r="D382" s="112"/>
      <c r="H382" s="112"/>
      <c r="J382" s="112"/>
      <c r="K382" s="112"/>
      <c r="O382" s="112"/>
    </row>
    <row r="383" spans="3:19">
      <c r="C383" s="112"/>
      <c r="D383" s="112"/>
      <c r="H383" s="112"/>
      <c r="J383" s="112"/>
      <c r="K383" s="112"/>
      <c r="O383" s="112"/>
    </row>
    <row r="384" spans="3:19">
      <c r="C384" s="112"/>
      <c r="D384" s="112"/>
      <c r="H384" s="112"/>
      <c r="J384" s="112"/>
      <c r="K384" s="112"/>
      <c r="O384" s="112"/>
    </row>
    <row r="385" spans="3:19">
      <c r="C385" s="112"/>
      <c r="D385" s="112"/>
      <c r="H385" s="112"/>
      <c r="J385" s="112"/>
      <c r="K385" s="112"/>
      <c r="O385" s="112"/>
    </row>
    <row r="386" spans="3:19">
      <c r="C386" s="112"/>
      <c r="D386" s="112"/>
      <c r="H386" s="112"/>
      <c r="J386" s="112"/>
      <c r="K386" s="112"/>
      <c r="O386" s="112"/>
    </row>
    <row r="387" spans="3:19">
      <c r="C387" s="112"/>
      <c r="D387" s="112"/>
      <c r="H387" s="112"/>
      <c r="J387" s="112"/>
      <c r="K387" s="112"/>
      <c r="O387" s="112"/>
    </row>
    <row r="388" spans="3:19">
      <c r="C388" s="112"/>
      <c r="D388" s="112"/>
      <c r="H388" s="112"/>
      <c r="J388" s="112"/>
      <c r="K388" s="112"/>
      <c r="O388" s="112"/>
    </row>
    <row r="389" spans="3:19">
      <c r="C389" s="112"/>
      <c r="D389" s="112"/>
      <c r="H389" s="112"/>
      <c r="J389" s="112"/>
      <c r="K389" s="112"/>
      <c r="O389" s="112"/>
    </row>
    <row r="390" spans="3:19">
      <c r="C390" s="112"/>
      <c r="D390" s="112"/>
      <c r="H390" s="112"/>
      <c r="J390" s="112"/>
      <c r="K390" s="112"/>
      <c r="O390" s="112"/>
      <c r="R390" s="20"/>
    </row>
    <row r="391" spans="3:19">
      <c r="C391" s="112"/>
      <c r="D391" s="112"/>
      <c r="H391" s="112"/>
      <c r="J391" s="112"/>
      <c r="K391" s="112"/>
      <c r="O391" s="112"/>
    </row>
    <row r="392" spans="3:19">
      <c r="C392" s="112"/>
      <c r="D392" s="112"/>
      <c r="H392" s="112"/>
      <c r="J392" s="112"/>
      <c r="K392" s="112"/>
      <c r="O392" s="112"/>
    </row>
    <row r="393" spans="3:19">
      <c r="C393" s="112"/>
      <c r="D393" s="112"/>
      <c r="H393" s="112"/>
      <c r="J393" s="112"/>
      <c r="K393" s="112"/>
      <c r="O393" s="112"/>
    </row>
    <row r="394" spans="3:19">
      <c r="C394" s="112"/>
      <c r="D394" s="112"/>
      <c r="H394" s="112"/>
      <c r="J394" s="112"/>
      <c r="K394" s="112"/>
      <c r="O394" s="112"/>
    </row>
    <row r="395" spans="3:19">
      <c r="C395" s="112"/>
      <c r="D395" s="112"/>
      <c r="H395" s="112"/>
      <c r="J395" s="112"/>
      <c r="K395" s="112"/>
      <c r="O395" s="112"/>
    </row>
    <row r="396" spans="3:19">
      <c r="C396" s="112"/>
      <c r="D396" s="112"/>
      <c r="H396" s="112"/>
      <c r="J396" s="112"/>
      <c r="K396" s="112"/>
      <c r="O396" s="112"/>
    </row>
    <row r="397" spans="3:19">
      <c r="C397" s="112"/>
      <c r="D397" s="112"/>
      <c r="H397" s="112"/>
      <c r="J397" s="112"/>
      <c r="K397" s="112"/>
      <c r="O397" s="112"/>
    </row>
    <row r="398" spans="3:19">
      <c r="C398" s="112"/>
      <c r="D398" s="112"/>
      <c r="H398" s="112"/>
      <c r="J398" s="112"/>
      <c r="K398" s="112"/>
      <c r="O398" s="112"/>
      <c r="S398" s="20"/>
    </row>
    <row r="399" spans="3:19">
      <c r="C399" s="112"/>
      <c r="D399" s="112"/>
      <c r="H399" s="112"/>
      <c r="J399" s="112"/>
      <c r="K399" s="112"/>
      <c r="O399" s="112"/>
    </row>
    <row r="400" spans="3:19">
      <c r="C400" s="112"/>
      <c r="D400" s="112"/>
      <c r="H400" s="112"/>
      <c r="J400" s="112"/>
      <c r="K400" s="112"/>
      <c r="O400" s="112"/>
    </row>
    <row r="401" spans="3:15">
      <c r="C401" s="112"/>
      <c r="D401" s="112"/>
      <c r="H401" s="112"/>
      <c r="J401" s="112"/>
      <c r="K401" s="112"/>
      <c r="O401" s="112"/>
    </row>
    <row r="402" spans="3:15">
      <c r="C402" s="112"/>
      <c r="D402" s="112"/>
      <c r="H402" s="112"/>
      <c r="J402" s="112"/>
      <c r="K402" s="112"/>
      <c r="O402" s="112"/>
    </row>
    <row r="403" spans="3:15">
      <c r="C403" s="112"/>
      <c r="D403" s="112"/>
      <c r="H403" s="112"/>
      <c r="J403" s="112"/>
      <c r="K403" s="112"/>
      <c r="O403" s="112"/>
    </row>
    <row r="404" spans="3:15">
      <c r="C404" s="112"/>
      <c r="D404" s="112"/>
      <c r="H404" s="112"/>
      <c r="J404" s="112"/>
      <c r="K404" s="112"/>
      <c r="O404" s="112"/>
    </row>
    <row r="405" spans="3:15">
      <c r="C405" s="112"/>
      <c r="D405" s="112"/>
      <c r="H405" s="112"/>
      <c r="J405" s="112"/>
      <c r="K405" s="112"/>
      <c r="O405" s="112"/>
    </row>
    <row r="406" spans="3:15">
      <c r="C406" s="112"/>
      <c r="D406" s="112"/>
      <c r="H406" s="112"/>
      <c r="J406" s="112"/>
      <c r="K406" s="112"/>
      <c r="O406" s="112"/>
    </row>
    <row r="407" spans="3:15">
      <c r="C407" s="112"/>
      <c r="D407" s="112"/>
      <c r="H407" s="112"/>
      <c r="J407" s="112"/>
      <c r="K407" s="112"/>
      <c r="O407" s="112"/>
    </row>
    <row r="408" spans="3:15">
      <c r="C408" s="112"/>
      <c r="D408" s="112"/>
      <c r="H408" s="112"/>
      <c r="J408" s="112"/>
      <c r="K408" s="112"/>
      <c r="O408" s="112"/>
    </row>
    <row r="409" spans="3:15">
      <c r="C409" s="112"/>
      <c r="D409" s="112"/>
      <c r="H409" s="112"/>
      <c r="J409" s="112"/>
      <c r="K409" s="112"/>
      <c r="O409" s="112"/>
    </row>
    <row r="410" spans="3:15">
      <c r="C410" s="112"/>
      <c r="D410" s="112"/>
      <c r="H410" s="112"/>
      <c r="J410" s="112"/>
      <c r="K410" s="112"/>
      <c r="O410" s="112"/>
    </row>
    <row r="411" spans="3:15">
      <c r="C411" s="112"/>
      <c r="D411" s="112"/>
      <c r="H411" s="112"/>
      <c r="J411" s="112"/>
      <c r="K411" s="112"/>
      <c r="O411" s="112"/>
    </row>
    <row r="412" spans="3:15">
      <c r="C412" s="112"/>
      <c r="D412" s="112"/>
      <c r="H412" s="112"/>
      <c r="J412" s="112"/>
      <c r="K412" s="112"/>
      <c r="O412" s="112"/>
    </row>
    <row r="413" spans="3:15">
      <c r="C413" s="112"/>
      <c r="D413" s="112"/>
      <c r="H413" s="112"/>
      <c r="J413" s="112"/>
      <c r="K413" s="112"/>
      <c r="O413" s="112"/>
    </row>
    <row r="414" spans="3:15">
      <c r="C414" s="112"/>
      <c r="D414" s="112"/>
      <c r="H414" s="112"/>
      <c r="J414" s="112"/>
      <c r="K414" s="112"/>
      <c r="O414" s="112"/>
    </row>
    <row r="415" spans="3:15">
      <c r="C415" s="112"/>
      <c r="D415" s="112"/>
      <c r="H415" s="112"/>
      <c r="J415" s="112"/>
      <c r="K415" s="112"/>
      <c r="O415" s="112"/>
    </row>
    <row r="416" spans="3:15">
      <c r="C416" s="112"/>
      <c r="D416" s="112"/>
      <c r="H416" s="112"/>
      <c r="J416" s="112"/>
      <c r="K416" s="112"/>
      <c r="O416" s="112"/>
    </row>
    <row r="417" spans="3:15">
      <c r="C417" s="112"/>
      <c r="D417" s="112"/>
      <c r="H417" s="112"/>
      <c r="J417" s="112"/>
      <c r="K417" s="112"/>
      <c r="O417" s="112"/>
    </row>
    <row r="418" spans="3:15">
      <c r="C418" s="112"/>
      <c r="D418" s="112"/>
      <c r="H418" s="112"/>
      <c r="J418" s="112"/>
      <c r="K418" s="112"/>
      <c r="O418" s="112"/>
    </row>
    <row r="419" spans="3:15">
      <c r="C419" s="112"/>
      <c r="D419" s="112"/>
      <c r="H419" s="112"/>
      <c r="J419" s="112"/>
      <c r="K419" s="112"/>
      <c r="O419" s="112"/>
    </row>
    <row r="420" spans="3:15">
      <c r="C420" s="112"/>
      <c r="D420" s="112"/>
      <c r="H420" s="112"/>
      <c r="J420" s="112"/>
      <c r="K420" s="112"/>
      <c r="O420" s="112"/>
    </row>
    <row r="421" spans="3:15">
      <c r="C421" s="112"/>
      <c r="D421" s="112"/>
      <c r="H421" s="112"/>
      <c r="J421" s="112"/>
      <c r="K421" s="112"/>
      <c r="O421" s="112"/>
    </row>
    <row r="422" spans="3:15">
      <c r="C422" s="112"/>
      <c r="D422" s="112"/>
      <c r="H422" s="112"/>
      <c r="J422" s="112"/>
      <c r="K422" s="112"/>
      <c r="O422" s="112"/>
    </row>
    <row r="423" spans="3:15">
      <c r="C423" s="112"/>
      <c r="D423" s="112"/>
      <c r="H423" s="112"/>
      <c r="J423" s="112"/>
      <c r="K423" s="112"/>
      <c r="O423" s="112"/>
    </row>
    <row r="424" spans="3:15">
      <c r="C424" s="112"/>
      <c r="D424" s="112"/>
      <c r="H424" s="112"/>
      <c r="J424" s="112"/>
      <c r="K424" s="112"/>
      <c r="O424" s="112"/>
    </row>
    <row r="425" spans="3:15">
      <c r="C425" s="112"/>
      <c r="D425" s="112"/>
      <c r="H425" s="112"/>
      <c r="J425" s="112"/>
      <c r="K425" s="112"/>
      <c r="O425" s="112"/>
    </row>
    <row r="426" spans="3:15">
      <c r="C426" s="112"/>
      <c r="D426" s="112"/>
      <c r="H426" s="112"/>
      <c r="J426" s="112"/>
      <c r="K426" s="112"/>
      <c r="O426" s="112"/>
    </row>
    <row r="427" spans="3:15">
      <c r="C427" s="112"/>
      <c r="D427" s="112"/>
      <c r="H427" s="112"/>
      <c r="J427" s="112"/>
      <c r="K427" s="112"/>
      <c r="O427" s="112"/>
    </row>
    <row r="428" spans="3:15">
      <c r="C428" s="112"/>
      <c r="D428" s="112"/>
      <c r="H428" s="112"/>
      <c r="J428" s="112"/>
      <c r="K428" s="112"/>
      <c r="O428" s="112"/>
    </row>
    <row r="429" spans="3:15">
      <c r="C429" s="112"/>
      <c r="D429" s="112"/>
      <c r="H429" s="112"/>
      <c r="J429" s="112"/>
      <c r="K429" s="112"/>
      <c r="O429" s="112"/>
    </row>
    <row r="430" spans="3:15">
      <c r="C430" s="112"/>
      <c r="D430" s="112"/>
      <c r="H430" s="112"/>
      <c r="J430" s="112"/>
      <c r="K430" s="112"/>
      <c r="O430" s="112"/>
    </row>
    <row r="431" spans="3:15">
      <c r="C431" s="112"/>
      <c r="D431" s="112"/>
      <c r="H431" s="112"/>
      <c r="J431" s="112"/>
      <c r="K431" s="112"/>
      <c r="O431" s="112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H71"/>
  <sheetViews>
    <sheetView workbookViewId="0">
      <selection activeCell="C4" sqref="C4"/>
    </sheetView>
  </sheetViews>
  <sheetFormatPr defaultRowHeight="14.25"/>
  <cols>
    <col min="1" max="1" width="27.125" customWidth="1"/>
    <col min="2" max="2" width="34.625" customWidth="1"/>
  </cols>
  <sheetData>
    <row r="1" spans="1:4" s="112" customFormat="1">
      <c r="C1" s="1" t="s">
        <v>1043</v>
      </c>
      <c r="D1" s="147">
        <v>0.1</v>
      </c>
    </row>
    <row r="2" spans="1:4" s="112" customFormat="1">
      <c r="A2" s="18" t="s">
        <v>1041</v>
      </c>
      <c r="B2" s="1" t="s">
        <v>1050</v>
      </c>
      <c r="C2" s="1" t="s">
        <v>1042</v>
      </c>
    </row>
    <row r="3" spans="1:4" s="112" customFormat="1">
      <c r="A3" s="112">
        <v>500000</v>
      </c>
      <c r="B3" s="112">
        <v>250</v>
      </c>
      <c r="C3" s="112">
        <f>B3*(1+$D$1)</f>
        <v>275</v>
      </c>
    </row>
    <row r="4" spans="1:4" s="112" customFormat="1">
      <c r="A4" s="112">
        <v>1000000</v>
      </c>
      <c r="B4" s="112">
        <v>487</v>
      </c>
      <c r="C4" s="112">
        <f t="shared" ref="C4:C6" si="0">B4*(1+$D$1)</f>
        <v>535.70000000000005</v>
      </c>
    </row>
    <row r="5" spans="1:4" s="112" customFormat="1">
      <c r="A5" s="112">
        <v>1500000</v>
      </c>
      <c r="B5" s="112">
        <v>582</v>
      </c>
      <c r="C5" s="112">
        <f t="shared" si="0"/>
        <v>640.20000000000005</v>
      </c>
    </row>
    <row r="6" spans="1:4" s="112" customFormat="1">
      <c r="A6" s="112">
        <v>30000000</v>
      </c>
      <c r="B6" s="112">
        <v>921</v>
      </c>
      <c r="C6" s="112">
        <f t="shared" si="0"/>
        <v>1013.1000000000001</v>
      </c>
    </row>
    <row r="7" spans="1:4" s="112" customFormat="1"/>
    <row r="8" spans="1:4" s="112" customFormat="1">
      <c r="A8" s="18" t="s">
        <v>1044</v>
      </c>
      <c r="B8" s="1" t="s">
        <v>1051</v>
      </c>
    </row>
    <row r="9" spans="1:4" s="112" customFormat="1">
      <c r="A9" s="148" t="s">
        <v>1045</v>
      </c>
      <c r="B9" s="150">
        <v>198</v>
      </c>
    </row>
    <row r="10" spans="1:4" s="112" customFormat="1">
      <c r="A10" s="148" t="s">
        <v>1046</v>
      </c>
      <c r="B10" s="150">
        <v>385</v>
      </c>
    </row>
    <row r="11" spans="1:4" s="112" customFormat="1">
      <c r="A11" s="1" t="s">
        <v>1047</v>
      </c>
      <c r="B11" s="151">
        <v>2.8000000000000001E-2</v>
      </c>
    </row>
    <row r="12" spans="1:4" s="112" customFormat="1">
      <c r="A12" s="1" t="s">
        <v>263</v>
      </c>
      <c r="B12" s="151">
        <v>1.0999999999999999E-2</v>
      </c>
    </row>
    <row r="15" spans="1:4" ht="15">
      <c r="A15" s="84" t="s">
        <v>195</v>
      </c>
    </row>
    <row r="16" spans="1:4">
      <c r="B16" s="1"/>
    </row>
    <row r="17" spans="1:2" ht="15.75" thickBot="1">
      <c r="A17" s="75" t="s">
        <v>196</v>
      </c>
    </row>
    <row r="18" spans="1:2" ht="15.75" thickBot="1">
      <c r="A18" s="77" t="s">
        <v>197</v>
      </c>
      <c r="B18" s="78" t="s">
        <v>198</v>
      </c>
    </row>
    <row r="19" spans="1:2" ht="15.75" thickBot="1">
      <c r="A19" s="79" t="s">
        <v>199</v>
      </c>
      <c r="B19" s="76" t="s">
        <v>200</v>
      </c>
    </row>
    <row r="20" spans="1:2" ht="15.75" thickBot="1">
      <c r="A20" s="79" t="s">
        <v>201</v>
      </c>
      <c r="B20" s="76" t="s">
        <v>202</v>
      </c>
    </row>
    <row r="21" spans="1:2" ht="15.75" thickBot="1">
      <c r="A21" s="79" t="s">
        <v>203</v>
      </c>
      <c r="B21" s="76" t="s">
        <v>204</v>
      </c>
    </row>
    <row r="22" spans="1:2" ht="15.75" thickBot="1">
      <c r="A22" s="79" t="s">
        <v>205</v>
      </c>
      <c r="B22" s="76" t="s">
        <v>206</v>
      </c>
    </row>
    <row r="23" spans="1:2" ht="15.75" thickBot="1">
      <c r="A23" s="80" t="s">
        <v>207</v>
      </c>
      <c r="B23" s="81" t="s">
        <v>208</v>
      </c>
    </row>
    <row r="24" spans="1:2" ht="15.75" thickBot="1">
      <c r="A24" s="82" t="s">
        <v>209</v>
      </c>
      <c r="B24" s="83" t="s">
        <v>210</v>
      </c>
    </row>
    <row r="25" spans="1:2" ht="15.75" thickBot="1">
      <c r="A25" s="79" t="s">
        <v>211</v>
      </c>
      <c r="B25" s="76" t="s">
        <v>212</v>
      </c>
    </row>
    <row r="26" spans="1:2" ht="15.75" thickBot="1">
      <c r="A26" s="79" t="s">
        <v>213</v>
      </c>
      <c r="B26" s="76" t="s">
        <v>214</v>
      </c>
    </row>
    <row r="27" spans="1:2" ht="15.75" thickBot="1">
      <c r="A27" s="75" t="s">
        <v>215</v>
      </c>
    </row>
    <row r="28" spans="1:2" ht="15.75" thickBot="1">
      <c r="A28" s="77" t="s">
        <v>197</v>
      </c>
      <c r="B28" s="78" t="s">
        <v>198</v>
      </c>
    </row>
    <row r="29" spans="1:2" ht="15.75" thickBot="1">
      <c r="A29" s="79" t="s">
        <v>201</v>
      </c>
      <c r="B29" s="76" t="s">
        <v>202</v>
      </c>
    </row>
    <row r="30" spans="1:2" ht="15.75" thickBot="1">
      <c r="A30" s="79" t="s">
        <v>203</v>
      </c>
      <c r="B30" s="76" t="s">
        <v>216</v>
      </c>
    </row>
    <row r="31" spans="1:2" ht="15.75" thickBot="1">
      <c r="A31" s="79" t="s">
        <v>205</v>
      </c>
      <c r="B31" s="76" t="s">
        <v>217</v>
      </c>
    </row>
    <row r="32" spans="1:2" ht="15.75" thickBot="1">
      <c r="A32" s="80" t="s">
        <v>218</v>
      </c>
      <c r="B32" s="81" t="s">
        <v>219</v>
      </c>
    </row>
    <row r="35" spans="1:8" ht="15">
      <c r="A35" s="84" t="s">
        <v>220</v>
      </c>
    </row>
    <row r="36" spans="1:8" ht="15" thickBot="1"/>
    <row r="37" spans="1:8" ht="15.75" thickBot="1">
      <c r="A37" s="77" t="s">
        <v>221</v>
      </c>
      <c r="B37" s="78" t="s">
        <v>187</v>
      </c>
    </row>
    <row r="38" spans="1:8" ht="15.75" thickBot="1">
      <c r="A38" s="79" t="s">
        <v>201</v>
      </c>
      <c r="B38" s="76" t="s">
        <v>222</v>
      </c>
    </row>
    <row r="39" spans="1:8" ht="15.75" thickBot="1">
      <c r="A39" s="79" t="s">
        <v>203</v>
      </c>
      <c r="B39" s="76" t="s">
        <v>223</v>
      </c>
    </row>
    <row r="40" spans="1:8" ht="15.75" thickBot="1">
      <c r="A40" s="79" t="s">
        <v>224</v>
      </c>
      <c r="B40" s="76" t="s">
        <v>225</v>
      </c>
    </row>
    <row r="41" spans="1:8" ht="15.75" thickBot="1">
      <c r="A41" s="79" t="s">
        <v>205</v>
      </c>
      <c r="B41" s="76" t="s">
        <v>226</v>
      </c>
    </row>
    <row r="42" spans="1:8" ht="15.75" thickBot="1">
      <c r="A42" s="79" t="s">
        <v>207</v>
      </c>
      <c r="B42" s="76" t="s">
        <v>227</v>
      </c>
    </row>
    <row r="43" spans="1:8" ht="15.75" thickBot="1">
      <c r="A43" s="79" t="s">
        <v>228</v>
      </c>
      <c r="B43" s="76" t="s">
        <v>229</v>
      </c>
    </row>
    <row r="44" spans="1:8" ht="15">
      <c r="A44" s="86" t="s">
        <v>230</v>
      </c>
      <c r="B44" s="251" t="s">
        <v>232</v>
      </c>
    </row>
    <row r="45" spans="1:8" ht="30.75" thickBot="1">
      <c r="A45" s="79" t="s">
        <v>231</v>
      </c>
      <c r="B45" s="252"/>
    </row>
    <row r="47" spans="1:8" ht="15" thickBot="1"/>
    <row r="48" spans="1:8" ht="15" thickBot="1">
      <c r="A48" s="253" t="s">
        <v>181</v>
      </c>
      <c r="B48" s="254"/>
      <c r="C48" s="257" t="s">
        <v>233</v>
      </c>
      <c r="D48" s="258"/>
      <c r="E48" s="258"/>
      <c r="F48" s="258"/>
      <c r="G48" s="259"/>
      <c r="H48" s="92"/>
    </row>
    <row r="49" spans="1:8" ht="15" thickBot="1">
      <c r="A49" s="255"/>
      <c r="B49" s="256"/>
      <c r="C49" s="260" t="s">
        <v>234</v>
      </c>
      <c r="D49" s="261"/>
      <c r="E49" s="87" t="s">
        <v>235</v>
      </c>
      <c r="F49" s="262" t="s">
        <v>236</v>
      </c>
      <c r="G49" s="263"/>
    </row>
    <row r="50" spans="1:8" ht="15" thickBot="1">
      <c r="A50" s="93" t="s">
        <v>237</v>
      </c>
      <c r="B50" s="88" t="s">
        <v>238</v>
      </c>
      <c r="C50" s="88" t="s">
        <v>239</v>
      </c>
      <c r="D50" s="89" t="s">
        <v>238</v>
      </c>
      <c r="E50" s="89" t="s">
        <v>239</v>
      </c>
      <c r="F50" s="87" t="s">
        <v>239</v>
      </c>
      <c r="G50" s="90" t="s">
        <v>238</v>
      </c>
      <c r="H50" s="90" t="s">
        <v>239</v>
      </c>
    </row>
    <row r="51" spans="1:8" ht="28.5" customHeight="1" thickBot="1">
      <c r="A51" s="94" t="s">
        <v>240</v>
      </c>
      <c r="B51" s="248" t="s">
        <v>241</v>
      </c>
      <c r="C51" s="249"/>
      <c r="D51" s="248" t="s">
        <v>242</v>
      </c>
      <c r="E51" s="250"/>
      <c r="F51" s="250"/>
      <c r="G51" s="250"/>
      <c r="H51" s="249"/>
    </row>
    <row r="52" spans="1:8" ht="43.5" thickBot="1">
      <c r="A52" s="94" t="s">
        <v>243</v>
      </c>
      <c r="B52" s="248" t="s">
        <v>244</v>
      </c>
      <c r="C52" s="249"/>
      <c r="D52" s="91" t="s">
        <v>245</v>
      </c>
      <c r="E52" s="91" t="s">
        <v>246</v>
      </c>
      <c r="F52" s="91" t="s">
        <v>246</v>
      </c>
      <c r="G52" s="91" t="s">
        <v>245</v>
      </c>
      <c r="H52" s="91" t="s">
        <v>246</v>
      </c>
    </row>
    <row r="53" spans="1:8" ht="15" thickBot="1">
      <c r="A53" s="94" t="s">
        <v>247</v>
      </c>
      <c r="B53" s="248" t="s">
        <v>248</v>
      </c>
      <c r="C53" s="249"/>
      <c r="D53" s="248" t="s">
        <v>234</v>
      </c>
      <c r="E53" s="249"/>
      <c r="F53" s="91" t="s">
        <v>249</v>
      </c>
      <c r="G53" s="248" t="s">
        <v>250</v>
      </c>
      <c r="H53" s="249"/>
    </row>
    <row r="54" spans="1:8" ht="15" thickBot="1">
      <c r="A54" s="94" t="s">
        <v>187</v>
      </c>
      <c r="B54" s="248" t="s">
        <v>251</v>
      </c>
      <c r="C54" s="250"/>
      <c r="D54" s="250"/>
      <c r="E54" s="250"/>
      <c r="F54" s="249"/>
      <c r="G54" s="248" t="s">
        <v>252</v>
      </c>
      <c r="H54" s="249"/>
    </row>
    <row r="55" spans="1:8" ht="42.75">
      <c r="A55" s="149" t="s">
        <v>1047</v>
      </c>
      <c r="B55" s="85" t="s">
        <v>254</v>
      </c>
      <c r="C55" s="251" t="s">
        <v>257</v>
      </c>
      <c r="D55" s="85" t="s">
        <v>254</v>
      </c>
      <c r="E55" s="251" t="s">
        <v>257</v>
      </c>
      <c r="F55" s="251" t="s">
        <v>257</v>
      </c>
      <c r="G55" s="85" t="s">
        <v>260</v>
      </c>
      <c r="H55" s="251" t="s">
        <v>257</v>
      </c>
    </row>
    <row r="56" spans="1:8" ht="42.75">
      <c r="A56" s="95" t="s">
        <v>253</v>
      </c>
      <c r="B56" s="96" t="s">
        <v>1049</v>
      </c>
      <c r="C56" s="264"/>
      <c r="D56" s="85" t="s">
        <v>258</v>
      </c>
      <c r="E56" s="264"/>
      <c r="F56" s="264"/>
      <c r="G56" s="85" t="s">
        <v>261</v>
      </c>
      <c r="H56" s="264"/>
    </row>
    <row r="57" spans="1:8" ht="42.75">
      <c r="A57" s="95"/>
      <c r="B57" s="85" t="s">
        <v>255</v>
      </c>
      <c r="C57" s="264"/>
      <c r="D57" s="85" t="s">
        <v>255</v>
      </c>
      <c r="E57" s="264"/>
      <c r="F57" s="264"/>
      <c r="G57" s="85" t="s">
        <v>262</v>
      </c>
      <c r="H57" s="264"/>
    </row>
    <row r="58" spans="1:8" ht="15" thickBot="1">
      <c r="A58" s="94"/>
      <c r="B58" s="91" t="s">
        <v>256</v>
      </c>
      <c r="C58" s="252"/>
      <c r="D58" s="91" t="s">
        <v>259</v>
      </c>
      <c r="E58" s="252"/>
      <c r="F58" s="252"/>
      <c r="G58" s="91"/>
      <c r="H58" s="252"/>
    </row>
    <row r="59" spans="1:8" ht="42.75">
      <c r="A59" s="149" t="s">
        <v>1048</v>
      </c>
      <c r="B59" s="251" t="s">
        <v>257</v>
      </c>
      <c r="C59" s="265">
        <v>1.0999999999999999E-2</v>
      </c>
      <c r="D59" s="251" t="s">
        <v>257</v>
      </c>
      <c r="E59" s="268">
        <v>1.0999999999999999E-2</v>
      </c>
      <c r="F59" s="268">
        <v>3.9E-2</v>
      </c>
      <c r="G59" s="251" t="s">
        <v>257</v>
      </c>
      <c r="H59" s="85" t="s">
        <v>260</v>
      </c>
    </row>
    <row r="60" spans="1:8" ht="42.75">
      <c r="A60" s="95" t="s">
        <v>253</v>
      </c>
      <c r="B60" s="264"/>
      <c r="C60" s="266"/>
      <c r="D60" s="264"/>
      <c r="E60" s="269"/>
      <c r="F60" s="269"/>
      <c r="G60" s="264"/>
      <c r="H60" s="85" t="s">
        <v>261</v>
      </c>
    </row>
    <row r="61" spans="1:8" ht="43.5" thickBot="1">
      <c r="A61" s="94"/>
      <c r="B61" s="252"/>
      <c r="C61" s="267"/>
      <c r="D61" s="252"/>
      <c r="E61" s="270"/>
      <c r="F61" s="270"/>
      <c r="G61" s="252"/>
      <c r="H61" s="91" t="s">
        <v>262</v>
      </c>
    </row>
    <row r="62" spans="1:8" ht="127.5" customHeight="1">
      <c r="A62" s="95" t="s">
        <v>264</v>
      </c>
      <c r="B62" s="251" t="s">
        <v>257</v>
      </c>
      <c r="C62" s="279" t="s">
        <v>266</v>
      </c>
      <c r="D62" s="251" t="s">
        <v>257</v>
      </c>
      <c r="E62" s="251" t="s">
        <v>257</v>
      </c>
      <c r="F62" s="251" t="s">
        <v>257</v>
      </c>
      <c r="G62" s="251" t="s">
        <v>257</v>
      </c>
      <c r="H62" s="251" t="s">
        <v>267</v>
      </c>
    </row>
    <row r="63" spans="1:8" ht="15" thickBot="1">
      <c r="A63" s="94" t="s">
        <v>265</v>
      </c>
      <c r="B63" s="252"/>
      <c r="C63" s="280"/>
      <c r="D63" s="252"/>
      <c r="E63" s="252"/>
      <c r="F63" s="252"/>
      <c r="G63" s="252"/>
      <c r="H63" s="252"/>
    </row>
    <row r="64" spans="1:8" ht="15" thickBot="1">
      <c r="A64" s="94" t="s">
        <v>268</v>
      </c>
      <c r="B64" s="248" t="s">
        <v>269</v>
      </c>
      <c r="C64" s="250"/>
      <c r="D64" s="250"/>
      <c r="E64" s="250"/>
      <c r="F64" s="250"/>
      <c r="G64" s="250"/>
      <c r="H64" s="249"/>
    </row>
    <row r="65" spans="1:8" ht="14.25" customHeight="1">
      <c r="A65" s="271" t="s">
        <v>270</v>
      </c>
      <c r="B65" s="273" t="s">
        <v>271</v>
      </c>
      <c r="C65" s="274"/>
      <c r="D65" s="274"/>
      <c r="E65" s="274"/>
      <c r="F65" s="274"/>
      <c r="G65" s="274"/>
      <c r="H65" s="275"/>
    </row>
    <row r="66" spans="1:8" ht="15" thickBot="1">
      <c r="A66" s="272"/>
      <c r="B66" s="276" t="s">
        <v>272</v>
      </c>
      <c r="C66" s="277"/>
      <c r="D66" s="277"/>
      <c r="E66" s="277"/>
      <c r="F66" s="277"/>
      <c r="G66" s="277"/>
      <c r="H66" s="278"/>
    </row>
    <row r="67" spans="1:8" ht="14.25" customHeight="1">
      <c r="A67" s="271" t="s">
        <v>273</v>
      </c>
      <c r="B67" s="273" t="s">
        <v>274</v>
      </c>
      <c r="C67" s="274"/>
      <c r="D67" s="274"/>
      <c r="E67" s="274"/>
      <c r="F67" s="274"/>
      <c r="G67" s="274"/>
      <c r="H67" s="275"/>
    </row>
    <row r="68" spans="1:8" ht="15" thickBot="1">
      <c r="A68" s="272"/>
      <c r="B68" s="276" t="s">
        <v>275</v>
      </c>
      <c r="C68" s="277"/>
      <c r="D68" s="277"/>
      <c r="E68" s="277"/>
      <c r="F68" s="277"/>
      <c r="G68" s="277"/>
      <c r="H68" s="278"/>
    </row>
    <row r="69" spans="1:8" ht="28.5" customHeight="1">
      <c r="A69" s="271" t="s">
        <v>276</v>
      </c>
      <c r="B69" s="273" t="s">
        <v>277</v>
      </c>
      <c r="C69" s="274"/>
      <c r="D69" s="275"/>
      <c r="E69" s="273" t="s">
        <v>278</v>
      </c>
      <c r="F69" s="274"/>
      <c r="G69" s="274"/>
      <c r="H69" s="275"/>
    </row>
    <row r="70" spans="1:8" ht="28.5" customHeight="1">
      <c r="A70" s="281"/>
      <c r="B70" s="282"/>
      <c r="C70" s="283"/>
      <c r="D70" s="284"/>
      <c r="E70" s="282" t="s">
        <v>279</v>
      </c>
      <c r="F70" s="283"/>
      <c r="G70" s="283"/>
      <c r="H70" s="284"/>
    </row>
    <row r="71" spans="1:8" ht="28.5" customHeight="1" thickBot="1">
      <c r="A71" s="272"/>
      <c r="B71" s="276"/>
      <c r="C71" s="277"/>
      <c r="D71" s="278"/>
      <c r="E71" s="276" t="s">
        <v>280</v>
      </c>
      <c r="F71" s="277"/>
      <c r="G71" s="277"/>
      <c r="H71" s="278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O17" sqref="O17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J598"/>
  <sheetViews>
    <sheetView showGridLines="0" zoomScaleNormal="100" workbookViewId="0">
      <selection activeCell="K37" sqref="K37"/>
    </sheetView>
  </sheetViews>
  <sheetFormatPr defaultRowHeight="14.25"/>
  <cols>
    <col min="5" max="5" width="7" customWidth="1"/>
    <col min="8" max="8" width="26.5" customWidth="1"/>
  </cols>
  <sheetData>
    <row r="1" spans="1:10">
      <c r="A1" s="112" t="s">
        <v>368</v>
      </c>
      <c r="B1" s="112" t="s">
        <v>369</v>
      </c>
      <c r="C1" s="112" t="s">
        <v>370</v>
      </c>
      <c r="D1" s="112" t="s">
        <v>371</v>
      </c>
      <c r="E1" s="112" t="s">
        <v>372</v>
      </c>
      <c r="F1" s="112" t="s">
        <v>373</v>
      </c>
      <c r="G1" s="112" t="s">
        <v>374</v>
      </c>
      <c r="H1" s="112" t="s">
        <v>375</v>
      </c>
      <c r="I1" s="112" t="s">
        <v>376</v>
      </c>
    </row>
    <row r="2" spans="1:10">
      <c r="A2" s="112" t="s">
        <v>407</v>
      </c>
      <c r="B2" s="112" t="s">
        <v>377</v>
      </c>
      <c r="C2" s="112" t="s">
        <v>382</v>
      </c>
      <c r="D2" s="112" t="s">
        <v>379</v>
      </c>
      <c r="E2">
        <v>2929</v>
      </c>
      <c r="F2" s="112" t="s">
        <v>408</v>
      </c>
      <c r="G2" s="112" t="s">
        <v>388</v>
      </c>
      <c r="H2" s="112" t="s">
        <v>381</v>
      </c>
      <c r="I2">
        <v>144</v>
      </c>
    </row>
    <row r="3" spans="1:10">
      <c r="A3" s="112" t="s">
        <v>407</v>
      </c>
      <c r="B3" s="112" t="s">
        <v>377</v>
      </c>
      <c r="C3" s="112" t="s">
        <v>389</v>
      </c>
      <c r="D3" s="112" t="s">
        <v>379</v>
      </c>
      <c r="E3">
        <v>3031</v>
      </c>
      <c r="F3" s="112" t="s">
        <v>409</v>
      </c>
      <c r="G3" s="112" t="s">
        <v>380</v>
      </c>
      <c r="H3" s="112" t="s">
        <v>386</v>
      </c>
      <c r="I3">
        <v>150</v>
      </c>
    </row>
    <row r="4" spans="1:10">
      <c r="A4" s="112" t="s">
        <v>407</v>
      </c>
      <c r="B4" s="112" t="s">
        <v>377</v>
      </c>
      <c r="C4" s="112" t="s">
        <v>382</v>
      </c>
      <c r="D4" s="112" t="s">
        <v>379</v>
      </c>
      <c r="E4">
        <v>6778</v>
      </c>
      <c r="F4" s="112" t="s">
        <v>410</v>
      </c>
      <c r="G4" s="112" t="s">
        <v>388</v>
      </c>
      <c r="H4" s="112" t="s">
        <v>405</v>
      </c>
      <c r="I4">
        <v>149</v>
      </c>
    </row>
    <row r="5" spans="1:10">
      <c r="A5" s="112" t="s">
        <v>407</v>
      </c>
      <c r="B5" s="112" t="s">
        <v>377</v>
      </c>
      <c r="C5" s="112" t="s">
        <v>378</v>
      </c>
      <c r="D5" s="112" t="s">
        <v>379</v>
      </c>
      <c r="E5">
        <v>9632</v>
      </c>
      <c r="F5" s="112" t="s">
        <v>411</v>
      </c>
      <c r="G5" s="112" t="s">
        <v>380</v>
      </c>
      <c r="H5" s="112" t="s">
        <v>385</v>
      </c>
      <c r="I5">
        <v>213</v>
      </c>
    </row>
    <row r="6" spans="1:10">
      <c r="A6" s="112" t="s">
        <v>412</v>
      </c>
      <c r="B6" s="112" t="s">
        <v>600</v>
      </c>
      <c r="C6" s="112" t="s">
        <v>382</v>
      </c>
      <c r="D6" s="112" t="s">
        <v>379</v>
      </c>
      <c r="E6">
        <v>3662</v>
      </c>
      <c r="F6" s="112" t="s">
        <v>420</v>
      </c>
      <c r="G6" s="112" t="s">
        <v>380</v>
      </c>
      <c r="H6" s="112" t="s">
        <v>391</v>
      </c>
      <c r="I6">
        <v>224</v>
      </c>
    </row>
    <row r="7" spans="1:10">
      <c r="A7" s="112" t="s">
        <v>412</v>
      </c>
      <c r="B7" s="112" t="s">
        <v>377</v>
      </c>
      <c r="C7" s="112" t="s">
        <v>378</v>
      </c>
      <c r="D7" s="112" t="s">
        <v>379</v>
      </c>
      <c r="E7">
        <v>1928</v>
      </c>
      <c r="F7" s="112" t="s">
        <v>413</v>
      </c>
      <c r="G7" s="112" t="s">
        <v>380</v>
      </c>
      <c r="H7" s="112" t="s">
        <v>414</v>
      </c>
      <c r="I7" s="112" t="s">
        <v>415</v>
      </c>
      <c r="J7" s="112" t="s">
        <v>1057</v>
      </c>
    </row>
    <row r="8" spans="1:10">
      <c r="A8" s="112" t="s">
        <v>412</v>
      </c>
      <c r="B8" s="112" t="s">
        <v>377</v>
      </c>
      <c r="C8" s="112" t="s">
        <v>382</v>
      </c>
      <c r="D8" s="112" t="s">
        <v>379</v>
      </c>
      <c r="E8">
        <v>2353</v>
      </c>
      <c r="F8" s="112" t="s">
        <v>416</v>
      </c>
      <c r="G8" s="112" t="s">
        <v>380</v>
      </c>
      <c r="H8" s="112" t="s">
        <v>406</v>
      </c>
      <c r="I8">
        <v>585</v>
      </c>
    </row>
    <row r="9" spans="1:10">
      <c r="A9" s="112" t="s">
        <v>412</v>
      </c>
      <c r="B9" s="112" t="s">
        <v>377</v>
      </c>
      <c r="C9" s="112" t="s">
        <v>387</v>
      </c>
      <c r="D9" s="112" t="s">
        <v>379</v>
      </c>
      <c r="E9">
        <v>2373</v>
      </c>
      <c r="F9" s="112" t="s">
        <v>417</v>
      </c>
      <c r="G9" s="112" t="s">
        <v>384</v>
      </c>
      <c r="H9" s="112" t="s">
        <v>385</v>
      </c>
      <c r="I9">
        <v>87</v>
      </c>
    </row>
    <row r="10" spans="1:10">
      <c r="A10" s="112" t="s">
        <v>412</v>
      </c>
      <c r="B10" s="112" t="s">
        <v>377</v>
      </c>
      <c r="C10" s="112" t="s">
        <v>382</v>
      </c>
      <c r="D10" s="112" t="s">
        <v>383</v>
      </c>
      <c r="E10">
        <v>3193</v>
      </c>
      <c r="F10" s="112" t="s">
        <v>418</v>
      </c>
      <c r="G10" s="112" t="s">
        <v>380</v>
      </c>
      <c r="H10" s="112" t="s">
        <v>390</v>
      </c>
      <c r="I10">
        <v>223</v>
      </c>
    </row>
    <row r="11" spans="1:10">
      <c r="A11" s="112" t="s">
        <v>412</v>
      </c>
      <c r="B11" s="112" t="s">
        <v>377</v>
      </c>
      <c r="C11" s="112" t="s">
        <v>378</v>
      </c>
      <c r="D11" s="112" t="s">
        <v>379</v>
      </c>
      <c r="E11">
        <v>3657</v>
      </c>
      <c r="F11" s="112" t="s">
        <v>419</v>
      </c>
      <c r="G11" s="112" t="s">
        <v>380</v>
      </c>
      <c r="H11" s="112" t="s">
        <v>391</v>
      </c>
      <c r="I11">
        <v>419</v>
      </c>
    </row>
    <row r="12" spans="1:10">
      <c r="A12" s="112" t="s">
        <v>412</v>
      </c>
      <c r="B12" s="112" t="s">
        <v>377</v>
      </c>
      <c r="C12" s="112" t="s">
        <v>387</v>
      </c>
      <c r="D12" s="112" t="s">
        <v>383</v>
      </c>
      <c r="E12">
        <v>3733</v>
      </c>
      <c r="F12" s="112" t="s">
        <v>421</v>
      </c>
      <c r="G12" s="112" t="s">
        <v>384</v>
      </c>
      <c r="H12" s="112" t="s">
        <v>391</v>
      </c>
      <c r="I12">
        <v>645</v>
      </c>
    </row>
    <row r="13" spans="1:10">
      <c r="A13" s="112" t="s">
        <v>412</v>
      </c>
      <c r="B13" s="112" t="s">
        <v>377</v>
      </c>
      <c r="C13" s="112" t="s">
        <v>382</v>
      </c>
      <c r="D13" s="112" t="s">
        <v>379</v>
      </c>
      <c r="E13">
        <v>3854</v>
      </c>
      <c r="F13" s="112" t="s">
        <v>422</v>
      </c>
      <c r="G13" s="112" t="s">
        <v>380</v>
      </c>
      <c r="H13" s="112" t="s">
        <v>391</v>
      </c>
      <c r="I13">
        <v>397</v>
      </c>
    </row>
    <row r="14" spans="1:10">
      <c r="A14" s="112" t="s">
        <v>412</v>
      </c>
      <c r="B14" s="112" t="s">
        <v>377</v>
      </c>
      <c r="C14" s="112" t="s">
        <v>389</v>
      </c>
      <c r="D14" s="112" t="s">
        <v>379</v>
      </c>
      <c r="E14">
        <v>3903</v>
      </c>
      <c r="F14" s="112" t="s">
        <v>423</v>
      </c>
      <c r="G14" s="112" t="s">
        <v>380</v>
      </c>
      <c r="H14" s="112" t="s">
        <v>391</v>
      </c>
      <c r="I14">
        <v>233</v>
      </c>
    </row>
    <row r="15" spans="1:10">
      <c r="A15" s="112" t="s">
        <v>412</v>
      </c>
      <c r="B15" s="112" t="s">
        <v>377</v>
      </c>
      <c r="C15" s="112" t="s">
        <v>378</v>
      </c>
      <c r="D15" s="112" t="s">
        <v>379</v>
      </c>
      <c r="E15">
        <v>4334</v>
      </c>
      <c r="F15" s="112" t="s">
        <v>424</v>
      </c>
      <c r="G15" s="112" t="s">
        <v>384</v>
      </c>
      <c r="H15" s="112" t="s">
        <v>391</v>
      </c>
      <c r="I15">
        <v>62</v>
      </c>
    </row>
    <row r="16" spans="1:10">
      <c r="A16" s="112" t="s">
        <v>412</v>
      </c>
      <c r="B16" s="112" t="s">
        <v>377</v>
      </c>
      <c r="C16" s="112" t="s">
        <v>389</v>
      </c>
      <c r="D16" s="112" t="s">
        <v>383</v>
      </c>
      <c r="E16">
        <v>4382</v>
      </c>
      <c r="F16" s="112" t="s">
        <v>425</v>
      </c>
      <c r="G16" s="112" t="s">
        <v>392</v>
      </c>
      <c r="H16" s="112" t="s">
        <v>391</v>
      </c>
      <c r="I16" s="112">
        <v>844</v>
      </c>
      <c r="J16" s="112"/>
    </row>
    <row r="17" spans="1:10">
      <c r="A17" s="112" t="s">
        <v>412</v>
      </c>
      <c r="B17" s="112" t="s">
        <v>377</v>
      </c>
      <c r="C17" s="112" t="s">
        <v>382</v>
      </c>
      <c r="D17" s="112" t="s">
        <v>379</v>
      </c>
      <c r="E17">
        <v>6040</v>
      </c>
      <c r="F17" s="112" t="s">
        <v>426</v>
      </c>
      <c r="G17" s="112" t="s">
        <v>392</v>
      </c>
      <c r="H17" s="112" t="s">
        <v>385</v>
      </c>
      <c r="I17" s="112">
        <v>138</v>
      </c>
      <c r="J17" s="112"/>
    </row>
    <row r="18" spans="1:10">
      <c r="A18" s="112" t="s">
        <v>412</v>
      </c>
      <c r="B18" s="112" t="s">
        <v>377</v>
      </c>
      <c r="C18" s="112" t="s">
        <v>387</v>
      </c>
      <c r="D18" s="112" t="s">
        <v>379</v>
      </c>
      <c r="E18">
        <v>6309</v>
      </c>
      <c r="F18" s="112" t="s">
        <v>427</v>
      </c>
      <c r="G18" s="112" t="s">
        <v>380</v>
      </c>
      <c r="H18" s="112" t="s">
        <v>401</v>
      </c>
      <c r="I18">
        <v>238</v>
      </c>
    </row>
    <row r="19" spans="1:10">
      <c r="A19" s="112" t="s">
        <v>412</v>
      </c>
      <c r="B19" s="112" t="s">
        <v>377</v>
      </c>
      <c r="C19" s="112" t="s">
        <v>389</v>
      </c>
      <c r="D19" s="112" t="s">
        <v>379</v>
      </c>
      <c r="E19">
        <v>6656</v>
      </c>
      <c r="F19" s="112" t="s">
        <v>428</v>
      </c>
      <c r="G19" s="112" t="s">
        <v>388</v>
      </c>
      <c r="H19" s="112" t="s">
        <v>405</v>
      </c>
      <c r="I19">
        <v>49</v>
      </c>
    </row>
    <row r="20" spans="1:10">
      <c r="A20" s="112" t="s">
        <v>412</v>
      </c>
      <c r="B20" s="112" t="s">
        <v>377</v>
      </c>
      <c r="C20" s="112" t="s">
        <v>378</v>
      </c>
      <c r="D20" s="112" t="s">
        <v>379</v>
      </c>
      <c r="E20">
        <v>6898</v>
      </c>
      <c r="F20" s="112" t="s">
        <v>429</v>
      </c>
      <c r="G20" s="112" t="s">
        <v>384</v>
      </c>
      <c r="H20" s="112" t="s">
        <v>405</v>
      </c>
      <c r="I20">
        <v>14</v>
      </c>
    </row>
    <row r="21" spans="1:10">
      <c r="A21" s="112" t="s">
        <v>412</v>
      </c>
      <c r="B21" s="112" t="s">
        <v>377</v>
      </c>
      <c r="C21" s="112" t="s">
        <v>387</v>
      </c>
      <c r="D21" s="112" t="s">
        <v>383</v>
      </c>
      <c r="E21">
        <v>7265</v>
      </c>
      <c r="F21" s="112" t="s">
        <v>430</v>
      </c>
      <c r="G21" s="112" t="s">
        <v>384</v>
      </c>
      <c r="H21" s="112" t="s">
        <v>431</v>
      </c>
      <c r="I21" s="112">
        <v>32</v>
      </c>
      <c r="J21" s="112"/>
    </row>
    <row r="22" spans="1:10">
      <c r="A22" s="112" t="s">
        <v>412</v>
      </c>
      <c r="B22" s="112" t="s">
        <v>377</v>
      </c>
      <c r="C22" s="112" t="s">
        <v>387</v>
      </c>
      <c r="D22" s="112" t="s">
        <v>379</v>
      </c>
      <c r="E22">
        <v>7640</v>
      </c>
      <c r="F22" s="112" t="s">
        <v>432</v>
      </c>
      <c r="G22" s="112" t="s">
        <v>380</v>
      </c>
      <c r="H22" s="112" t="s">
        <v>390</v>
      </c>
      <c r="I22" s="112">
        <v>43</v>
      </c>
      <c r="J22" s="112"/>
    </row>
    <row r="23" spans="1:10">
      <c r="A23" s="112" t="s">
        <v>412</v>
      </c>
      <c r="B23" s="112" t="s">
        <v>377</v>
      </c>
      <c r="C23" s="112" t="s">
        <v>378</v>
      </c>
      <c r="D23" s="112" t="s">
        <v>383</v>
      </c>
      <c r="E23">
        <v>7878</v>
      </c>
      <c r="F23" s="112" t="s">
        <v>433</v>
      </c>
      <c r="G23" s="112" t="s">
        <v>384</v>
      </c>
      <c r="H23" s="112" t="s">
        <v>402</v>
      </c>
      <c r="I23">
        <v>10</v>
      </c>
    </row>
    <row r="24" spans="1:10">
      <c r="A24" s="112" t="s">
        <v>412</v>
      </c>
      <c r="B24" s="112" t="s">
        <v>377</v>
      </c>
      <c r="C24" s="112" t="s">
        <v>387</v>
      </c>
      <c r="D24" s="112" t="s">
        <v>379</v>
      </c>
      <c r="E24">
        <v>9678</v>
      </c>
      <c r="F24" s="112" t="s">
        <v>434</v>
      </c>
      <c r="G24" s="112" t="s">
        <v>380</v>
      </c>
      <c r="H24" s="112" t="s">
        <v>385</v>
      </c>
      <c r="I24" s="112" t="s">
        <v>435</v>
      </c>
      <c r="J24" s="112" t="s">
        <v>1037</v>
      </c>
    </row>
    <row r="25" spans="1:10">
      <c r="A25" s="112" t="s">
        <v>412</v>
      </c>
      <c r="B25" s="112" t="s">
        <v>377</v>
      </c>
      <c r="C25" s="112" t="s">
        <v>378</v>
      </c>
      <c r="D25" s="112" t="s">
        <v>383</v>
      </c>
      <c r="E25">
        <v>9734</v>
      </c>
      <c r="F25" s="112" t="s">
        <v>436</v>
      </c>
      <c r="G25" s="112" t="s">
        <v>384</v>
      </c>
      <c r="H25" s="112" t="s">
        <v>385</v>
      </c>
      <c r="I25">
        <v>30</v>
      </c>
    </row>
    <row r="26" spans="1:10">
      <c r="A26" s="112" t="s">
        <v>412</v>
      </c>
      <c r="B26" s="112" t="s">
        <v>377</v>
      </c>
      <c r="C26" s="112" t="s">
        <v>378</v>
      </c>
      <c r="D26" s="112" t="s">
        <v>379</v>
      </c>
      <c r="E26">
        <v>9743</v>
      </c>
      <c r="F26" s="112" t="s">
        <v>437</v>
      </c>
      <c r="G26" s="112" t="s">
        <v>380</v>
      </c>
      <c r="H26" s="112" t="s">
        <v>385</v>
      </c>
      <c r="I26">
        <v>616</v>
      </c>
    </row>
    <row r="27" spans="1:10">
      <c r="A27" s="112" t="s">
        <v>438</v>
      </c>
      <c r="B27" s="112" t="s">
        <v>439</v>
      </c>
      <c r="C27" s="112" t="s">
        <v>378</v>
      </c>
      <c r="D27" s="112" t="s">
        <v>383</v>
      </c>
      <c r="E27">
        <v>2163</v>
      </c>
      <c r="F27" s="112" t="s">
        <v>440</v>
      </c>
      <c r="G27" s="112" t="s">
        <v>380</v>
      </c>
      <c r="H27" s="112" t="s">
        <v>385</v>
      </c>
      <c r="I27">
        <v>82</v>
      </c>
    </row>
    <row r="28" spans="1:10">
      <c r="A28" s="112" t="s">
        <v>438</v>
      </c>
      <c r="B28" s="112" t="s">
        <v>377</v>
      </c>
      <c r="C28" s="112" t="s">
        <v>387</v>
      </c>
      <c r="D28" s="112" t="s">
        <v>383</v>
      </c>
      <c r="E28">
        <v>2301</v>
      </c>
      <c r="F28" s="112" t="s">
        <v>441</v>
      </c>
      <c r="G28" s="112" t="s">
        <v>380</v>
      </c>
      <c r="H28" s="112" t="s">
        <v>385</v>
      </c>
      <c r="I28">
        <v>248</v>
      </c>
    </row>
    <row r="29" spans="1:10">
      <c r="A29" s="112" t="s">
        <v>438</v>
      </c>
      <c r="B29" s="112" t="s">
        <v>377</v>
      </c>
      <c r="C29" s="112" t="s">
        <v>378</v>
      </c>
      <c r="D29" s="112" t="s">
        <v>379</v>
      </c>
      <c r="E29">
        <v>3071</v>
      </c>
      <c r="F29" s="112" t="s">
        <v>442</v>
      </c>
      <c r="G29" s="112" t="s">
        <v>388</v>
      </c>
      <c r="H29" s="112" t="s">
        <v>390</v>
      </c>
      <c r="I29">
        <v>25</v>
      </c>
    </row>
    <row r="30" spans="1:10">
      <c r="A30" s="112" t="s">
        <v>438</v>
      </c>
      <c r="B30" s="112" t="s">
        <v>377</v>
      </c>
      <c r="C30" s="112" t="s">
        <v>389</v>
      </c>
      <c r="D30" s="112" t="s">
        <v>379</v>
      </c>
      <c r="E30">
        <v>3180</v>
      </c>
      <c r="F30" s="112" t="s">
        <v>443</v>
      </c>
      <c r="G30" s="112" t="s">
        <v>380</v>
      </c>
      <c r="H30" s="112" t="s">
        <v>386</v>
      </c>
      <c r="I30">
        <v>139</v>
      </c>
    </row>
    <row r="31" spans="1:10">
      <c r="A31" s="112" t="s">
        <v>438</v>
      </c>
      <c r="B31" s="112" t="s">
        <v>377</v>
      </c>
      <c r="C31" s="112" t="s">
        <v>387</v>
      </c>
      <c r="D31" s="112" t="s">
        <v>379</v>
      </c>
      <c r="E31">
        <v>3491</v>
      </c>
      <c r="F31" s="112" t="s">
        <v>444</v>
      </c>
      <c r="G31" s="112" t="s">
        <v>392</v>
      </c>
      <c r="H31" s="112" t="s">
        <v>406</v>
      </c>
      <c r="I31">
        <v>397</v>
      </c>
    </row>
    <row r="32" spans="1:10">
      <c r="A32" s="112" t="s">
        <v>438</v>
      </c>
      <c r="B32" s="112" t="s">
        <v>377</v>
      </c>
      <c r="C32" s="112" t="s">
        <v>389</v>
      </c>
      <c r="D32" s="112" t="s">
        <v>379</v>
      </c>
      <c r="E32">
        <v>3524</v>
      </c>
      <c r="F32" s="112" t="s">
        <v>445</v>
      </c>
      <c r="G32" s="112" t="s">
        <v>380</v>
      </c>
      <c r="H32" s="112" t="s">
        <v>446</v>
      </c>
      <c r="I32">
        <v>43</v>
      </c>
    </row>
    <row r="33" spans="1:10">
      <c r="A33" s="112" t="s">
        <v>438</v>
      </c>
      <c r="B33" s="112" t="s">
        <v>377</v>
      </c>
      <c r="C33" s="112" t="s">
        <v>378</v>
      </c>
      <c r="D33" s="112" t="s">
        <v>379</v>
      </c>
      <c r="E33">
        <v>3955</v>
      </c>
      <c r="F33" s="112" t="s">
        <v>447</v>
      </c>
      <c r="G33" s="112" t="s">
        <v>388</v>
      </c>
      <c r="H33" s="112" t="s">
        <v>448</v>
      </c>
      <c r="I33" s="112">
        <v>63</v>
      </c>
      <c r="J33" s="112"/>
    </row>
    <row r="34" spans="1:10">
      <c r="A34" s="112" t="s">
        <v>438</v>
      </c>
      <c r="B34" s="112" t="s">
        <v>377</v>
      </c>
      <c r="C34" s="112" t="s">
        <v>378</v>
      </c>
      <c r="D34" s="112" t="s">
        <v>379</v>
      </c>
      <c r="E34">
        <v>4238</v>
      </c>
      <c r="F34" s="112" t="s">
        <v>449</v>
      </c>
      <c r="G34" s="112" t="s">
        <v>380</v>
      </c>
      <c r="H34" s="112" t="s">
        <v>393</v>
      </c>
      <c r="I34">
        <v>136</v>
      </c>
    </row>
    <row r="35" spans="1:10">
      <c r="A35" s="112" t="s">
        <v>438</v>
      </c>
      <c r="B35" s="112" t="s">
        <v>377</v>
      </c>
      <c r="C35" s="112" t="s">
        <v>389</v>
      </c>
      <c r="D35" s="112" t="s">
        <v>379</v>
      </c>
      <c r="E35">
        <v>6065</v>
      </c>
      <c r="F35" s="112" t="s">
        <v>450</v>
      </c>
      <c r="G35" s="112" t="s">
        <v>380</v>
      </c>
      <c r="H35" s="112" t="s">
        <v>385</v>
      </c>
      <c r="I35">
        <v>93</v>
      </c>
    </row>
    <row r="36" spans="1:10">
      <c r="A36" s="112" t="s">
        <v>438</v>
      </c>
      <c r="B36" s="112" t="s">
        <v>377</v>
      </c>
      <c r="C36" s="112" t="s">
        <v>378</v>
      </c>
      <c r="D36" s="112" t="s">
        <v>379</v>
      </c>
      <c r="E36">
        <v>7196</v>
      </c>
      <c r="F36" s="112" t="s">
        <v>451</v>
      </c>
      <c r="G36" s="112" t="s">
        <v>380</v>
      </c>
      <c r="H36" s="112" t="s">
        <v>452</v>
      </c>
      <c r="I36">
        <v>137</v>
      </c>
    </row>
    <row r="37" spans="1:10">
      <c r="A37" s="112" t="s">
        <v>438</v>
      </c>
      <c r="B37" s="112" t="s">
        <v>377</v>
      </c>
      <c r="C37" s="112" t="s">
        <v>387</v>
      </c>
      <c r="D37" s="112" t="s">
        <v>383</v>
      </c>
      <c r="E37">
        <v>7804</v>
      </c>
      <c r="F37" s="112" t="s">
        <v>453</v>
      </c>
      <c r="G37" s="112" t="s">
        <v>392</v>
      </c>
      <c r="H37" s="112" t="s">
        <v>402</v>
      </c>
      <c r="I37">
        <v>42</v>
      </c>
    </row>
    <row r="38" spans="1:10">
      <c r="A38" s="112" t="s">
        <v>438</v>
      </c>
      <c r="B38" s="112" t="s">
        <v>377</v>
      </c>
      <c r="C38" s="112" t="s">
        <v>387</v>
      </c>
      <c r="D38" s="112" t="s">
        <v>379</v>
      </c>
      <c r="E38">
        <v>7856</v>
      </c>
      <c r="F38" s="112" t="s">
        <v>454</v>
      </c>
      <c r="G38" s="112" t="s">
        <v>380</v>
      </c>
      <c r="H38" s="112" t="s">
        <v>402</v>
      </c>
      <c r="I38">
        <v>243</v>
      </c>
    </row>
    <row r="39" spans="1:10">
      <c r="A39" s="112" t="s">
        <v>438</v>
      </c>
      <c r="B39" s="112" t="s">
        <v>377</v>
      </c>
      <c r="C39" s="112" t="s">
        <v>387</v>
      </c>
      <c r="D39" s="112" t="s">
        <v>379</v>
      </c>
      <c r="E39">
        <v>9824</v>
      </c>
      <c r="F39" s="112" t="s">
        <v>455</v>
      </c>
      <c r="G39" s="112" t="s">
        <v>380</v>
      </c>
      <c r="H39" s="112" t="s">
        <v>386</v>
      </c>
      <c r="I39">
        <v>310</v>
      </c>
    </row>
    <row r="40" spans="1:10">
      <c r="A40" s="112" t="s">
        <v>456</v>
      </c>
      <c r="B40" s="112" t="s">
        <v>377</v>
      </c>
      <c r="C40" s="112" t="s">
        <v>378</v>
      </c>
      <c r="D40" s="112" t="s">
        <v>379</v>
      </c>
      <c r="E40">
        <v>1433</v>
      </c>
      <c r="F40" s="112" t="s">
        <v>457</v>
      </c>
      <c r="G40" s="112" t="s">
        <v>380</v>
      </c>
      <c r="H40" s="112" t="s">
        <v>414</v>
      </c>
      <c r="I40">
        <v>106</v>
      </c>
    </row>
    <row r="41" spans="1:10">
      <c r="A41" s="112" t="s">
        <v>456</v>
      </c>
      <c r="B41" s="112" t="s">
        <v>377</v>
      </c>
      <c r="C41" s="112" t="s">
        <v>382</v>
      </c>
      <c r="D41" s="112" t="s">
        <v>379</v>
      </c>
      <c r="E41">
        <v>1844</v>
      </c>
      <c r="F41" s="112" t="s">
        <v>458</v>
      </c>
      <c r="G41" s="112" t="s">
        <v>388</v>
      </c>
      <c r="H41" s="112" t="s">
        <v>414</v>
      </c>
      <c r="I41">
        <v>32</v>
      </c>
    </row>
    <row r="42" spans="1:10">
      <c r="A42" s="112" t="s">
        <v>456</v>
      </c>
      <c r="B42" s="112" t="s">
        <v>377</v>
      </c>
      <c r="C42" s="112" t="s">
        <v>389</v>
      </c>
      <c r="D42" s="112" t="s">
        <v>383</v>
      </c>
      <c r="E42">
        <v>2438</v>
      </c>
      <c r="F42" s="112" t="s">
        <v>459</v>
      </c>
      <c r="G42" s="112" t="s">
        <v>392</v>
      </c>
      <c r="H42" s="112" t="s">
        <v>385</v>
      </c>
      <c r="I42">
        <v>270</v>
      </c>
    </row>
    <row r="43" spans="1:10">
      <c r="A43" s="112" t="s">
        <v>456</v>
      </c>
      <c r="B43" s="112" t="s">
        <v>377</v>
      </c>
      <c r="C43" s="112" t="s">
        <v>389</v>
      </c>
      <c r="D43" s="112" t="s">
        <v>379</v>
      </c>
      <c r="E43">
        <v>2751</v>
      </c>
      <c r="F43" s="112" t="s">
        <v>460</v>
      </c>
      <c r="G43" s="112" t="s">
        <v>384</v>
      </c>
      <c r="H43" s="112" t="s">
        <v>386</v>
      </c>
      <c r="I43">
        <v>317</v>
      </c>
    </row>
    <row r="44" spans="1:10">
      <c r="A44" s="112" t="s">
        <v>456</v>
      </c>
      <c r="B44" s="112" t="s">
        <v>377</v>
      </c>
      <c r="C44" s="112" t="s">
        <v>389</v>
      </c>
      <c r="D44" s="112" t="s">
        <v>379</v>
      </c>
      <c r="E44">
        <v>2923</v>
      </c>
      <c r="F44" s="112" t="s">
        <v>461</v>
      </c>
      <c r="G44" s="112" t="s">
        <v>388</v>
      </c>
      <c r="H44" s="112" t="s">
        <v>381</v>
      </c>
      <c r="I44">
        <v>183</v>
      </c>
    </row>
    <row r="45" spans="1:10">
      <c r="A45" s="112" t="s">
        <v>456</v>
      </c>
      <c r="B45" s="112" t="s">
        <v>377</v>
      </c>
      <c r="C45" s="112" t="s">
        <v>378</v>
      </c>
      <c r="D45" s="112" t="s">
        <v>379</v>
      </c>
      <c r="E45">
        <v>3070</v>
      </c>
      <c r="F45" s="112" t="s">
        <v>462</v>
      </c>
      <c r="G45" s="112" t="s">
        <v>384</v>
      </c>
      <c r="H45" s="112" t="s">
        <v>386</v>
      </c>
      <c r="I45">
        <v>7</v>
      </c>
    </row>
    <row r="46" spans="1:10">
      <c r="A46" s="112" t="s">
        <v>456</v>
      </c>
      <c r="B46" s="112" t="s">
        <v>377</v>
      </c>
      <c r="C46" s="112" t="s">
        <v>387</v>
      </c>
      <c r="D46" s="112" t="s">
        <v>379</v>
      </c>
      <c r="E46">
        <v>3248</v>
      </c>
      <c r="F46" s="112" t="s">
        <v>463</v>
      </c>
      <c r="G46" s="112" t="s">
        <v>388</v>
      </c>
      <c r="H46" s="112" t="s">
        <v>406</v>
      </c>
      <c r="I46">
        <v>22</v>
      </c>
    </row>
    <row r="47" spans="1:10">
      <c r="A47" s="112" t="s">
        <v>456</v>
      </c>
      <c r="B47" s="112" t="s">
        <v>377</v>
      </c>
      <c r="C47" s="112" t="s">
        <v>378</v>
      </c>
      <c r="D47" s="112" t="s">
        <v>383</v>
      </c>
      <c r="E47">
        <v>3399</v>
      </c>
      <c r="F47" s="112" t="s">
        <v>464</v>
      </c>
      <c r="G47" s="112" t="s">
        <v>384</v>
      </c>
      <c r="H47" s="112" t="s">
        <v>390</v>
      </c>
      <c r="I47">
        <v>47</v>
      </c>
    </row>
    <row r="48" spans="1:10">
      <c r="A48" s="112" t="s">
        <v>456</v>
      </c>
      <c r="B48" s="112" t="s">
        <v>377</v>
      </c>
      <c r="C48" s="112" t="s">
        <v>387</v>
      </c>
      <c r="D48" s="112" t="s">
        <v>379</v>
      </c>
      <c r="E48">
        <v>3475</v>
      </c>
      <c r="F48" s="112" t="s">
        <v>465</v>
      </c>
      <c r="G48" s="112" t="s">
        <v>380</v>
      </c>
      <c r="H48" s="112" t="s">
        <v>406</v>
      </c>
      <c r="I48">
        <v>137</v>
      </c>
    </row>
    <row r="49" spans="1:10">
      <c r="A49" s="112" t="s">
        <v>456</v>
      </c>
      <c r="B49" s="112" t="s">
        <v>377</v>
      </c>
      <c r="C49" s="112" t="s">
        <v>387</v>
      </c>
      <c r="D49" s="112" t="s">
        <v>383</v>
      </c>
      <c r="E49">
        <v>3476</v>
      </c>
      <c r="F49" s="112" t="s">
        <v>466</v>
      </c>
      <c r="G49" s="112" t="s">
        <v>467</v>
      </c>
      <c r="H49" s="112" t="s">
        <v>468</v>
      </c>
      <c r="I49">
        <v>951</v>
      </c>
    </row>
    <row r="50" spans="1:10">
      <c r="A50" s="112" t="s">
        <v>456</v>
      </c>
      <c r="B50" s="112" t="s">
        <v>377</v>
      </c>
      <c r="C50" s="112" t="s">
        <v>382</v>
      </c>
      <c r="D50" s="112" t="s">
        <v>379</v>
      </c>
      <c r="E50">
        <v>3988</v>
      </c>
      <c r="F50" s="112" t="s">
        <v>469</v>
      </c>
      <c r="G50" s="112" t="s">
        <v>384</v>
      </c>
      <c r="H50" s="112" t="s">
        <v>391</v>
      </c>
      <c r="I50" s="112">
        <v>29</v>
      </c>
      <c r="J50" s="112"/>
    </row>
    <row r="51" spans="1:10">
      <c r="A51" s="112" t="s">
        <v>456</v>
      </c>
      <c r="B51" s="112" t="s">
        <v>377</v>
      </c>
      <c r="C51" s="112" t="s">
        <v>387</v>
      </c>
      <c r="D51" s="112" t="s">
        <v>383</v>
      </c>
      <c r="E51">
        <v>4441</v>
      </c>
      <c r="F51" s="112" t="s">
        <v>470</v>
      </c>
      <c r="G51" s="112" t="s">
        <v>392</v>
      </c>
      <c r="H51" s="112" t="s">
        <v>391</v>
      </c>
      <c r="I51" s="112">
        <v>249</v>
      </c>
      <c r="J51" s="112"/>
    </row>
    <row r="52" spans="1:10">
      <c r="A52" s="112" t="s">
        <v>456</v>
      </c>
      <c r="B52" s="112" t="s">
        <v>377</v>
      </c>
      <c r="C52" s="112" t="s">
        <v>382</v>
      </c>
      <c r="D52" s="112" t="s">
        <v>383</v>
      </c>
      <c r="E52">
        <v>6387</v>
      </c>
      <c r="F52" s="112" t="s">
        <v>471</v>
      </c>
      <c r="G52" s="112" t="s">
        <v>380</v>
      </c>
      <c r="H52" s="112" t="s">
        <v>401</v>
      </c>
      <c r="I52">
        <v>96</v>
      </c>
    </row>
    <row r="53" spans="1:10">
      <c r="A53" s="112" t="s">
        <v>456</v>
      </c>
      <c r="B53" s="112" t="s">
        <v>377</v>
      </c>
      <c r="C53" s="112" t="s">
        <v>378</v>
      </c>
      <c r="D53" s="112" t="s">
        <v>379</v>
      </c>
      <c r="E53">
        <v>6696</v>
      </c>
      <c r="F53" s="112" t="s">
        <v>472</v>
      </c>
      <c r="G53" s="112" t="s">
        <v>392</v>
      </c>
      <c r="H53" s="112" t="s">
        <v>405</v>
      </c>
      <c r="I53">
        <v>40</v>
      </c>
    </row>
    <row r="54" spans="1:10">
      <c r="A54" s="112" t="s">
        <v>456</v>
      </c>
      <c r="B54" s="112" t="s">
        <v>377</v>
      </c>
      <c r="C54" s="112" t="s">
        <v>389</v>
      </c>
      <c r="D54" s="112" t="s">
        <v>383</v>
      </c>
      <c r="E54">
        <v>7901</v>
      </c>
      <c r="F54" s="112" t="s">
        <v>473</v>
      </c>
      <c r="G54" s="112" t="s">
        <v>384</v>
      </c>
      <c r="H54" s="112" t="s">
        <v>402</v>
      </c>
      <c r="I54">
        <v>9</v>
      </c>
    </row>
    <row r="55" spans="1:10">
      <c r="A55" s="112" t="s">
        <v>456</v>
      </c>
      <c r="B55" s="112" t="s">
        <v>377</v>
      </c>
      <c r="C55" s="112" t="s">
        <v>378</v>
      </c>
      <c r="D55" s="112" t="s">
        <v>379</v>
      </c>
      <c r="E55">
        <v>8142</v>
      </c>
      <c r="F55" s="112" t="s">
        <v>474</v>
      </c>
      <c r="G55" s="112" t="s">
        <v>380</v>
      </c>
      <c r="H55" s="112" t="s">
        <v>386</v>
      </c>
      <c r="I55">
        <v>206</v>
      </c>
    </row>
    <row r="56" spans="1:10">
      <c r="A56" s="112" t="s">
        <v>456</v>
      </c>
      <c r="B56" s="112" t="s">
        <v>377</v>
      </c>
      <c r="C56" s="112" t="s">
        <v>382</v>
      </c>
      <c r="D56" s="112" t="s">
        <v>383</v>
      </c>
      <c r="E56">
        <v>9262</v>
      </c>
      <c r="F56" s="112" t="s">
        <v>475</v>
      </c>
      <c r="G56" s="112" t="s">
        <v>392</v>
      </c>
      <c r="H56" s="112" t="s">
        <v>390</v>
      </c>
      <c r="I56">
        <v>323</v>
      </c>
    </row>
    <row r="57" spans="1:10">
      <c r="A57" s="112" t="s">
        <v>456</v>
      </c>
      <c r="B57" s="112" t="s">
        <v>377</v>
      </c>
      <c r="C57" s="112" t="s">
        <v>378</v>
      </c>
      <c r="D57" s="112" t="s">
        <v>383</v>
      </c>
      <c r="E57">
        <v>9636</v>
      </c>
      <c r="F57" s="112" t="s">
        <v>476</v>
      </c>
      <c r="G57" s="112" t="s">
        <v>388</v>
      </c>
      <c r="H57" s="112" t="s">
        <v>385</v>
      </c>
      <c r="I57">
        <v>97</v>
      </c>
    </row>
    <row r="58" spans="1:10">
      <c r="A58" s="112" t="s">
        <v>456</v>
      </c>
      <c r="B58" s="112" t="s">
        <v>377</v>
      </c>
      <c r="C58" s="112" t="s">
        <v>378</v>
      </c>
      <c r="D58" s="112" t="s">
        <v>379</v>
      </c>
      <c r="E58">
        <v>9692</v>
      </c>
      <c r="F58" s="112" t="s">
        <v>477</v>
      </c>
      <c r="G58" s="112" t="s">
        <v>380</v>
      </c>
      <c r="H58" s="112" t="s">
        <v>391</v>
      </c>
      <c r="I58">
        <v>859</v>
      </c>
    </row>
    <row r="59" spans="1:10">
      <c r="A59" s="112" t="s">
        <v>478</v>
      </c>
      <c r="B59" s="112" t="s">
        <v>377</v>
      </c>
      <c r="C59" s="112" t="s">
        <v>378</v>
      </c>
      <c r="D59" s="112" t="s">
        <v>383</v>
      </c>
      <c r="E59">
        <v>1758</v>
      </c>
      <c r="F59" s="112" t="s">
        <v>479</v>
      </c>
      <c r="G59" s="112" t="s">
        <v>384</v>
      </c>
      <c r="H59" s="112" t="s">
        <v>414</v>
      </c>
      <c r="I59">
        <v>44</v>
      </c>
    </row>
    <row r="60" spans="1:10">
      <c r="A60" s="112" t="s">
        <v>478</v>
      </c>
      <c r="B60" s="112" t="s">
        <v>377</v>
      </c>
      <c r="C60" s="112" t="s">
        <v>389</v>
      </c>
      <c r="D60" s="112" t="s">
        <v>379</v>
      </c>
      <c r="E60">
        <v>3134</v>
      </c>
      <c r="F60" s="112" t="s">
        <v>480</v>
      </c>
      <c r="G60" s="112" t="s">
        <v>380</v>
      </c>
      <c r="H60" s="112" t="s">
        <v>390</v>
      </c>
      <c r="I60">
        <v>215</v>
      </c>
    </row>
    <row r="61" spans="1:10">
      <c r="A61" s="112" t="s">
        <v>478</v>
      </c>
      <c r="B61" s="112" t="s">
        <v>377</v>
      </c>
      <c r="C61" s="112" t="s">
        <v>389</v>
      </c>
      <c r="D61" s="112" t="s">
        <v>379</v>
      </c>
      <c r="E61">
        <v>3161</v>
      </c>
      <c r="F61" s="112" t="s">
        <v>481</v>
      </c>
      <c r="G61" s="112" t="s">
        <v>388</v>
      </c>
      <c r="H61" s="112" t="s">
        <v>386</v>
      </c>
      <c r="I61">
        <v>36</v>
      </c>
    </row>
    <row r="62" spans="1:10">
      <c r="A62" s="112" t="s">
        <v>478</v>
      </c>
      <c r="B62" s="112" t="s">
        <v>377</v>
      </c>
      <c r="C62" s="112" t="s">
        <v>378</v>
      </c>
      <c r="D62" s="112" t="s">
        <v>379</v>
      </c>
      <c r="E62">
        <v>3320</v>
      </c>
      <c r="F62" s="112" t="s">
        <v>482</v>
      </c>
      <c r="G62" s="112" t="s">
        <v>388</v>
      </c>
      <c r="H62" s="112" t="s">
        <v>386</v>
      </c>
      <c r="I62">
        <v>57</v>
      </c>
    </row>
    <row r="63" spans="1:10">
      <c r="A63" s="112" t="s">
        <v>478</v>
      </c>
      <c r="B63" s="112" t="s">
        <v>377</v>
      </c>
      <c r="C63" s="112" t="s">
        <v>389</v>
      </c>
      <c r="D63" s="112" t="s">
        <v>379</v>
      </c>
      <c r="E63">
        <v>3444</v>
      </c>
      <c r="F63" s="112" t="s">
        <v>483</v>
      </c>
      <c r="G63" s="112" t="s">
        <v>384</v>
      </c>
      <c r="H63" s="112" t="s">
        <v>395</v>
      </c>
      <c r="I63">
        <v>96</v>
      </c>
    </row>
    <row r="64" spans="1:10">
      <c r="A64" s="112" t="s">
        <v>478</v>
      </c>
      <c r="B64" s="112" t="s">
        <v>377</v>
      </c>
      <c r="C64" s="112" t="s">
        <v>382</v>
      </c>
      <c r="D64" s="112" t="s">
        <v>379</v>
      </c>
      <c r="E64">
        <v>3458</v>
      </c>
      <c r="F64" s="112" t="s">
        <v>484</v>
      </c>
      <c r="G64" s="112" t="s">
        <v>380</v>
      </c>
      <c r="H64" s="112" t="s">
        <v>406</v>
      </c>
      <c r="I64">
        <v>278</v>
      </c>
    </row>
    <row r="65" spans="1:10">
      <c r="A65" s="112" t="s">
        <v>478</v>
      </c>
      <c r="B65" s="112" t="s">
        <v>377</v>
      </c>
      <c r="C65" s="112" t="s">
        <v>382</v>
      </c>
      <c r="D65" s="112" t="s">
        <v>379</v>
      </c>
      <c r="E65">
        <v>3539</v>
      </c>
      <c r="F65" s="112" t="s">
        <v>485</v>
      </c>
      <c r="G65" s="112" t="s">
        <v>380</v>
      </c>
      <c r="H65" s="112" t="s">
        <v>390</v>
      </c>
      <c r="I65">
        <v>580</v>
      </c>
    </row>
    <row r="66" spans="1:10">
      <c r="A66" s="112" t="s">
        <v>478</v>
      </c>
      <c r="B66" s="112" t="s">
        <v>377</v>
      </c>
      <c r="C66" s="112" t="s">
        <v>378</v>
      </c>
      <c r="D66" s="112" t="s">
        <v>383</v>
      </c>
      <c r="E66">
        <v>3565</v>
      </c>
      <c r="F66" s="112" t="s">
        <v>486</v>
      </c>
      <c r="G66" s="112" t="s">
        <v>380</v>
      </c>
      <c r="H66" s="112" t="s">
        <v>386</v>
      </c>
      <c r="I66">
        <v>131</v>
      </c>
    </row>
    <row r="67" spans="1:10">
      <c r="A67" s="112" t="s">
        <v>478</v>
      </c>
      <c r="B67" s="112" t="s">
        <v>377</v>
      </c>
      <c r="C67" s="112" t="s">
        <v>389</v>
      </c>
      <c r="D67" s="112" t="s">
        <v>383</v>
      </c>
      <c r="E67">
        <v>4026</v>
      </c>
      <c r="F67" s="112" t="s">
        <v>487</v>
      </c>
      <c r="G67" s="112" t="s">
        <v>388</v>
      </c>
      <c r="H67" s="112" t="s">
        <v>488</v>
      </c>
      <c r="I67">
        <v>78</v>
      </c>
    </row>
    <row r="68" spans="1:10">
      <c r="A68" s="112" t="s">
        <v>478</v>
      </c>
      <c r="B68" s="112" t="s">
        <v>377</v>
      </c>
      <c r="C68" s="112" t="s">
        <v>378</v>
      </c>
      <c r="D68" s="112" t="s">
        <v>383</v>
      </c>
      <c r="E68">
        <v>7064</v>
      </c>
      <c r="F68" s="112" t="s">
        <v>489</v>
      </c>
      <c r="G68" s="112" t="s">
        <v>392</v>
      </c>
      <c r="H68" s="112" t="s">
        <v>385</v>
      </c>
      <c r="I68">
        <v>37</v>
      </c>
    </row>
    <row r="69" spans="1:10">
      <c r="A69" s="112" t="s">
        <v>490</v>
      </c>
      <c r="B69" s="112" t="s">
        <v>377</v>
      </c>
      <c r="C69" s="112" t="s">
        <v>387</v>
      </c>
      <c r="D69" s="112" t="s">
        <v>379</v>
      </c>
      <c r="E69">
        <v>2695</v>
      </c>
      <c r="F69" s="112" t="s">
        <v>491</v>
      </c>
      <c r="G69" s="112" t="s">
        <v>380</v>
      </c>
      <c r="H69" s="112" t="s">
        <v>390</v>
      </c>
      <c r="I69" s="112" t="s">
        <v>435</v>
      </c>
      <c r="J69" s="112" t="s">
        <v>1058</v>
      </c>
    </row>
    <row r="70" spans="1:10">
      <c r="A70" s="112" t="s">
        <v>490</v>
      </c>
      <c r="B70" s="112" t="s">
        <v>377</v>
      </c>
      <c r="C70" s="112" t="s">
        <v>389</v>
      </c>
      <c r="D70" s="112" t="s">
        <v>383</v>
      </c>
      <c r="E70">
        <v>3075</v>
      </c>
      <c r="F70" s="112" t="s">
        <v>492</v>
      </c>
      <c r="G70" s="112" t="s">
        <v>384</v>
      </c>
      <c r="H70" s="112" t="s">
        <v>390</v>
      </c>
      <c r="I70">
        <v>184</v>
      </c>
    </row>
    <row r="71" spans="1:10">
      <c r="A71" s="112" t="s">
        <v>490</v>
      </c>
      <c r="B71" s="112" t="s">
        <v>377</v>
      </c>
      <c r="C71" s="112" t="s">
        <v>378</v>
      </c>
      <c r="D71" s="112" t="s">
        <v>379</v>
      </c>
      <c r="E71">
        <v>3169</v>
      </c>
      <c r="F71" s="112" t="s">
        <v>493</v>
      </c>
      <c r="G71" s="112" t="s">
        <v>380</v>
      </c>
      <c r="H71" s="112" t="s">
        <v>390</v>
      </c>
      <c r="I71">
        <v>60</v>
      </c>
    </row>
    <row r="72" spans="1:10">
      <c r="A72" s="112" t="s">
        <v>490</v>
      </c>
      <c r="B72" s="112" t="s">
        <v>377</v>
      </c>
      <c r="C72" s="112" t="s">
        <v>389</v>
      </c>
      <c r="D72" s="112" t="s">
        <v>379</v>
      </c>
      <c r="E72">
        <v>3361</v>
      </c>
      <c r="F72" s="112" t="s">
        <v>494</v>
      </c>
      <c r="G72" s="112" t="s">
        <v>380</v>
      </c>
      <c r="H72" s="112" t="s">
        <v>390</v>
      </c>
      <c r="I72">
        <v>158</v>
      </c>
    </row>
    <row r="73" spans="1:10">
      <c r="A73" s="112" t="s">
        <v>490</v>
      </c>
      <c r="B73" s="112" t="s">
        <v>377</v>
      </c>
      <c r="C73" s="112" t="s">
        <v>382</v>
      </c>
      <c r="D73" s="112" t="s">
        <v>379</v>
      </c>
      <c r="E73">
        <v>3418</v>
      </c>
      <c r="F73" s="112" t="s">
        <v>495</v>
      </c>
      <c r="G73" s="112" t="s">
        <v>392</v>
      </c>
      <c r="H73" s="112" t="s">
        <v>390</v>
      </c>
      <c r="I73">
        <v>109</v>
      </c>
    </row>
    <row r="74" spans="1:10">
      <c r="A74" s="112" t="s">
        <v>490</v>
      </c>
      <c r="B74" s="112" t="s">
        <v>377</v>
      </c>
      <c r="C74" s="112" t="s">
        <v>389</v>
      </c>
      <c r="D74" s="112" t="s">
        <v>379</v>
      </c>
      <c r="E74">
        <v>3549</v>
      </c>
      <c r="F74" s="112" t="s">
        <v>496</v>
      </c>
      <c r="G74" s="112" t="s">
        <v>380</v>
      </c>
      <c r="H74" s="112" t="s">
        <v>390</v>
      </c>
      <c r="I74" s="112" t="s">
        <v>403</v>
      </c>
      <c r="J74" s="112" t="s">
        <v>1059</v>
      </c>
    </row>
    <row r="75" spans="1:10">
      <c r="A75" s="112" t="s">
        <v>490</v>
      </c>
      <c r="B75" s="112" t="s">
        <v>377</v>
      </c>
      <c r="C75" s="112" t="s">
        <v>387</v>
      </c>
      <c r="D75" s="112" t="s">
        <v>379</v>
      </c>
      <c r="E75">
        <v>3974</v>
      </c>
      <c r="F75" s="112" t="s">
        <v>497</v>
      </c>
      <c r="G75" s="112" t="s">
        <v>384</v>
      </c>
      <c r="H75" s="112" t="s">
        <v>391</v>
      </c>
      <c r="I75">
        <v>24</v>
      </c>
    </row>
    <row r="76" spans="1:10">
      <c r="A76" s="112" t="s">
        <v>490</v>
      </c>
      <c r="B76" s="112" t="s">
        <v>377</v>
      </c>
      <c r="C76" s="112" t="s">
        <v>387</v>
      </c>
      <c r="D76" s="112" t="s">
        <v>379</v>
      </c>
      <c r="E76">
        <v>3976</v>
      </c>
      <c r="F76" s="112" t="s">
        <v>498</v>
      </c>
      <c r="G76" s="112" t="s">
        <v>392</v>
      </c>
      <c r="H76" s="112" t="s">
        <v>391</v>
      </c>
      <c r="I76">
        <v>20</v>
      </c>
    </row>
    <row r="77" spans="1:10">
      <c r="A77" s="112" t="s">
        <v>490</v>
      </c>
      <c r="B77" s="112" t="s">
        <v>377</v>
      </c>
      <c r="C77" s="112" t="s">
        <v>382</v>
      </c>
      <c r="D77" s="112" t="s">
        <v>383</v>
      </c>
      <c r="E77">
        <v>4384</v>
      </c>
      <c r="F77" s="112" t="s">
        <v>499</v>
      </c>
      <c r="G77" s="112" t="s">
        <v>380</v>
      </c>
      <c r="H77" s="112" t="s">
        <v>391</v>
      </c>
      <c r="I77">
        <v>989</v>
      </c>
    </row>
    <row r="78" spans="1:10">
      <c r="A78" s="112" t="s">
        <v>490</v>
      </c>
      <c r="B78" s="112" t="s">
        <v>377</v>
      </c>
      <c r="C78" s="112" t="s">
        <v>382</v>
      </c>
      <c r="D78" s="112" t="s">
        <v>379</v>
      </c>
      <c r="E78">
        <v>4422</v>
      </c>
      <c r="F78" s="112" t="s">
        <v>500</v>
      </c>
      <c r="G78" s="112" t="s">
        <v>392</v>
      </c>
      <c r="H78" s="112" t="s">
        <v>391</v>
      </c>
      <c r="I78">
        <v>64</v>
      </c>
    </row>
    <row r="79" spans="1:10">
      <c r="A79" s="112" t="s">
        <v>490</v>
      </c>
      <c r="B79" s="112" t="s">
        <v>377</v>
      </c>
      <c r="C79" s="112" t="s">
        <v>387</v>
      </c>
      <c r="D79" s="112" t="s">
        <v>383</v>
      </c>
      <c r="E79">
        <v>4880</v>
      </c>
      <c r="F79" s="112" t="s">
        <v>501</v>
      </c>
      <c r="G79" s="112" t="s">
        <v>392</v>
      </c>
      <c r="H79" s="112" t="s">
        <v>502</v>
      </c>
      <c r="I79">
        <v>230</v>
      </c>
    </row>
    <row r="80" spans="1:10">
      <c r="A80" s="112" t="s">
        <v>490</v>
      </c>
      <c r="B80" s="112" t="s">
        <v>377</v>
      </c>
      <c r="C80" s="112" t="s">
        <v>387</v>
      </c>
      <c r="D80" s="112" t="s">
        <v>379</v>
      </c>
      <c r="E80">
        <v>5218</v>
      </c>
      <c r="F80" s="112" t="s">
        <v>503</v>
      </c>
      <c r="G80" s="112" t="s">
        <v>380</v>
      </c>
      <c r="H80" s="112" t="s">
        <v>488</v>
      </c>
      <c r="I80">
        <v>371</v>
      </c>
    </row>
    <row r="81" spans="1:10">
      <c r="A81" s="112" t="s">
        <v>490</v>
      </c>
      <c r="B81" s="112" t="s">
        <v>377</v>
      </c>
      <c r="C81" s="112" t="s">
        <v>382</v>
      </c>
      <c r="D81" s="112" t="s">
        <v>383</v>
      </c>
      <c r="E81">
        <v>6037</v>
      </c>
      <c r="F81" s="112" t="s">
        <v>504</v>
      </c>
      <c r="G81" s="112" t="s">
        <v>380</v>
      </c>
      <c r="H81" s="112" t="s">
        <v>385</v>
      </c>
      <c r="I81">
        <v>73</v>
      </c>
    </row>
    <row r="82" spans="1:10">
      <c r="A82" s="112" t="s">
        <v>490</v>
      </c>
      <c r="B82" s="112" t="s">
        <v>377</v>
      </c>
      <c r="C82" s="112" t="s">
        <v>378</v>
      </c>
      <c r="D82" s="112" t="s">
        <v>379</v>
      </c>
      <c r="E82">
        <v>6184</v>
      </c>
      <c r="F82" s="112" t="s">
        <v>505</v>
      </c>
      <c r="G82" s="112" t="s">
        <v>380</v>
      </c>
      <c r="H82" s="112" t="s">
        <v>385</v>
      </c>
      <c r="I82">
        <v>793</v>
      </c>
    </row>
    <row r="83" spans="1:10">
      <c r="A83" s="112" t="s">
        <v>490</v>
      </c>
      <c r="B83" s="112" t="s">
        <v>377</v>
      </c>
      <c r="C83" s="112" t="s">
        <v>378</v>
      </c>
      <c r="D83" s="112" t="s">
        <v>379</v>
      </c>
      <c r="E83">
        <v>6336</v>
      </c>
      <c r="F83" s="112" t="s">
        <v>506</v>
      </c>
      <c r="G83" s="112" t="s">
        <v>388</v>
      </c>
      <c r="H83" s="112" t="s">
        <v>401</v>
      </c>
      <c r="I83">
        <v>65</v>
      </c>
    </row>
    <row r="84" spans="1:10">
      <c r="A84" s="112" t="s">
        <v>490</v>
      </c>
      <c r="B84" s="112" t="s">
        <v>377</v>
      </c>
      <c r="C84" s="112" t="s">
        <v>382</v>
      </c>
      <c r="D84" s="112" t="s">
        <v>379</v>
      </c>
      <c r="E84">
        <v>6535</v>
      </c>
      <c r="F84" s="112" t="s">
        <v>507</v>
      </c>
      <c r="G84" s="112" t="s">
        <v>380</v>
      </c>
      <c r="H84" s="112" t="s">
        <v>385</v>
      </c>
      <c r="I84">
        <v>173</v>
      </c>
    </row>
    <row r="85" spans="1:10">
      <c r="A85" s="112" t="s">
        <v>490</v>
      </c>
      <c r="B85" s="112" t="s">
        <v>377</v>
      </c>
      <c r="C85" s="112" t="s">
        <v>378</v>
      </c>
      <c r="D85" s="112" t="s">
        <v>379</v>
      </c>
      <c r="E85">
        <v>6966</v>
      </c>
      <c r="F85" s="112" t="s">
        <v>508</v>
      </c>
      <c r="G85" s="112" t="s">
        <v>380</v>
      </c>
      <c r="H85" s="112" t="s">
        <v>405</v>
      </c>
      <c r="I85">
        <v>814</v>
      </c>
    </row>
    <row r="86" spans="1:10">
      <c r="A86" s="112" t="s">
        <v>490</v>
      </c>
      <c r="B86" s="112" t="s">
        <v>377</v>
      </c>
      <c r="C86" s="112" t="s">
        <v>389</v>
      </c>
      <c r="D86" s="112" t="s">
        <v>379</v>
      </c>
      <c r="E86">
        <v>7050</v>
      </c>
      <c r="F86" s="112" t="s">
        <v>509</v>
      </c>
      <c r="G86" s="112" t="s">
        <v>392</v>
      </c>
      <c r="H86" s="112" t="s">
        <v>385</v>
      </c>
      <c r="I86">
        <v>106</v>
      </c>
    </row>
    <row r="87" spans="1:10">
      <c r="A87" s="112" t="s">
        <v>490</v>
      </c>
      <c r="B87" s="112" t="s">
        <v>377</v>
      </c>
      <c r="C87" s="112" t="s">
        <v>378</v>
      </c>
      <c r="D87" s="112" t="s">
        <v>379</v>
      </c>
      <c r="E87">
        <v>7614</v>
      </c>
      <c r="F87" s="112" t="s">
        <v>510</v>
      </c>
      <c r="G87" s="112" t="s">
        <v>384</v>
      </c>
      <c r="H87" s="112" t="s">
        <v>390</v>
      </c>
      <c r="I87">
        <v>87</v>
      </c>
    </row>
    <row r="88" spans="1:10">
      <c r="A88" s="112" t="s">
        <v>490</v>
      </c>
      <c r="B88" s="112" t="s">
        <v>377</v>
      </c>
      <c r="C88" s="112" t="s">
        <v>389</v>
      </c>
      <c r="D88" s="112" t="s">
        <v>379</v>
      </c>
      <c r="E88">
        <v>7623</v>
      </c>
      <c r="F88" s="112" t="s">
        <v>511</v>
      </c>
      <c r="G88" s="112" t="s">
        <v>384</v>
      </c>
      <c r="H88" s="112" t="s">
        <v>390</v>
      </c>
      <c r="I88">
        <v>11</v>
      </c>
    </row>
    <row r="89" spans="1:10">
      <c r="A89" s="112" t="s">
        <v>490</v>
      </c>
      <c r="B89" s="112" t="s">
        <v>377</v>
      </c>
      <c r="C89" s="112" t="s">
        <v>387</v>
      </c>
      <c r="D89" s="112" t="s">
        <v>379</v>
      </c>
      <c r="E89">
        <v>8077</v>
      </c>
      <c r="F89" s="112" t="s">
        <v>512</v>
      </c>
      <c r="G89" s="112" t="s">
        <v>380</v>
      </c>
      <c r="H89" s="112" t="s">
        <v>386</v>
      </c>
      <c r="I89">
        <v>83</v>
      </c>
    </row>
    <row r="90" spans="1:10">
      <c r="A90" s="112" t="s">
        <v>490</v>
      </c>
      <c r="B90" s="112" t="s">
        <v>377</v>
      </c>
      <c r="C90" s="112" t="s">
        <v>387</v>
      </c>
      <c r="D90" s="112" t="s">
        <v>383</v>
      </c>
      <c r="E90">
        <v>8894</v>
      </c>
      <c r="F90" s="112" t="s">
        <v>513</v>
      </c>
      <c r="G90" s="112" t="s">
        <v>388</v>
      </c>
      <c r="H90" s="112" t="s">
        <v>406</v>
      </c>
      <c r="I90">
        <v>85</v>
      </c>
    </row>
    <row r="91" spans="1:10">
      <c r="A91" s="112" t="s">
        <v>490</v>
      </c>
      <c r="B91" s="112" t="s">
        <v>377</v>
      </c>
      <c r="C91" s="112" t="s">
        <v>389</v>
      </c>
      <c r="D91" s="112" t="s">
        <v>383</v>
      </c>
      <c r="E91">
        <v>9425</v>
      </c>
      <c r="F91" s="112" t="s">
        <v>514</v>
      </c>
      <c r="G91" s="112" t="s">
        <v>384</v>
      </c>
      <c r="H91" s="112" t="s">
        <v>391</v>
      </c>
      <c r="I91">
        <v>18</v>
      </c>
    </row>
    <row r="92" spans="1:10">
      <c r="A92" s="112" t="s">
        <v>490</v>
      </c>
      <c r="B92" s="112" t="s">
        <v>377</v>
      </c>
      <c r="C92" s="112" t="s">
        <v>387</v>
      </c>
      <c r="D92" s="112" t="s">
        <v>379</v>
      </c>
      <c r="E92">
        <v>9603</v>
      </c>
      <c r="F92" s="112" t="s">
        <v>515</v>
      </c>
      <c r="G92" s="112" t="s">
        <v>380</v>
      </c>
      <c r="H92" s="112" t="s">
        <v>385</v>
      </c>
      <c r="I92" s="112" t="s">
        <v>403</v>
      </c>
      <c r="J92" s="112" t="s">
        <v>1060</v>
      </c>
    </row>
    <row r="93" spans="1:10">
      <c r="A93" s="112" t="s">
        <v>490</v>
      </c>
      <c r="B93" s="112" t="s">
        <v>377</v>
      </c>
      <c r="C93" s="112" t="s">
        <v>378</v>
      </c>
      <c r="D93" s="112" t="s">
        <v>379</v>
      </c>
      <c r="E93">
        <v>9681</v>
      </c>
      <c r="F93" s="112" t="s">
        <v>516</v>
      </c>
      <c r="G93" s="112" t="s">
        <v>380</v>
      </c>
      <c r="H93" s="112" t="s">
        <v>385</v>
      </c>
      <c r="I93">
        <v>980</v>
      </c>
    </row>
    <row r="94" spans="1:10">
      <c r="A94" s="112" t="s">
        <v>517</v>
      </c>
      <c r="B94" s="112" t="s">
        <v>404</v>
      </c>
      <c r="C94" s="112" t="s">
        <v>378</v>
      </c>
      <c r="D94" s="112" t="s">
        <v>383</v>
      </c>
      <c r="E94">
        <v>4380</v>
      </c>
      <c r="F94" s="112" t="s">
        <v>518</v>
      </c>
      <c r="G94" s="112" t="s">
        <v>392</v>
      </c>
      <c r="H94" s="112" t="s">
        <v>391</v>
      </c>
      <c r="I94">
        <v>40</v>
      </c>
    </row>
    <row r="95" spans="1:10">
      <c r="A95" s="112" t="s">
        <v>517</v>
      </c>
      <c r="B95" s="112" t="s">
        <v>377</v>
      </c>
      <c r="C95" s="112" t="s">
        <v>387</v>
      </c>
      <c r="D95" s="112" t="s">
        <v>379</v>
      </c>
      <c r="E95">
        <v>1383</v>
      </c>
      <c r="F95" s="112" t="s">
        <v>519</v>
      </c>
      <c r="G95" s="112" t="s">
        <v>384</v>
      </c>
      <c r="H95" s="112" t="s">
        <v>520</v>
      </c>
      <c r="I95" s="112">
        <v>31</v>
      </c>
      <c r="J95" s="112"/>
    </row>
    <row r="96" spans="1:10">
      <c r="A96" s="112" t="s">
        <v>517</v>
      </c>
      <c r="B96" s="112" t="s">
        <v>377</v>
      </c>
      <c r="C96" s="112" t="s">
        <v>389</v>
      </c>
      <c r="D96" s="112" t="s">
        <v>383</v>
      </c>
      <c r="E96">
        <v>1436</v>
      </c>
      <c r="F96" s="112" t="s">
        <v>521</v>
      </c>
      <c r="G96" s="112" t="s">
        <v>392</v>
      </c>
      <c r="H96" s="112" t="s">
        <v>414</v>
      </c>
      <c r="I96">
        <v>24</v>
      </c>
    </row>
    <row r="97" spans="1:10">
      <c r="A97" s="112" t="s">
        <v>517</v>
      </c>
      <c r="B97" s="112" t="s">
        <v>377</v>
      </c>
      <c r="C97" s="112" t="s">
        <v>387</v>
      </c>
      <c r="D97" s="112" t="s">
        <v>379</v>
      </c>
      <c r="E97">
        <v>1840</v>
      </c>
      <c r="F97" s="112" t="s">
        <v>522</v>
      </c>
      <c r="G97" s="112" t="s">
        <v>388</v>
      </c>
      <c r="H97" s="112" t="s">
        <v>414</v>
      </c>
      <c r="I97">
        <v>63</v>
      </c>
    </row>
    <row r="98" spans="1:10">
      <c r="A98" s="112" t="s">
        <v>517</v>
      </c>
      <c r="B98" s="112" t="s">
        <v>377</v>
      </c>
      <c r="C98" s="112" t="s">
        <v>387</v>
      </c>
      <c r="D98" s="112" t="s">
        <v>379</v>
      </c>
      <c r="E98">
        <v>1873</v>
      </c>
      <c r="F98" s="112" t="s">
        <v>523</v>
      </c>
      <c r="G98" s="112" t="s">
        <v>380</v>
      </c>
      <c r="H98" s="112" t="s">
        <v>414</v>
      </c>
      <c r="I98">
        <v>222</v>
      </c>
    </row>
    <row r="99" spans="1:10">
      <c r="A99" s="112" t="s">
        <v>517</v>
      </c>
      <c r="B99" s="112" t="s">
        <v>377</v>
      </c>
      <c r="C99" s="112" t="s">
        <v>389</v>
      </c>
      <c r="D99" s="112" t="s">
        <v>379</v>
      </c>
      <c r="E99">
        <v>2159</v>
      </c>
      <c r="F99" s="112" t="s">
        <v>524</v>
      </c>
      <c r="G99" s="112" t="s">
        <v>388</v>
      </c>
      <c r="H99" s="112" t="s">
        <v>385</v>
      </c>
      <c r="I99">
        <v>82</v>
      </c>
    </row>
    <row r="100" spans="1:10">
      <c r="A100" s="112" t="s">
        <v>517</v>
      </c>
      <c r="B100" s="112" t="s">
        <v>377</v>
      </c>
      <c r="C100" s="112" t="s">
        <v>387</v>
      </c>
      <c r="D100" s="112" t="s">
        <v>379</v>
      </c>
      <c r="E100">
        <v>2198</v>
      </c>
      <c r="F100" s="112" t="s">
        <v>525</v>
      </c>
      <c r="G100" s="112" t="s">
        <v>380</v>
      </c>
      <c r="H100" s="112" t="s">
        <v>385</v>
      </c>
      <c r="I100" s="112">
        <v>215</v>
      </c>
      <c r="J100" s="112"/>
    </row>
    <row r="101" spans="1:10">
      <c r="A101" s="112" t="s">
        <v>517</v>
      </c>
      <c r="B101" s="112" t="s">
        <v>377</v>
      </c>
      <c r="C101" s="112" t="s">
        <v>387</v>
      </c>
      <c r="D101" s="112" t="s">
        <v>383</v>
      </c>
      <c r="E101">
        <v>2345</v>
      </c>
      <c r="F101" s="112" t="s">
        <v>526</v>
      </c>
      <c r="G101" s="112" t="s">
        <v>388</v>
      </c>
      <c r="H101" s="112" t="s">
        <v>391</v>
      </c>
      <c r="I101" s="112">
        <v>35</v>
      </c>
      <c r="J101" s="112"/>
    </row>
    <row r="102" spans="1:10">
      <c r="A102" s="112" t="s">
        <v>517</v>
      </c>
      <c r="B102" s="112" t="s">
        <v>377</v>
      </c>
      <c r="C102" s="112" t="s">
        <v>382</v>
      </c>
      <c r="D102" s="112" t="s">
        <v>383</v>
      </c>
      <c r="E102">
        <v>2424</v>
      </c>
      <c r="F102" s="112" t="s">
        <v>527</v>
      </c>
      <c r="G102" s="112" t="s">
        <v>380</v>
      </c>
      <c r="H102" s="112" t="s">
        <v>385</v>
      </c>
      <c r="I102">
        <v>43</v>
      </c>
    </row>
    <row r="103" spans="1:10">
      <c r="A103" s="112" t="s">
        <v>517</v>
      </c>
      <c r="B103" s="112" t="s">
        <v>377</v>
      </c>
      <c r="C103" s="112" t="s">
        <v>378</v>
      </c>
      <c r="D103" s="112" t="s">
        <v>379</v>
      </c>
      <c r="E103">
        <v>2776</v>
      </c>
      <c r="F103" s="112" t="s">
        <v>528</v>
      </c>
      <c r="G103" s="112" t="s">
        <v>384</v>
      </c>
      <c r="H103" s="112" t="s">
        <v>386</v>
      </c>
      <c r="I103" s="112">
        <v>20</v>
      </c>
      <c r="J103" s="112"/>
    </row>
    <row r="104" spans="1:10">
      <c r="A104" s="112" t="s">
        <v>517</v>
      </c>
      <c r="B104" s="112" t="s">
        <v>377</v>
      </c>
      <c r="C104" s="112" t="s">
        <v>382</v>
      </c>
      <c r="D104" s="112" t="s">
        <v>383</v>
      </c>
      <c r="E104">
        <v>2978</v>
      </c>
      <c r="F104" s="112" t="s">
        <v>529</v>
      </c>
      <c r="G104" s="112" t="s">
        <v>392</v>
      </c>
      <c r="H104" s="112" t="s">
        <v>406</v>
      </c>
      <c r="I104" s="112">
        <v>159</v>
      </c>
      <c r="J104" s="112"/>
    </row>
    <row r="105" spans="1:10">
      <c r="A105" s="112" t="s">
        <v>517</v>
      </c>
      <c r="B105" s="112" t="s">
        <v>377</v>
      </c>
      <c r="C105" s="112" t="s">
        <v>387</v>
      </c>
      <c r="D105" s="112" t="s">
        <v>379</v>
      </c>
      <c r="E105">
        <v>3038</v>
      </c>
      <c r="F105" s="112" t="s">
        <v>530</v>
      </c>
      <c r="G105" s="112" t="s">
        <v>380</v>
      </c>
      <c r="H105" s="112" t="s">
        <v>386</v>
      </c>
      <c r="I105" s="112" t="s">
        <v>531</v>
      </c>
      <c r="J105" s="112" t="s">
        <v>1061</v>
      </c>
    </row>
    <row r="106" spans="1:10">
      <c r="A106" s="112" t="s">
        <v>517</v>
      </c>
      <c r="B106" s="112" t="s">
        <v>377</v>
      </c>
      <c r="C106" s="112" t="s">
        <v>378</v>
      </c>
      <c r="D106" s="112" t="s">
        <v>379</v>
      </c>
      <c r="E106">
        <v>3159</v>
      </c>
      <c r="F106" s="112" t="s">
        <v>532</v>
      </c>
      <c r="G106" s="112" t="s">
        <v>380</v>
      </c>
      <c r="H106" s="112" t="s">
        <v>390</v>
      </c>
      <c r="I106">
        <v>348</v>
      </c>
    </row>
    <row r="107" spans="1:10">
      <c r="A107" s="112" t="s">
        <v>517</v>
      </c>
      <c r="B107" s="112" t="s">
        <v>377</v>
      </c>
      <c r="C107" s="112" t="s">
        <v>387</v>
      </c>
      <c r="D107" s="112" t="s">
        <v>379</v>
      </c>
      <c r="E107">
        <v>3195</v>
      </c>
      <c r="F107" s="112" t="s">
        <v>533</v>
      </c>
      <c r="G107" s="112" t="s">
        <v>392</v>
      </c>
      <c r="H107" s="112" t="s">
        <v>390</v>
      </c>
      <c r="I107">
        <v>47</v>
      </c>
    </row>
    <row r="108" spans="1:10">
      <c r="A108" s="112" t="s">
        <v>517</v>
      </c>
      <c r="B108" s="112" t="s">
        <v>377</v>
      </c>
      <c r="C108" s="112" t="s">
        <v>387</v>
      </c>
      <c r="D108" s="112" t="s">
        <v>383</v>
      </c>
      <c r="E108">
        <v>3309</v>
      </c>
      <c r="F108" s="112" t="s">
        <v>534</v>
      </c>
      <c r="G108" s="112" t="s">
        <v>467</v>
      </c>
      <c r="H108" s="112" t="s">
        <v>468</v>
      </c>
      <c r="I108" s="112" t="s">
        <v>531</v>
      </c>
      <c r="J108" s="112" t="s">
        <v>1062</v>
      </c>
    </row>
    <row r="109" spans="1:10">
      <c r="A109" s="112" t="s">
        <v>517</v>
      </c>
      <c r="B109" s="112" t="s">
        <v>377</v>
      </c>
      <c r="C109" s="112" t="s">
        <v>382</v>
      </c>
      <c r="D109" s="112" t="s">
        <v>379</v>
      </c>
      <c r="E109">
        <v>3421</v>
      </c>
      <c r="F109" s="112" t="s">
        <v>535</v>
      </c>
      <c r="G109" s="112" t="s">
        <v>380</v>
      </c>
      <c r="H109" s="112" t="s">
        <v>395</v>
      </c>
      <c r="I109">
        <v>260</v>
      </c>
    </row>
    <row r="110" spans="1:10">
      <c r="A110" s="112" t="s">
        <v>517</v>
      </c>
      <c r="B110" s="112" t="s">
        <v>377</v>
      </c>
      <c r="C110" s="112" t="s">
        <v>387</v>
      </c>
      <c r="D110" s="112" t="s">
        <v>379</v>
      </c>
      <c r="E110">
        <v>3480</v>
      </c>
      <c r="F110" s="112" t="s">
        <v>536</v>
      </c>
      <c r="G110" s="112" t="s">
        <v>380</v>
      </c>
      <c r="H110" s="112" t="s">
        <v>406</v>
      </c>
      <c r="I110">
        <v>229</v>
      </c>
    </row>
    <row r="111" spans="1:10">
      <c r="A111" s="112" t="s">
        <v>517</v>
      </c>
      <c r="B111" s="112" t="s">
        <v>377</v>
      </c>
      <c r="C111" s="112" t="s">
        <v>382</v>
      </c>
      <c r="D111" s="112" t="s">
        <v>383</v>
      </c>
      <c r="E111">
        <v>3497</v>
      </c>
      <c r="F111" s="112" t="s">
        <v>537</v>
      </c>
      <c r="G111" s="112" t="s">
        <v>392</v>
      </c>
      <c r="H111" s="112" t="s">
        <v>406</v>
      </c>
      <c r="I111">
        <v>37</v>
      </c>
    </row>
    <row r="112" spans="1:10">
      <c r="A112" s="112" t="s">
        <v>517</v>
      </c>
      <c r="B112" s="112" t="s">
        <v>377</v>
      </c>
      <c r="C112" s="112" t="s">
        <v>387</v>
      </c>
      <c r="D112" s="112" t="s">
        <v>379</v>
      </c>
      <c r="E112">
        <v>3653</v>
      </c>
      <c r="F112" s="112" t="s">
        <v>538</v>
      </c>
      <c r="G112" s="112" t="s">
        <v>392</v>
      </c>
      <c r="H112" s="112" t="s">
        <v>391</v>
      </c>
      <c r="I112">
        <v>165</v>
      </c>
    </row>
    <row r="113" spans="1:10">
      <c r="A113" s="112" t="s">
        <v>517</v>
      </c>
      <c r="B113" s="112" t="s">
        <v>377</v>
      </c>
      <c r="C113" s="112" t="s">
        <v>378</v>
      </c>
      <c r="D113" s="112" t="s">
        <v>383</v>
      </c>
      <c r="E113">
        <v>3665</v>
      </c>
      <c r="F113" s="112" t="s">
        <v>539</v>
      </c>
      <c r="G113" s="112" t="s">
        <v>380</v>
      </c>
      <c r="H113" s="112" t="s">
        <v>391</v>
      </c>
      <c r="I113">
        <v>442</v>
      </c>
    </row>
    <row r="114" spans="1:10">
      <c r="A114" s="112" t="s">
        <v>517</v>
      </c>
      <c r="B114" s="112" t="s">
        <v>377</v>
      </c>
      <c r="C114" s="112" t="s">
        <v>389</v>
      </c>
      <c r="D114" s="112" t="s">
        <v>379</v>
      </c>
      <c r="E114">
        <v>3843</v>
      </c>
      <c r="F114" s="112" t="s">
        <v>540</v>
      </c>
      <c r="G114" s="112" t="s">
        <v>380</v>
      </c>
      <c r="H114" s="112" t="s">
        <v>391</v>
      </c>
      <c r="I114">
        <v>215</v>
      </c>
    </row>
    <row r="115" spans="1:10">
      <c r="A115" s="112" t="s">
        <v>517</v>
      </c>
      <c r="B115" s="112" t="s">
        <v>377</v>
      </c>
      <c r="C115" s="112" t="s">
        <v>378</v>
      </c>
      <c r="D115" s="112" t="s">
        <v>383</v>
      </c>
      <c r="E115">
        <v>3921</v>
      </c>
      <c r="F115" s="112" t="s">
        <v>541</v>
      </c>
      <c r="G115" s="112" t="s">
        <v>380</v>
      </c>
      <c r="H115" s="112" t="s">
        <v>391</v>
      </c>
      <c r="I115">
        <v>154</v>
      </c>
    </row>
    <row r="116" spans="1:10">
      <c r="A116" s="112" t="s">
        <v>517</v>
      </c>
      <c r="B116" s="112" t="s">
        <v>377</v>
      </c>
      <c r="C116" s="112" t="s">
        <v>378</v>
      </c>
      <c r="D116" s="112" t="s">
        <v>379</v>
      </c>
      <c r="E116">
        <v>3931</v>
      </c>
      <c r="F116" s="112" t="s">
        <v>542</v>
      </c>
      <c r="G116" s="112" t="s">
        <v>392</v>
      </c>
      <c r="H116" s="112" t="s">
        <v>391</v>
      </c>
      <c r="I116">
        <v>23</v>
      </c>
    </row>
    <row r="117" spans="1:10">
      <c r="A117" s="112" t="s">
        <v>517</v>
      </c>
      <c r="B117" s="112" t="s">
        <v>377</v>
      </c>
      <c r="C117" s="112" t="s">
        <v>378</v>
      </c>
      <c r="D117" s="112" t="s">
        <v>379</v>
      </c>
      <c r="E117">
        <v>3995</v>
      </c>
      <c r="F117" s="112" t="s">
        <v>543</v>
      </c>
      <c r="G117" s="112" t="s">
        <v>392</v>
      </c>
      <c r="H117" s="112" t="s">
        <v>391</v>
      </c>
      <c r="I117">
        <v>76</v>
      </c>
    </row>
    <row r="118" spans="1:10">
      <c r="A118" s="112" t="s">
        <v>517</v>
      </c>
      <c r="B118" s="112" t="s">
        <v>377</v>
      </c>
      <c r="C118" s="112" t="s">
        <v>378</v>
      </c>
      <c r="D118" s="112" t="s">
        <v>379</v>
      </c>
      <c r="E118">
        <v>4287</v>
      </c>
      <c r="F118" s="112" t="s">
        <v>544</v>
      </c>
      <c r="G118" s="112" t="s">
        <v>384</v>
      </c>
      <c r="H118" s="112" t="s">
        <v>391</v>
      </c>
      <c r="I118" s="112">
        <v>66</v>
      </c>
      <c r="J118" s="112"/>
    </row>
    <row r="119" spans="1:10">
      <c r="A119" s="112" t="s">
        <v>517</v>
      </c>
      <c r="B119" s="112" t="s">
        <v>377</v>
      </c>
      <c r="C119" s="112" t="s">
        <v>389</v>
      </c>
      <c r="D119" s="112" t="s">
        <v>383</v>
      </c>
      <c r="E119">
        <v>4431</v>
      </c>
      <c r="F119" s="112" t="s">
        <v>545</v>
      </c>
      <c r="G119" s="112" t="s">
        <v>392</v>
      </c>
      <c r="H119" s="112" t="s">
        <v>391</v>
      </c>
      <c r="I119" s="112">
        <v>287</v>
      </c>
      <c r="J119" s="112"/>
    </row>
    <row r="120" spans="1:10">
      <c r="A120" s="112" t="s">
        <v>517</v>
      </c>
      <c r="B120" s="112" t="s">
        <v>377</v>
      </c>
      <c r="C120" s="112" t="s">
        <v>378</v>
      </c>
      <c r="D120" s="112" t="s">
        <v>379</v>
      </c>
      <c r="E120">
        <v>4592</v>
      </c>
      <c r="F120" s="112" t="s">
        <v>546</v>
      </c>
      <c r="G120" s="112" t="s">
        <v>392</v>
      </c>
      <c r="H120" s="112" t="s">
        <v>502</v>
      </c>
      <c r="I120" s="112" t="s">
        <v>403</v>
      </c>
      <c r="J120" s="112" t="s">
        <v>1063</v>
      </c>
    </row>
    <row r="121" spans="1:10">
      <c r="A121" s="112" t="s">
        <v>517</v>
      </c>
      <c r="B121" s="112" t="s">
        <v>377</v>
      </c>
      <c r="C121" s="112" t="s">
        <v>382</v>
      </c>
      <c r="D121" s="112" t="s">
        <v>383</v>
      </c>
      <c r="E121">
        <v>4599</v>
      </c>
      <c r="F121" s="112" t="s">
        <v>547</v>
      </c>
      <c r="G121" s="112" t="s">
        <v>392</v>
      </c>
      <c r="H121" s="112" t="s">
        <v>502</v>
      </c>
      <c r="I121">
        <v>483</v>
      </c>
    </row>
    <row r="122" spans="1:10">
      <c r="A122" s="112" t="s">
        <v>517</v>
      </c>
      <c r="B122" s="112" t="s">
        <v>377</v>
      </c>
      <c r="C122" s="112" t="s">
        <v>387</v>
      </c>
      <c r="D122" s="112" t="s">
        <v>379</v>
      </c>
      <c r="E122">
        <v>4627</v>
      </c>
      <c r="F122" s="112" t="s">
        <v>548</v>
      </c>
      <c r="G122" s="112" t="s">
        <v>384</v>
      </c>
      <c r="H122" s="112" t="s">
        <v>393</v>
      </c>
      <c r="I122">
        <v>99</v>
      </c>
    </row>
    <row r="123" spans="1:10">
      <c r="A123" s="112" t="s">
        <v>517</v>
      </c>
      <c r="B123" s="112" t="s">
        <v>377</v>
      </c>
      <c r="C123" s="112" t="s">
        <v>387</v>
      </c>
      <c r="D123" s="112" t="s">
        <v>379</v>
      </c>
      <c r="E123">
        <v>4996</v>
      </c>
      <c r="F123" s="112" t="s">
        <v>549</v>
      </c>
      <c r="G123" s="112" t="s">
        <v>380</v>
      </c>
      <c r="H123" s="112" t="s">
        <v>393</v>
      </c>
      <c r="I123" s="112" t="s">
        <v>435</v>
      </c>
      <c r="J123" s="112" t="s">
        <v>1064</v>
      </c>
    </row>
    <row r="124" spans="1:10">
      <c r="A124" s="112" t="s">
        <v>517</v>
      </c>
      <c r="B124" s="112" t="s">
        <v>377</v>
      </c>
      <c r="C124" s="112" t="s">
        <v>387</v>
      </c>
      <c r="D124" s="112" t="s">
        <v>383</v>
      </c>
      <c r="E124">
        <v>6049</v>
      </c>
      <c r="F124" s="112" t="s">
        <v>550</v>
      </c>
      <c r="G124" s="112" t="s">
        <v>392</v>
      </c>
      <c r="H124" s="112" t="s">
        <v>385</v>
      </c>
      <c r="I124">
        <v>418</v>
      </c>
    </row>
    <row r="125" spans="1:10">
      <c r="A125" s="112" t="s">
        <v>517</v>
      </c>
      <c r="B125" s="112" t="s">
        <v>377</v>
      </c>
      <c r="C125" s="112" t="s">
        <v>382</v>
      </c>
      <c r="D125" s="112" t="s">
        <v>379</v>
      </c>
      <c r="E125">
        <v>6091</v>
      </c>
      <c r="F125" s="112" t="s">
        <v>551</v>
      </c>
      <c r="G125" s="112" t="s">
        <v>388</v>
      </c>
      <c r="H125" s="112" t="s">
        <v>385</v>
      </c>
      <c r="I125">
        <v>74</v>
      </c>
    </row>
    <row r="126" spans="1:10">
      <c r="A126" s="112" t="s">
        <v>517</v>
      </c>
      <c r="B126" s="112" t="s">
        <v>377</v>
      </c>
      <c r="C126" s="112" t="s">
        <v>389</v>
      </c>
      <c r="D126" s="112" t="s">
        <v>379</v>
      </c>
      <c r="E126">
        <v>6192</v>
      </c>
      <c r="F126" s="112" t="s">
        <v>552</v>
      </c>
      <c r="G126" s="112" t="s">
        <v>392</v>
      </c>
      <c r="H126" s="112" t="s">
        <v>385</v>
      </c>
      <c r="I126">
        <v>80</v>
      </c>
    </row>
    <row r="127" spans="1:10">
      <c r="A127" s="112" t="s">
        <v>517</v>
      </c>
      <c r="B127" s="112" t="s">
        <v>377</v>
      </c>
      <c r="C127" s="112" t="s">
        <v>382</v>
      </c>
      <c r="D127" s="112" t="s">
        <v>379</v>
      </c>
      <c r="E127">
        <v>6577</v>
      </c>
      <c r="F127" s="112" t="s">
        <v>553</v>
      </c>
      <c r="G127" s="112" t="s">
        <v>392</v>
      </c>
      <c r="H127" s="112" t="s">
        <v>385</v>
      </c>
      <c r="I127">
        <v>42</v>
      </c>
    </row>
    <row r="128" spans="1:10">
      <c r="A128" s="112" t="s">
        <v>517</v>
      </c>
      <c r="B128" s="112" t="s">
        <v>377</v>
      </c>
      <c r="C128" s="112" t="s">
        <v>389</v>
      </c>
      <c r="D128" s="112" t="s">
        <v>379</v>
      </c>
      <c r="E128">
        <v>6630</v>
      </c>
      <c r="F128" s="112" t="s">
        <v>554</v>
      </c>
      <c r="G128" s="112" t="s">
        <v>380</v>
      </c>
      <c r="H128" s="112" t="s">
        <v>405</v>
      </c>
      <c r="I128">
        <v>403</v>
      </c>
    </row>
    <row r="129" spans="1:10">
      <c r="A129" s="112" t="s">
        <v>517</v>
      </c>
      <c r="B129" s="112" t="s">
        <v>377</v>
      </c>
      <c r="C129" s="112" t="s">
        <v>382</v>
      </c>
      <c r="D129" s="112" t="s">
        <v>379</v>
      </c>
      <c r="E129">
        <v>6721</v>
      </c>
      <c r="F129" s="112" t="s">
        <v>555</v>
      </c>
      <c r="G129" s="112" t="s">
        <v>388</v>
      </c>
      <c r="H129" s="112" t="s">
        <v>405</v>
      </c>
      <c r="I129">
        <v>81</v>
      </c>
    </row>
    <row r="130" spans="1:10">
      <c r="A130" s="112" t="s">
        <v>517</v>
      </c>
      <c r="B130" s="112" t="s">
        <v>377</v>
      </c>
      <c r="C130" s="112" t="s">
        <v>387</v>
      </c>
      <c r="D130" s="112" t="s">
        <v>379</v>
      </c>
      <c r="E130">
        <v>7033</v>
      </c>
      <c r="F130" s="112" t="s">
        <v>556</v>
      </c>
      <c r="G130" s="112" t="s">
        <v>380</v>
      </c>
      <c r="H130" s="112" t="s">
        <v>385</v>
      </c>
      <c r="I130">
        <v>121</v>
      </c>
    </row>
    <row r="131" spans="1:10">
      <c r="A131" s="112" t="s">
        <v>517</v>
      </c>
      <c r="B131" s="112" t="s">
        <v>377</v>
      </c>
      <c r="C131" s="112" t="s">
        <v>378</v>
      </c>
      <c r="D131" s="112" t="s">
        <v>379</v>
      </c>
      <c r="E131">
        <v>7073</v>
      </c>
      <c r="F131" s="112" t="s">
        <v>557</v>
      </c>
      <c r="G131" s="112" t="s">
        <v>392</v>
      </c>
      <c r="H131" s="112" t="s">
        <v>385</v>
      </c>
      <c r="I131" s="112">
        <v>83</v>
      </c>
      <c r="J131" s="112"/>
    </row>
    <row r="132" spans="1:10">
      <c r="A132" s="112" t="s">
        <v>517</v>
      </c>
      <c r="B132" s="112" t="s">
        <v>377</v>
      </c>
      <c r="C132" s="112" t="s">
        <v>387</v>
      </c>
      <c r="D132" s="112" t="s">
        <v>379</v>
      </c>
      <c r="E132">
        <v>7279</v>
      </c>
      <c r="F132" s="112" t="s">
        <v>558</v>
      </c>
      <c r="G132" s="112" t="s">
        <v>388</v>
      </c>
      <c r="H132" s="112" t="s">
        <v>431</v>
      </c>
      <c r="I132" s="112">
        <v>709</v>
      </c>
      <c r="J132" s="112"/>
    </row>
    <row r="133" spans="1:10">
      <c r="A133" s="112" t="s">
        <v>517</v>
      </c>
      <c r="B133" s="112" t="s">
        <v>377</v>
      </c>
      <c r="C133" s="112" t="s">
        <v>389</v>
      </c>
      <c r="D133" s="112" t="s">
        <v>379</v>
      </c>
      <c r="E133">
        <v>7604</v>
      </c>
      <c r="F133" s="112" t="s">
        <v>559</v>
      </c>
      <c r="G133" s="112" t="s">
        <v>388</v>
      </c>
      <c r="H133" s="112" t="s">
        <v>390</v>
      </c>
      <c r="I133">
        <v>206</v>
      </c>
    </row>
    <row r="134" spans="1:10">
      <c r="A134" s="112" t="s">
        <v>517</v>
      </c>
      <c r="B134" s="112" t="s">
        <v>377</v>
      </c>
      <c r="C134" s="112" t="s">
        <v>387</v>
      </c>
      <c r="D134" s="112" t="s">
        <v>383</v>
      </c>
      <c r="E134">
        <v>7605</v>
      </c>
      <c r="F134" s="112" t="s">
        <v>560</v>
      </c>
      <c r="G134" s="112" t="s">
        <v>380</v>
      </c>
      <c r="H134" s="112" t="s">
        <v>390</v>
      </c>
      <c r="I134" s="112">
        <v>250</v>
      </c>
      <c r="J134" s="112"/>
    </row>
    <row r="135" spans="1:10">
      <c r="A135" s="112" t="s">
        <v>517</v>
      </c>
      <c r="B135" s="112" t="s">
        <v>377</v>
      </c>
      <c r="C135" s="112" t="s">
        <v>382</v>
      </c>
      <c r="D135" s="112" t="s">
        <v>383</v>
      </c>
      <c r="E135">
        <v>7682</v>
      </c>
      <c r="F135" s="112" t="s">
        <v>561</v>
      </c>
      <c r="G135" s="112" t="s">
        <v>384</v>
      </c>
      <c r="H135" s="112" t="s">
        <v>390</v>
      </c>
      <c r="I135" s="112">
        <v>26</v>
      </c>
      <c r="J135" s="112"/>
    </row>
    <row r="136" spans="1:10">
      <c r="A136" s="112" t="s">
        <v>517</v>
      </c>
      <c r="B136" s="112" t="s">
        <v>377</v>
      </c>
      <c r="C136" s="112" t="s">
        <v>378</v>
      </c>
      <c r="D136" s="112" t="s">
        <v>379</v>
      </c>
      <c r="E136">
        <v>7683</v>
      </c>
      <c r="F136" s="112" t="s">
        <v>562</v>
      </c>
      <c r="G136" s="112" t="s">
        <v>392</v>
      </c>
      <c r="H136" s="112" t="s">
        <v>390</v>
      </c>
      <c r="I136">
        <v>210</v>
      </c>
    </row>
    <row r="137" spans="1:10">
      <c r="A137" s="112" t="s">
        <v>517</v>
      </c>
      <c r="B137" s="112" t="s">
        <v>377</v>
      </c>
      <c r="C137" s="112" t="s">
        <v>382</v>
      </c>
      <c r="D137" s="112" t="s">
        <v>379</v>
      </c>
      <c r="E137">
        <v>7803</v>
      </c>
      <c r="F137" s="112" t="s">
        <v>563</v>
      </c>
      <c r="G137" s="112" t="s">
        <v>392</v>
      </c>
      <c r="H137" s="112" t="s">
        <v>402</v>
      </c>
      <c r="I137">
        <v>652</v>
      </c>
    </row>
    <row r="138" spans="1:10">
      <c r="A138" s="112" t="s">
        <v>517</v>
      </c>
      <c r="B138" s="112" t="s">
        <v>377</v>
      </c>
      <c r="C138" s="112" t="s">
        <v>387</v>
      </c>
      <c r="D138" s="112" t="s">
        <v>383</v>
      </c>
      <c r="E138">
        <v>7805</v>
      </c>
      <c r="F138" s="112" t="s">
        <v>564</v>
      </c>
      <c r="G138" s="112" t="s">
        <v>384</v>
      </c>
      <c r="H138" s="112" t="s">
        <v>402</v>
      </c>
      <c r="I138">
        <v>32</v>
      </c>
    </row>
    <row r="139" spans="1:10">
      <c r="A139" s="112" t="s">
        <v>517</v>
      </c>
      <c r="B139" s="112" t="s">
        <v>377</v>
      </c>
      <c r="C139" s="112" t="s">
        <v>382</v>
      </c>
      <c r="D139" s="112" t="s">
        <v>379</v>
      </c>
      <c r="E139">
        <v>7810</v>
      </c>
      <c r="F139" s="112" t="s">
        <v>565</v>
      </c>
      <c r="G139" s="112" t="s">
        <v>384</v>
      </c>
      <c r="H139" s="112" t="s">
        <v>402</v>
      </c>
      <c r="I139">
        <v>63</v>
      </c>
    </row>
    <row r="140" spans="1:10">
      <c r="A140" s="112" t="s">
        <v>517</v>
      </c>
      <c r="B140" s="112" t="s">
        <v>377</v>
      </c>
      <c r="C140" s="112" t="s">
        <v>387</v>
      </c>
      <c r="D140" s="112" t="s">
        <v>383</v>
      </c>
      <c r="E140">
        <v>7827</v>
      </c>
      <c r="F140" s="112" t="s">
        <v>566</v>
      </c>
      <c r="G140" s="112" t="s">
        <v>384</v>
      </c>
      <c r="H140" s="112" t="s">
        <v>402</v>
      </c>
      <c r="I140">
        <v>14</v>
      </c>
    </row>
    <row r="141" spans="1:10">
      <c r="A141" s="112" t="s">
        <v>517</v>
      </c>
      <c r="B141" s="112" t="s">
        <v>377</v>
      </c>
      <c r="C141" s="112" t="s">
        <v>382</v>
      </c>
      <c r="D141" s="112" t="s">
        <v>379</v>
      </c>
      <c r="E141">
        <v>7850</v>
      </c>
      <c r="F141" s="112" t="s">
        <v>567</v>
      </c>
      <c r="G141" s="112" t="s">
        <v>384</v>
      </c>
      <c r="H141" s="112" t="s">
        <v>402</v>
      </c>
      <c r="I141">
        <v>22</v>
      </c>
    </row>
    <row r="142" spans="1:10">
      <c r="A142" s="112" t="s">
        <v>517</v>
      </c>
      <c r="B142" s="112" t="s">
        <v>377</v>
      </c>
      <c r="C142" s="112" t="s">
        <v>389</v>
      </c>
      <c r="D142" s="112" t="s">
        <v>379</v>
      </c>
      <c r="E142">
        <v>7899</v>
      </c>
      <c r="F142" s="112" t="s">
        <v>568</v>
      </c>
      <c r="G142" s="112" t="s">
        <v>384</v>
      </c>
      <c r="H142" s="112" t="s">
        <v>393</v>
      </c>
      <c r="I142">
        <v>19</v>
      </c>
    </row>
    <row r="143" spans="1:10">
      <c r="A143" s="112" t="s">
        <v>517</v>
      </c>
      <c r="B143" s="112" t="s">
        <v>377</v>
      </c>
      <c r="C143" s="112" t="s">
        <v>387</v>
      </c>
      <c r="D143" s="112" t="s">
        <v>379</v>
      </c>
      <c r="E143">
        <v>7983</v>
      </c>
      <c r="F143" s="112" t="s">
        <v>569</v>
      </c>
      <c r="G143" s="112" t="s">
        <v>388</v>
      </c>
      <c r="H143" s="112" t="s">
        <v>402</v>
      </c>
      <c r="I143">
        <v>63</v>
      </c>
    </row>
    <row r="144" spans="1:10">
      <c r="A144" s="112" t="s">
        <v>517</v>
      </c>
      <c r="B144" s="112" t="s">
        <v>377</v>
      </c>
      <c r="C144" s="112" t="s">
        <v>378</v>
      </c>
      <c r="D144" s="112" t="s">
        <v>379</v>
      </c>
      <c r="E144">
        <v>8013</v>
      </c>
      <c r="F144" s="112" t="s">
        <v>570</v>
      </c>
      <c r="G144" s="112" t="s">
        <v>380</v>
      </c>
      <c r="H144" s="112" t="s">
        <v>446</v>
      </c>
      <c r="I144">
        <v>36</v>
      </c>
    </row>
    <row r="145" spans="1:10">
      <c r="A145" s="112" t="s">
        <v>517</v>
      </c>
      <c r="B145" s="112" t="s">
        <v>377</v>
      </c>
      <c r="C145" s="112" t="s">
        <v>387</v>
      </c>
      <c r="D145" s="112" t="s">
        <v>379</v>
      </c>
      <c r="E145">
        <v>8079</v>
      </c>
      <c r="F145" s="112" t="s">
        <v>571</v>
      </c>
      <c r="G145" s="112" t="s">
        <v>380</v>
      </c>
      <c r="H145" s="112" t="s">
        <v>386</v>
      </c>
      <c r="I145">
        <v>581</v>
      </c>
    </row>
    <row r="146" spans="1:10">
      <c r="A146" s="112" t="s">
        <v>517</v>
      </c>
      <c r="B146" s="112" t="s">
        <v>377</v>
      </c>
      <c r="C146" s="112" t="s">
        <v>387</v>
      </c>
      <c r="D146" s="112" t="s">
        <v>379</v>
      </c>
      <c r="E146">
        <v>8917</v>
      </c>
      <c r="F146" s="112" t="s">
        <v>572</v>
      </c>
      <c r="G146" s="112" t="s">
        <v>380</v>
      </c>
      <c r="H146" s="112" t="s">
        <v>406</v>
      </c>
      <c r="I146" s="112">
        <v>221</v>
      </c>
      <c r="J146" s="112"/>
    </row>
    <row r="147" spans="1:10">
      <c r="A147" s="112" t="s">
        <v>517</v>
      </c>
      <c r="B147" s="112" t="s">
        <v>377</v>
      </c>
      <c r="C147" s="112" t="s">
        <v>382</v>
      </c>
      <c r="D147" s="112" t="s">
        <v>379</v>
      </c>
      <c r="E147">
        <v>8925</v>
      </c>
      <c r="F147" s="112" t="s">
        <v>573</v>
      </c>
      <c r="G147" s="112" t="s">
        <v>388</v>
      </c>
      <c r="H147" s="112" t="s">
        <v>406</v>
      </c>
      <c r="I147" s="112">
        <v>202</v>
      </c>
      <c r="J147" s="112"/>
    </row>
    <row r="148" spans="1:10">
      <c r="A148" s="112" t="s">
        <v>517</v>
      </c>
      <c r="B148" s="112" t="s">
        <v>377</v>
      </c>
      <c r="C148" s="112" t="s">
        <v>382</v>
      </c>
      <c r="D148" s="112" t="s">
        <v>379</v>
      </c>
      <c r="E148">
        <v>8927</v>
      </c>
      <c r="F148" s="112" t="s">
        <v>574</v>
      </c>
      <c r="G148" s="112" t="s">
        <v>384</v>
      </c>
      <c r="H148" s="112" t="s">
        <v>406</v>
      </c>
      <c r="I148">
        <v>66</v>
      </c>
    </row>
    <row r="149" spans="1:10">
      <c r="A149" s="112" t="s">
        <v>517</v>
      </c>
      <c r="B149" s="112" t="s">
        <v>377</v>
      </c>
      <c r="C149" s="112" t="s">
        <v>387</v>
      </c>
      <c r="D149" s="112" t="s">
        <v>383</v>
      </c>
      <c r="E149">
        <v>8975</v>
      </c>
      <c r="F149" s="112" t="s">
        <v>575</v>
      </c>
      <c r="G149" s="112" t="s">
        <v>467</v>
      </c>
      <c r="H149" s="112" t="s">
        <v>468</v>
      </c>
      <c r="I149" s="112" t="s">
        <v>435</v>
      </c>
      <c r="J149" s="112" t="s">
        <v>990</v>
      </c>
    </row>
    <row r="150" spans="1:10">
      <c r="A150" s="112" t="s">
        <v>517</v>
      </c>
      <c r="B150" s="112" t="s">
        <v>377</v>
      </c>
      <c r="C150" s="112" t="s">
        <v>387</v>
      </c>
      <c r="D150" s="112" t="s">
        <v>383</v>
      </c>
      <c r="E150">
        <v>8979</v>
      </c>
      <c r="F150" s="112" t="s">
        <v>576</v>
      </c>
      <c r="G150" s="112" t="s">
        <v>467</v>
      </c>
      <c r="H150" s="112" t="s">
        <v>468</v>
      </c>
      <c r="I150" s="112">
        <v>511</v>
      </c>
      <c r="J150" s="112"/>
    </row>
    <row r="151" spans="1:10">
      <c r="A151" s="112" t="s">
        <v>517</v>
      </c>
      <c r="B151" s="112" t="s">
        <v>377</v>
      </c>
      <c r="C151" s="112" t="s">
        <v>387</v>
      </c>
      <c r="D151" s="112" t="s">
        <v>379</v>
      </c>
      <c r="E151">
        <v>9279</v>
      </c>
      <c r="F151" s="112" t="s">
        <v>577</v>
      </c>
      <c r="G151" s="112" t="s">
        <v>392</v>
      </c>
      <c r="H151" s="112" t="s">
        <v>390</v>
      </c>
      <c r="I151">
        <v>232</v>
      </c>
    </row>
    <row r="152" spans="1:10">
      <c r="A152" s="112" t="s">
        <v>517</v>
      </c>
      <c r="B152" s="112" t="s">
        <v>377</v>
      </c>
      <c r="C152" s="112" t="s">
        <v>378</v>
      </c>
      <c r="D152" s="112" t="s">
        <v>379</v>
      </c>
      <c r="E152">
        <v>9637</v>
      </c>
      <c r="F152" s="112" t="s">
        <v>578</v>
      </c>
      <c r="G152" s="112" t="s">
        <v>388</v>
      </c>
      <c r="H152" s="112" t="s">
        <v>385</v>
      </c>
      <c r="I152">
        <v>113</v>
      </c>
    </row>
    <row r="153" spans="1:10">
      <c r="A153" s="112" t="s">
        <v>579</v>
      </c>
      <c r="B153" s="112" t="s">
        <v>439</v>
      </c>
      <c r="C153" s="112" t="s">
        <v>387</v>
      </c>
      <c r="D153" s="112" t="s">
        <v>383</v>
      </c>
      <c r="E153">
        <v>7034</v>
      </c>
      <c r="F153" s="112" t="s">
        <v>580</v>
      </c>
      <c r="G153" s="112" t="s">
        <v>392</v>
      </c>
      <c r="H153" s="112" t="s">
        <v>385</v>
      </c>
      <c r="I153">
        <v>448</v>
      </c>
    </row>
    <row r="154" spans="1:10">
      <c r="A154" s="112" t="s">
        <v>579</v>
      </c>
      <c r="B154" s="112" t="s">
        <v>377</v>
      </c>
      <c r="C154" s="112" t="s">
        <v>387</v>
      </c>
      <c r="D154" s="112" t="s">
        <v>383</v>
      </c>
      <c r="E154">
        <v>3287</v>
      </c>
      <c r="F154" s="112" t="s">
        <v>581</v>
      </c>
      <c r="G154" s="112" t="s">
        <v>467</v>
      </c>
      <c r="H154" s="112" t="s">
        <v>468</v>
      </c>
      <c r="I154" s="112" t="s">
        <v>435</v>
      </c>
      <c r="J154" s="112" t="s">
        <v>1063</v>
      </c>
    </row>
    <row r="155" spans="1:10">
      <c r="A155" s="112" t="s">
        <v>579</v>
      </c>
      <c r="B155" s="112" t="s">
        <v>377</v>
      </c>
      <c r="C155" s="112" t="s">
        <v>387</v>
      </c>
      <c r="D155" s="112" t="s">
        <v>383</v>
      </c>
      <c r="E155">
        <v>3298</v>
      </c>
      <c r="F155" s="112" t="s">
        <v>582</v>
      </c>
      <c r="G155" s="112" t="s">
        <v>467</v>
      </c>
      <c r="H155" s="112" t="s">
        <v>468</v>
      </c>
      <c r="I155" s="112" t="s">
        <v>435</v>
      </c>
      <c r="J155" s="112" t="s">
        <v>1065</v>
      </c>
    </row>
    <row r="156" spans="1:10">
      <c r="A156" s="112" t="s">
        <v>579</v>
      </c>
      <c r="B156" s="112" t="s">
        <v>377</v>
      </c>
      <c r="C156" s="112" t="s">
        <v>387</v>
      </c>
      <c r="D156" s="112" t="s">
        <v>383</v>
      </c>
      <c r="E156">
        <v>3451</v>
      </c>
      <c r="F156" s="112" t="s">
        <v>583</v>
      </c>
      <c r="G156" s="112" t="s">
        <v>467</v>
      </c>
      <c r="H156" s="112" t="s">
        <v>468</v>
      </c>
      <c r="I156">
        <v>444</v>
      </c>
    </row>
    <row r="157" spans="1:10">
      <c r="A157" s="112" t="s">
        <v>579</v>
      </c>
      <c r="B157" s="112" t="s">
        <v>377</v>
      </c>
      <c r="C157" s="112" t="s">
        <v>387</v>
      </c>
      <c r="D157" s="112" t="s">
        <v>379</v>
      </c>
      <c r="E157">
        <v>3804</v>
      </c>
      <c r="F157" s="112" t="s">
        <v>584</v>
      </c>
      <c r="G157" s="112" t="s">
        <v>384</v>
      </c>
      <c r="H157" s="112" t="s">
        <v>391</v>
      </c>
      <c r="I157">
        <v>54</v>
      </c>
    </row>
    <row r="158" spans="1:10">
      <c r="A158" s="112" t="s">
        <v>579</v>
      </c>
      <c r="B158" s="112" t="s">
        <v>377</v>
      </c>
      <c r="C158" s="112" t="s">
        <v>387</v>
      </c>
      <c r="D158" s="112" t="s">
        <v>379</v>
      </c>
      <c r="E158">
        <v>4666</v>
      </c>
      <c r="F158" s="112" t="s">
        <v>585</v>
      </c>
      <c r="G158" s="112" t="s">
        <v>380</v>
      </c>
      <c r="H158" s="112" t="s">
        <v>406</v>
      </c>
      <c r="I158" s="112" t="s">
        <v>620</v>
      </c>
      <c r="J158" s="112" t="s">
        <v>1066</v>
      </c>
    </row>
    <row r="159" spans="1:10">
      <c r="A159" s="112" t="s">
        <v>579</v>
      </c>
      <c r="B159" s="112" t="s">
        <v>377</v>
      </c>
      <c r="C159" s="112" t="s">
        <v>387</v>
      </c>
      <c r="D159" s="112" t="s">
        <v>379</v>
      </c>
      <c r="E159">
        <v>7831</v>
      </c>
      <c r="F159" s="112" t="s">
        <v>586</v>
      </c>
      <c r="G159" s="112" t="s">
        <v>388</v>
      </c>
      <c r="H159" s="112" t="s">
        <v>402</v>
      </c>
      <c r="I159">
        <v>38</v>
      </c>
    </row>
    <row r="160" spans="1:10">
      <c r="A160" s="112" t="s">
        <v>587</v>
      </c>
      <c r="B160" s="112" t="s">
        <v>377</v>
      </c>
      <c r="C160" s="112" t="s">
        <v>389</v>
      </c>
      <c r="D160" s="112" t="s">
        <v>379</v>
      </c>
      <c r="E160">
        <v>2678</v>
      </c>
      <c r="F160" s="112" t="s">
        <v>588</v>
      </c>
      <c r="G160" s="112" t="s">
        <v>380</v>
      </c>
      <c r="H160" s="112" t="s">
        <v>390</v>
      </c>
      <c r="I160" s="112" t="s">
        <v>435</v>
      </c>
      <c r="J160" s="112" t="s">
        <v>1031</v>
      </c>
    </row>
    <row r="161" spans="1:10">
      <c r="A161" s="112" t="s">
        <v>587</v>
      </c>
      <c r="B161" s="112" t="s">
        <v>377</v>
      </c>
      <c r="C161" s="112" t="s">
        <v>389</v>
      </c>
      <c r="D161" s="112" t="s">
        <v>379</v>
      </c>
      <c r="E161">
        <v>3391</v>
      </c>
      <c r="F161" s="112" t="s">
        <v>589</v>
      </c>
      <c r="G161" s="112" t="s">
        <v>380</v>
      </c>
      <c r="H161" s="112" t="s">
        <v>390</v>
      </c>
      <c r="I161" s="112" t="s">
        <v>590</v>
      </c>
      <c r="J161" s="112" t="s">
        <v>991</v>
      </c>
    </row>
    <row r="162" spans="1:10">
      <c r="A162" s="112" t="s">
        <v>587</v>
      </c>
      <c r="B162" s="112" t="s">
        <v>377</v>
      </c>
      <c r="C162" s="112" t="s">
        <v>387</v>
      </c>
      <c r="D162" s="112" t="s">
        <v>383</v>
      </c>
      <c r="E162">
        <v>8956</v>
      </c>
      <c r="F162" s="112" t="s">
        <v>591</v>
      </c>
      <c r="G162" s="112" t="s">
        <v>467</v>
      </c>
      <c r="H162" s="112" t="s">
        <v>468</v>
      </c>
      <c r="I162" s="112" t="s">
        <v>403</v>
      </c>
      <c r="J162" s="112" t="s">
        <v>1067</v>
      </c>
    </row>
    <row r="163" spans="1:10">
      <c r="A163" s="112" t="s">
        <v>592</v>
      </c>
      <c r="B163" s="112" t="s">
        <v>377</v>
      </c>
      <c r="C163" s="112" t="s">
        <v>387</v>
      </c>
      <c r="D163" s="112" t="s">
        <v>379</v>
      </c>
      <c r="E163">
        <v>2315</v>
      </c>
      <c r="F163" s="112" t="s">
        <v>593</v>
      </c>
      <c r="G163" s="112" t="s">
        <v>384</v>
      </c>
      <c r="H163" s="112" t="s">
        <v>391</v>
      </c>
      <c r="I163">
        <v>97</v>
      </c>
    </row>
    <row r="164" spans="1:10">
      <c r="A164" s="112" t="s">
        <v>594</v>
      </c>
      <c r="B164" s="112" t="s">
        <v>377</v>
      </c>
      <c r="C164" s="112" t="s">
        <v>387</v>
      </c>
      <c r="D164" s="112" t="s">
        <v>383</v>
      </c>
      <c r="E164">
        <v>3308</v>
      </c>
      <c r="F164" s="112" t="s">
        <v>595</v>
      </c>
      <c r="G164" s="112" t="s">
        <v>467</v>
      </c>
      <c r="H164" s="112" t="s">
        <v>468</v>
      </c>
      <c r="I164">
        <v>160</v>
      </c>
    </row>
    <row r="165" spans="1:10">
      <c r="A165" s="112" t="s">
        <v>1068</v>
      </c>
      <c r="B165" s="112" t="s">
        <v>377</v>
      </c>
      <c r="C165" s="112" t="s">
        <v>378</v>
      </c>
      <c r="D165" s="112" t="s">
        <v>379</v>
      </c>
      <c r="E165">
        <v>8227</v>
      </c>
      <c r="F165" s="112" t="s">
        <v>969</v>
      </c>
      <c r="G165" s="112" t="s">
        <v>380</v>
      </c>
      <c r="H165" s="112" t="s">
        <v>390</v>
      </c>
      <c r="I165" s="112" t="s">
        <v>620</v>
      </c>
      <c r="J165" s="112" t="s">
        <v>1069</v>
      </c>
    </row>
    <row r="166" spans="1:10">
      <c r="A166" s="112" t="s">
        <v>596</v>
      </c>
      <c r="B166" s="112" t="s">
        <v>404</v>
      </c>
      <c r="C166" s="112" t="s">
        <v>387</v>
      </c>
      <c r="D166" s="112" t="s">
        <v>379</v>
      </c>
      <c r="E166">
        <v>7965</v>
      </c>
      <c r="F166" s="112" t="s">
        <v>992</v>
      </c>
      <c r="G166" s="112" t="s">
        <v>380</v>
      </c>
      <c r="H166" s="112" t="s">
        <v>405</v>
      </c>
      <c r="I166" s="112" t="s">
        <v>435</v>
      </c>
      <c r="J166" s="112" t="s">
        <v>1070</v>
      </c>
    </row>
    <row r="167" spans="1:10">
      <c r="A167" s="112" t="s">
        <v>596</v>
      </c>
      <c r="B167" s="112" t="s">
        <v>377</v>
      </c>
      <c r="C167" s="112" t="s">
        <v>382</v>
      </c>
      <c r="D167" s="112" t="s">
        <v>379</v>
      </c>
      <c r="E167">
        <v>3035</v>
      </c>
      <c r="F167" s="112" t="s">
        <v>597</v>
      </c>
      <c r="G167" s="112" t="s">
        <v>384</v>
      </c>
      <c r="H167" s="112" t="s">
        <v>386</v>
      </c>
      <c r="I167">
        <v>21</v>
      </c>
    </row>
    <row r="168" spans="1:10">
      <c r="A168" s="112" t="s">
        <v>596</v>
      </c>
      <c r="B168" s="112" t="s">
        <v>377</v>
      </c>
      <c r="C168" s="112" t="s">
        <v>378</v>
      </c>
      <c r="D168" s="112" t="s">
        <v>379</v>
      </c>
      <c r="E168">
        <v>7624</v>
      </c>
      <c r="F168" s="112" t="s">
        <v>598</v>
      </c>
      <c r="G168" s="112" t="s">
        <v>384</v>
      </c>
      <c r="H168" s="112" t="s">
        <v>386</v>
      </c>
      <c r="I168">
        <v>119</v>
      </c>
    </row>
    <row r="169" spans="1:10">
      <c r="A169" s="112" t="s">
        <v>599</v>
      </c>
      <c r="B169" s="112" t="s">
        <v>600</v>
      </c>
      <c r="C169" s="112" t="s">
        <v>387</v>
      </c>
      <c r="D169" s="112" t="s">
        <v>379</v>
      </c>
      <c r="E169">
        <v>6664</v>
      </c>
      <c r="F169" s="112" t="s">
        <v>601</v>
      </c>
      <c r="G169" s="112" t="s">
        <v>384</v>
      </c>
      <c r="H169" s="112" t="s">
        <v>405</v>
      </c>
      <c r="I169">
        <v>43</v>
      </c>
    </row>
    <row r="170" spans="1:10">
      <c r="A170" s="112" t="s">
        <v>599</v>
      </c>
      <c r="B170" s="112" t="s">
        <v>600</v>
      </c>
      <c r="C170" s="112" t="s">
        <v>378</v>
      </c>
      <c r="D170" s="112" t="s">
        <v>383</v>
      </c>
      <c r="E170">
        <v>7611</v>
      </c>
      <c r="F170" s="112" t="s">
        <v>602</v>
      </c>
      <c r="G170" s="112" t="s">
        <v>380</v>
      </c>
      <c r="H170" s="112" t="s">
        <v>390</v>
      </c>
      <c r="I170">
        <v>832</v>
      </c>
    </row>
    <row r="171" spans="1:10">
      <c r="A171" s="112" t="s">
        <v>599</v>
      </c>
      <c r="B171" s="112" t="s">
        <v>377</v>
      </c>
      <c r="C171" s="112" t="s">
        <v>378</v>
      </c>
      <c r="D171" s="112" t="s">
        <v>379</v>
      </c>
      <c r="E171">
        <v>6279</v>
      </c>
      <c r="F171" s="112" t="s">
        <v>603</v>
      </c>
      <c r="G171" s="112" t="s">
        <v>388</v>
      </c>
      <c r="H171" s="112" t="s">
        <v>401</v>
      </c>
      <c r="I171">
        <v>280</v>
      </c>
    </row>
    <row r="172" spans="1:10">
      <c r="A172" s="112" t="s">
        <v>599</v>
      </c>
      <c r="B172" s="112" t="s">
        <v>377</v>
      </c>
      <c r="C172" s="112" t="s">
        <v>389</v>
      </c>
      <c r="D172" s="112" t="s">
        <v>383</v>
      </c>
      <c r="E172">
        <v>7068</v>
      </c>
      <c r="F172" s="112" t="s">
        <v>604</v>
      </c>
      <c r="G172" s="112" t="s">
        <v>392</v>
      </c>
      <c r="H172" s="112" t="s">
        <v>385</v>
      </c>
      <c r="I172">
        <v>121</v>
      </c>
    </row>
    <row r="173" spans="1:10">
      <c r="A173" s="112" t="s">
        <v>599</v>
      </c>
      <c r="B173" s="112" t="s">
        <v>377</v>
      </c>
      <c r="C173" s="112" t="s">
        <v>389</v>
      </c>
      <c r="D173" s="112" t="s">
        <v>379</v>
      </c>
      <c r="E173">
        <v>7921</v>
      </c>
      <c r="F173" s="112" t="s">
        <v>1071</v>
      </c>
      <c r="G173" s="112" t="s">
        <v>380</v>
      </c>
      <c r="H173" s="112" t="s">
        <v>402</v>
      </c>
      <c r="I173">
        <v>217</v>
      </c>
    </row>
    <row r="174" spans="1:10">
      <c r="A174" s="112" t="s">
        <v>599</v>
      </c>
      <c r="B174" s="112" t="s">
        <v>377</v>
      </c>
      <c r="C174" s="112" t="s">
        <v>378</v>
      </c>
      <c r="D174" s="112" t="s">
        <v>379</v>
      </c>
      <c r="E174">
        <v>9982</v>
      </c>
      <c r="F174" s="112" t="s">
        <v>605</v>
      </c>
      <c r="G174" s="112" t="s">
        <v>380</v>
      </c>
      <c r="H174" s="112" t="s">
        <v>386</v>
      </c>
      <c r="I174">
        <v>184</v>
      </c>
    </row>
    <row r="175" spans="1:10">
      <c r="A175" s="112" t="s">
        <v>606</v>
      </c>
      <c r="B175" s="112" t="s">
        <v>377</v>
      </c>
      <c r="C175" s="112" t="s">
        <v>378</v>
      </c>
      <c r="D175" s="112" t="s">
        <v>379</v>
      </c>
      <c r="E175">
        <v>2186</v>
      </c>
      <c r="F175" s="112" t="s">
        <v>607</v>
      </c>
      <c r="G175" s="112" t="s">
        <v>384</v>
      </c>
      <c r="H175" s="112" t="s">
        <v>385</v>
      </c>
      <c r="I175" s="112">
        <v>95</v>
      </c>
      <c r="J175" s="112"/>
    </row>
    <row r="176" spans="1:10">
      <c r="A176" s="112" t="s">
        <v>606</v>
      </c>
      <c r="B176" s="112" t="s">
        <v>377</v>
      </c>
      <c r="C176" s="112" t="s">
        <v>378</v>
      </c>
      <c r="D176" s="112" t="s">
        <v>379</v>
      </c>
      <c r="E176">
        <v>2685</v>
      </c>
      <c r="F176" s="112" t="s">
        <v>608</v>
      </c>
      <c r="G176" s="112" t="s">
        <v>380</v>
      </c>
      <c r="H176" s="112" t="s">
        <v>390</v>
      </c>
      <c r="I176" s="112" t="s">
        <v>435</v>
      </c>
      <c r="J176" s="112" t="s">
        <v>1072</v>
      </c>
    </row>
    <row r="177" spans="1:10">
      <c r="A177" s="112" t="s">
        <v>606</v>
      </c>
      <c r="B177" s="112" t="s">
        <v>377</v>
      </c>
      <c r="C177" s="112" t="s">
        <v>378</v>
      </c>
      <c r="D177" s="112" t="s">
        <v>379</v>
      </c>
      <c r="E177">
        <v>3919</v>
      </c>
      <c r="F177" s="112" t="s">
        <v>609</v>
      </c>
      <c r="G177" s="112" t="s">
        <v>380</v>
      </c>
      <c r="H177" s="112" t="s">
        <v>391</v>
      </c>
      <c r="I177">
        <v>149</v>
      </c>
    </row>
    <row r="178" spans="1:10">
      <c r="A178" s="112" t="s">
        <v>606</v>
      </c>
      <c r="B178" s="112" t="s">
        <v>377</v>
      </c>
      <c r="C178" s="112" t="s">
        <v>382</v>
      </c>
      <c r="D178" s="112" t="s">
        <v>379</v>
      </c>
      <c r="E178">
        <v>7514</v>
      </c>
      <c r="F178" s="112" t="s">
        <v>994</v>
      </c>
      <c r="G178" s="112" t="s">
        <v>380</v>
      </c>
      <c r="H178" s="112" t="s">
        <v>390</v>
      </c>
      <c r="I178">
        <v>103</v>
      </c>
    </row>
    <row r="179" spans="1:10">
      <c r="A179" s="112" t="s">
        <v>606</v>
      </c>
      <c r="B179" s="112" t="s">
        <v>377</v>
      </c>
      <c r="C179" s="112" t="s">
        <v>389</v>
      </c>
      <c r="D179" s="112" t="s">
        <v>379</v>
      </c>
      <c r="E179">
        <v>9651</v>
      </c>
      <c r="F179" s="112" t="s">
        <v>610</v>
      </c>
      <c r="G179" s="112" t="s">
        <v>384</v>
      </c>
      <c r="H179" s="112" t="s">
        <v>391</v>
      </c>
      <c r="I179">
        <v>92</v>
      </c>
    </row>
    <row r="180" spans="1:10">
      <c r="A180" s="112" t="s">
        <v>611</v>
      </c>
      <c r="B180" s="112" t="s">
        <v>377</v>
      </c>
      <c r="C180" s="112" t="s">
        <v>378</v>
      </c>
      <c r="D180" s="112" t="s">
        <v>379</v>
      </c>
      <c r="E180">
        <v>1712</v>
      </c>
      <c r="F180" s="112" t="s">
        <v>612</v>
      </c>
      <c r="G180" s="112" t="s">
        <v>380</v>
      </c>
      <c r="H180" s="112" t="s">
        <v>414</v>
      </c>
      <c r="I180" s="112">
        <v>168</v>
      </c>
      <c r="J180" s="112"/>
    </row>
    <row r="181" spans="1:10">
      <c r="A181" s="112" t="s">
        <v>611</v>
      </c>
      <c r="B181" s="112" t="s">
        <v>377</v>
      </c>
      <c r="C181" s="112" t="s">
        <v>378</v>
      </c>
      <c r="D181" s="112" t="s">
        <v>379</v>
      </c>
      <c r="E181">
        <v>9793</v>
      </c>
      <c r="F181" s="112" t="s">
        <v>613</v>
      </c>
      <c r="G181" s="112" t="s">
        <v>380</v>
      </c>
      <c r="H181" s="112" t="s">
        <v>385</v>
      </c>
      <c r="I181" s="112" t="s">
        <v>435</v>
      </c>
      <c r="J181" s="112" t="s">
        <v>1073</v>
      </c>
    </row>
    <row r="182" spans="1:10">
      <c r="A182" s="112" t="s">
        <v>614</v>
      </c>
      <c r="B182" s="112" t="s">
        <v>377</v>
      </c>
      <c r="C182" s="112" t="s">
        <v>389</v>
      </c>
      <c r="D182" s="112" t="s">
        <v>379</v>
      </c>
      <c r="E182">
        <v>2792</v>
      </c>
      <c r="F182" s="112" t="s">
        <v>615</v>
      </c>
      <c r="G182" s="112" t="s">
        <v>380</v>
      </c>
      <c r="H182" s="112" t="s">
        <v>390</v>
      </c>
      <c r="I182" s="112">
        <v>395</v>
      </c>
      <c r="J182" s="112"/>
    </row>
    <row r="183" spans="1:10">
      <c r="A183" s="112" t="s">
        <v>616</v>
      </c>
      <c r="B183" s="112" t="s">
        <v>377</v>
      </c>
      <c r="C183" s="112" t="s">
        <v>378</v>
      </c>
      <c r="D183" s="112" t="s">
        <v>379</v>
      </c>
      <c r="E183">
        <v>4714</v>
      </c>
      <c r="F183" s="112" t="s">
        <v>617</v>
      </c>
      <c r="G183" s="112" t="s">
        <v>380</v>
      </c>
      <c r="H183" s="112" t="s">
        <v>385</v>
      </c>
      <c r="I183">
        <v>636</v>
      </c>
    </row>
    <row r="184" spans="1:10">
      <c r="A184" s="112" t="s">
        <v>618</v>
      </c>
      <c r="B184" s="112" t="s">
        <v>377</v>
      </c>
      <c r="C184" s="112" t="s">
        <v>387</v>
      </c>
      <c r="D184" s="112" t="s">
        <v>379</v>
      </c>
      <c r="E184">
        <v>2809</v>
      </c>
      <c r="F184" s="112" t="s">
        <v>619</v>
      </c>
      <c r="G184" s="112" t="s">
        <v>380</v>
      </c>
      <c r="H184" s="112" t="s">
        <v>381</v>
      </c>
      <c r="I184" s="112" t="s">
        <v>620</v>
      </c>
      <c r="J184" s="112" t="s">
        <v>1074</v>
      </c>
    </row>
    <row r="185" spans="1:10">
      <c r="A185" s="112" t="s">
        <v>618</v>
      </c>
      <c r="B185" s="112" t="s">
        <v>377</v>
      </c>
      <c r="C185" s="112" t="s">
        <v>382</v>
      </c>
      <c r="D185" s="112" t="s">
        <v>379</v>
      </c>
      <c r="E185">
        <v>2927</v>
      </c>
      <c r="F185" s="112" t="s">
        <v>621</v>
      </c>
      <c r="G185" s="112" t="s">
        <v>384</v>
      </c>
      <c r="H185" s="112" t="s">
        <v>381</v>
      </c>
      <c r="I185" s="112">
        <v>94</v>
      </c>
      <c r="J185" s="112"/>
    </row>
    <row r="186" spans="1:10">
      <c r="A186" s="112" t="s">
        <v>618</v>
      </c>
      <c r="B186" s="112" t="s">
        <v>377</v>
      </c>
      <c r="C186" s="112" t="s">
        <v>378</v>
      </c>
      <c r="D186" s="112" t="s">
        <v>379</v>
      </c>
      <c r="E186">
        <v>3396</v>
      </c>
      <c r="F186" s="112" t="s">
        <v>622</v>
      </c>
      <c r="G186" s="112" t="s">
        <v>380</v>
      </c>
      <c r="H186" s="112" t="s">
        <v>390</v>
      </c>
      <c r="I186" s="112">
        <v>103</v>
      </c>
      <c r="J186" s="112"/>
    </row>
    <row r="187" spans="1:10">
      <c r="A187" s="112" t="s">
        <v>618</v>
      </c>
      <c r="B187" s="112" t="s">
        <v>377</v>
      </c>
      <c r="C187" s="112" t="s">
        <v>389</v>
      </c>
      <c r="D187" s="112" t="s">
        <v>379</v>
      </c>
      <c r="E187">
        <v>8908</v>
      </c>
      <c r="F187" s="112" t="s">
        <v>623</v>
      </c>
      <c r="G187" s="112" t="s">
        <v>380</v>
      </c>
      <c r="H187" s="112" t="s">
        <v>406</v>
      </c>
      <c r="I187" s="112">
        <v>151</v>
      </c>
      <c r="J187" s="112"/>
    </row>
    <row r="188" spans="1:10">
      <c r="A188" s="112" t="s">
        <v>618</v>
      </c>
      <c r="B188" s="112" t="s">
        <v>377</v>
      </c>
      <c r="C188" s="112" t="s">
        <v>382</v>
      </c>
      <c r="D188" s="112" t="s">
        <v>379</v>
      </c>
      <c r="E188">
        <v>9983</v>
      </c>
      <c r="F188" s="112" t="s">
        <v>624</v>
      </c>
      <c r="G188" s="112" t="s">
        <v>380</v>
      </c>
      <c r="H188" s="112" t="s">
        <v>390</v>
      </c>
      <c r="I188" s="112" t="s">
        <v>1075</v>
      </c>
      <c r="J188" s="112" t="s">
        <v>1076</v>
      </c>
    </row>
    <row r="189" spans="1:10">
      <c r="A189" s="112" t="s">
        <v>625</v>
      </c>
      <c r="B189" s="112" t="s">
        <v>600</v>
      </c>
      <c r="C189" s="112" t="s">
        <v>378</v>
      </c>
      <c r="D189" s="112" t="s">
        <v>379</v>
      </c>
      <c r="E189">
        <v>3093</v>
      </c>
      <c r="F189" s="112" t="s">
        <v>1077</v>
      </c>
      <c r="G189" s="112" t="s">
        <v>380</v>
      </c>
      <c r="H189" s="112" t="s">
        <v>390</v>
      </c>
      <c r="I189" s="112">
        <v>131</v>
      </c>
      <c r="J189" s="112"/>
    </row>
    <row r="190" spans="1:10">
      <c r="A190" s="112" t="s">
        <v>625</v>
      </c>
      <c r="B190" s="112" t="s">
        <v>600</v>
      </c>
      <c r="C190" s="112" t="s">
        <v>389</v>
      </c>
      <c r="D190" s="112" t="s">
        <v>379</v>
      </c>
      <c r="E190">
        <v>6567</v>
      </c>
      <c r="F190" s="112" t="s">
        <v>626</v>
      </c>
      <c r="G190" s="112" t="s">
        <v>392</v>
      </c>
      <c r="H190" s="112" t="s">
        <v>385</v>
      </c>
      <c r="I190">
        <v>22</v>
      </c>
    </row>
    <row r="191" spans="1:10">
      <c r="A191" s="112" t="s">
        <v>625</v>
      </c>
      <c r="B191" s="112" t="s">
        <v>377</v>
      </c>
      <c r="C191" s="112" t="s">
        <v>378</v>
      </c>
      <c r="D191" s="112" t="s">
        <v>379</v>
      </c>
      <c r="E191">
        <v>2337</v>
      </c>
      <c r="F191" s="112" t="s">
        <v>1078</v>
      </c>
      <c r="G191" s="112" t="s">
        <v>380</v>
      </c>
      <c r="H191" s="112" t="s">
        <v>406</v>
      </c>
      <c r="I191" s="112" t="s">
        <v>403</v>
      </c>
      <c r="J191" s="112" t="s">
        <v>1079</v>
      </c>
    </row>
    <row r="192" spans="1:10">
      <c r="A192" s="112" t="s">
        <v>625</v>
      </c>
      <c r="B192" s="112" t="s">
        <v>377</v>
      </c>
      <c r="C192" s="112" t="s">
        <v>378</v>
      </c>
      <c r="D192" s="112" t="s">
        <v>379</v>
      </c>
      <c r="E192">
        <v>2338</v>
      </c>
      <c r="F192" s="112" t="s">
        <v>627</v>
      </c>
      <c r="G192" s="112" t="s">
        <v>388</v>
      </c>
      <c r="H192" s="112" t="s">
        <v>391</v>
      </c>
      <c r="I192">
        <v>26</v>
      </c>
    </row>
    <row r="193" spans="1:10">
      <c r="A193" s="112" t="s">
        <v>625</v>
      </c>
      <c r="B193" s="112" t="s">
        <v>377</v>
      </c>
      <c r="C193" s="112" t="s">
        <v>378</v>
      </c>
      <c r="D193" s="112" t="s">
        <v>379</v>
      </c>
      <c r="E193">
        <v>2651</v>
      </c>
      <c r="F193" s="112" t="s">
        <v>628</v>
      </c>
      <c r="G193" s="112" t="s">
        <v>380</v>
      </c>
      <c r="H193" s="112" t="s">
        <v>390</v>
      </c>
      <c r="I193" s="112" t="s">
        <v>590</v>
      </c>
      <c r="J193" s="112" t="s">
        <v>996</v>
      </c>
    </row>
    <row r="194" spans="1:10">
      <c r="A194" s="112" t="s">
        <v>625</v>
      </c>
      <c r="B194" s="112" t="s">
        <v>377</v>
      </c>
      <c r="C194" s="112" t="s">
        <v>378</v>
      </c>
      <c r="D194" s="112" t="s">
        <v>383</v>
      </c>
      <c r="E194">
        <v>2706</v>
      </c>
      <c r="F194" s="112" t="s">
        <v>629</v>
      </c>
      <c r="G194" s="112" t="s">
        <v>384</v>
      </c>
      <c r="H194" s="112" t="s">
        <v>402</v>
      </c>
      <c r="I194">
        <v>117</v>
      </c>
    </row>
    <row r="195" spans="1:10">
      <c r="A195" s="112" t="s">
        <v>625</v>
      </c>
      <c r="B195" s="112" t="s">
        <v>377</v>
      </c>
      <c r="C195" s="112" t="s">
        <v>389</v>
      </c>
      <c r="D195" s="112" t="s">
        <v>379</v>
      </c>
      <c r="E195">
        <v>3349</v>
      </c>
      <c r="F195" s="112" t="s">
        <v>1080</v>
      </c>
      <c r="G195" s="112" t="s">
        <v>380</v>
      </c>
      <c r="H195" s="112" t="s">
        <v>390</v>
      </c>
      <c r="I195" s="112" t="s">
        <v>531</v>
      </c>
      <c r="J195" s="112" t="s">
        <v>1081</v>
      </c>
    </row>
    <row r="196" spans="1:10">
      <c r="A196" s="112" t="s">
        <v>625</v>
      </c>
      <c r="B196" s="112" t="s">
        <v>377</v>
      </c>
      <c r="C196" s="112" t="s">
        <v>378</v>
      </c>
      <c r="D196" s="112" t="s">
        <v>379</v>
      </c>
      <c r="E196">
        <v>3546</v>
      </c>
      <c r="F196" s="112" t="s">
        <v>630</v>
      </c>
      <c r="G196" s="112" t="s">
        <v>380</v>
      </c>
      <c r="H196" s="112" t="s">
        <v>390</v>
      </c>
      <c r="I196">
        <v>266</v>
      </c>
    </row>
    <row r="197" spans="1:10">
      <c r="A197" s="112" t="s">
        <v>625</v>
      </c>
      <c r="B197" s="112" t="s">
        <v>377</v>
      </c>
      <c r="C197" s="112" t="s">
        <v>378</v>
      </c>
      <c r="D197" s="112" t="s">
        <v>379</v>
      </c>
      <c r="E197">
        <v>3922</v>
      </c>
      <c r="F197" s="112" t="s">
        <v>631</v>
      </c>
      <c r="G197" s="112" t="s">
        <v>380</v>
      </c>
      <c r="H197" s="112" t="s">
        <v>391</v>
      </c>
      <c r="I197">
        <v>157</v>
      </c>
    </row>
    <row r="198" spans="1:10">
      <c r="A198" s="112" t="s">
        <v>625</v>
      </c>
      <c r="B198" s="112" t="s">
        <v>377</v>
      </c>
      <c r="C198" s="112" t="s">
        <v>378</v>
      </c>
      <c r="D198" s="112" t="s">
        <v>379</v>
      </c>
      <c r="E198">
        <v>4530</v>
      </c>
      <c r="F198" s="112" t="s">
        <v>1082</v>
      </c>
      <c r="G198" s="112" t="s">
        <v>380</v>
      </c>
      <c r="H198" s="112" t="s">
        <v>502</v>
      </c>
      <c r="I198" s="112" t="s">
        <v>531</v>
      </c>
      <c r="J198" s="112" t="s">
        <v>1083</v>
      </c>
    </row>
    <row r="199" spans="1:10">
      <c r="A199" s="112" t="s">
        <v>625</v>
      </c>
      <c r="B199" s="112" t="s">
        <v>377</v>
      </c>
      <c r="C199" s="112" t="s">
        <v>389</v>
      </c>
      <c r="D199" s="112" t="s">
        <v>379</v>
      </c>
      <c r="E199">
        <v>4829</v>
      </c>
      <c r="F199" s="112" t="s">
        <v>632</v>
      </c>
      <c r="G199" s="112" t="s">
        <v>380</v>
      </c>
      <c r="H199" s="112" t="s">
        <v>391</v>
      </c>
      <c r="I199">
        <v>92</v>
      </c>
    </row>
    <row r="200" spans="1:10">
      <c r="A200" s="112" t="s">
        <v>625</v>
      </c>
      <c r="B200" s="112" t="s">
        <v>377</v>
      </c>
      <c r="C200" s="112" t="s">
        <v>378</v>
      </c>
      <c r="D200" s="112" t="s">
        <v>379</v>
      </c>
      <c r="E200">
        <v>6058</v>
      </c>
      <c r="F200" s="112" t="s">
        <v>633</v>
      </c>
      <c r="G200" s="112" t="s">
        <v>380</v>
      </c>
      <c r="H200" s="112" t="s">
        <v>385</v>
      </c>
      <c r="I200">
        <v>551</v>
      </c>
    </row>
    <row r="201" spans="1:10">
      <c r="A201" s="112" t="s">
        <v>625</v>
      </c>
      <c r="B201" s="112" t="s">
        <v>377</v>
      </c>
      <c r="C201" s="112" t="s">
        <v>387</v>
      </c>
      <c r="D201" s="112" t="s">
        <v>379</v>
      </c>
      <c r="E201">
        <v>6492</v>
      </c>
      <c r="F201" s="112" t="s">
        <v>634</v>
      </c>
      <c r="G201" s="112" t="s">
        <v>388</v>
      </c>
      <c r="H201" s="112" t="s">
        <v>401</v>
      </c>
      <c r="I201" s="112">
        <v>35</v>
      </c>
      <c r="J201" s="112"/>
    </row>
    <row r="202" spans="1:10">
      <c r="A202" s="112" t="s">
        <v>625</v>
      </c>
      <c r="B202" s="112" t="s">
        <v>377</v>
      </c>
      <c r="C202" s="112" t="s">
        <v>378</v>
      </c>
      <c r="D202" s="112" t="s">
        <v>383</v>
      </c>
      <c r="E202">
        <v>6532</v>
      </c>
      <c r="F202" s="112" t="s">
        <v>635</v>
      </c>
      <c r="G202" s="112" t="s">
        <v>380</v>
      </c>
      <c r="H202" s="112" t="s">
        <v>385</v>
      </c>
      <c r="I202">
        <v>914</v>
      </c>
    </row>
    <row r="203" spans="1:10">
      <c r="A203" s="112" t="s">
        <v>625</v>
      </c>
      <c r="B203" s="112" t="s">
        <v>377</v>
      </c>
      <c r="C203" s="112" t="s">
        <v>389</v>
      </c>
      <c r="D203" s="112" t="s">
        <v>379</v>
      </c>
      <c r="E203">
        <v>7420</v>
      </c>
      <c r="F203" s="112" t="s">
        <v>1084</v>
      </c>
      <c r="G203" s="112" t="s">
        <v>380</v>
      </c>
      <c r="H203" s="112" t="s">
        <v>386</v>
      </c>
      <c r="I203">
        <v>165</v>
      </c>
    </row>
    <row r="204" spans="1:10">
      <c r="A204" s="112" t="s">
        <v>625</v>
      </c>
      <c r="B204" s="112" t="s">
        <v>377</v>
      </c>
      <c r="C204" s="112" t="s">
        <v>378</v>
      </c>
      <c r="D204" s="112" t="s">
        <v>379</v>
      </c>
      <c r="E204">
        <v>7453</v>
      </c>
      <c r="F204" s="112" t="s">
        <v>1085</v>
      </c>
      <c r="G204" s="112" t="s">
        <v>380</v>
      </c>
      <c r="H204" s="112" t="s">
        <v>390</v>
      </c>
      <c r="I204" s="112" t="s">
        <v>590</v>
      </c>
      <c r="J204" s="112" t="s">
        <v>1086</v>
      </c>
    </row>
    <row r="205" spans="1:10">
      <c r="A205" s="112" t="s">
        <v>625</v>
      </c>
      <c r="B205" s="112" t="s">
        <v>377</v>
      </c>
      <c r="C205" s="112" t="s">
        <v>389</v>
      </c>
      <c r="D205" s="112" t="s">
        <v>379</v>
      </c>
      <c r="E205">
        <v>7713</v>
      </c>
      <c r="F205" s="112" t="s">
        <v>1087</v>
      </c>
      <c r="G205" s="112" t="s">
        <v>384</v>
      </c>
      <c r="H205" s="112" t="s">
        <v>647</v>
      </c>
      <c r="I205" s="112">
        <v>139</v>
      </c>
      <c r="J205" s="112"/>
    </row>
    <row r="206" spans="1:10">
      <c r="A206" s="112" t="s">
        <v>625</v>
      </c>
      <c r="B206" s="112" t="s">
        <v>377</v>
      </c>
      <c r="C206" s="112" t="s">
        <v>387</v>
      </c>
      <c r="D206" s="112" t="s">
        <v>379</v>
      </c>
      <c r="E206">
        <v>8923</v>
      </c>
      <c r="F206" s="112" t="s">
        <v>636</v>
      </c>
      <c r="G206" s="112" t="s">
        <v>380</v>
      </c>
      <c r="H206" s="112" t="s">
        <v>406</v>
      </c>
      <c r="I206" s="112">
        <v>704</v>
      </c>
      <c r="J206" s="112"/>
    </row>
    <row r="207" spans="1:10">
      <c r="A207" s="112" t="s">
        <v>625</v>
      </c>
      <c r="B207" s="112" t="s">
        <v>377</v>
      </c>
      <c r="C207" s="112" t="s">
        <v>378</v>
      </c>
      <c r="D207" s="112" t="s">
        <v>379</v>
      </c>
      <c r="E207">
        <v>9381</v>
      </c>
      <c r="F207" s="112" t="s">
        <v>1088</v>
      </c>
      <c r="G207" s="112" t="s">
        <v>380</v>
      </c>
      <c r="H207" s="112" t="s">
        <v>897</v>
      </c>
      <c r="I207">
        <v>227</v>
      </c>
    </row>
    <row r="208" spans="1:10">
      <c r="A208" s="112" t="s">
        <v>637</v>
      </c>
      <c r="B208" s="112" t="s">
        <v>1089</v>
      </c>
      <c r="C208" s="112" t="s">
        <v>378</v>
      </c>
      <c r="D208" s="112" t="s">
        <v>383</v>
      </c>
      <c r="E208">
        <v>3415</v>
      </c>
      <c r="F208" s="112" t="s">
        <v>1090</v>
      </c>
      <c r="G208" s="112" t="s">
        <v>380</v>
      </c>
      <c r="H208" s="112" t="s">
        <v>390</v>
      </c>
      <c r="I208" s="112">
        <v>339</v>
      </c>
      <c r="J208" s="112"/>
    </row>
    <row r="209" spans="1:10">
      <c r="A209" s="112" t="s">
        <v>637</v>
      </c>
      <c r="B209" s="112" t="s">
        <v>377</v>
      </c>
      <c r="C209" s="112" t="s">
        <v>387</v>
      </c>
      <c r="D209" s="112" t="s">
        <v>379</v>
      </c>
      <c r="E209">
        <v>2471</v>
      </c>
      <c r="F209" s="112" t="s">
        <v>638</v>
      </c>
      <c r="G209" s="112" t="s">
        <v>380</v>
      </c>
      <c r="H209" s="112" t="s">
        <v>385</v>
      </c>
      <c r="I209" s="112">
        <v>576</v>
      </c>
      <c r="J209" s="112"/>
    </row>
    <row r="210" spans="1:10">
      <c r="A210" s="112" t="s">
        <v>637</v>
      </c>
      <c r="B210" s="112" t="s">
        <v>377</v>
      </c>
      <c r="C210" s="112" t="s">
        <v>378</v>
      </c>
      <c r="D210" s="112" t="s">
        <v>383</v>
      </c>
      <c r="E210">
        <v>2930</v>
      </c>
      <c r="F210" s="112" t="s">
        <v>639</v>
      </c>
      <c r="G210" s="112" t="s">
        <v>380</v>
      </c>
      <c r="H210" s="112" t="s">
        <v>381</v>
      </c>
      <c r="I210" s="112" t="s">
        <v>435</v>
      </c>
      <c r="J210" s="112" t="s">
        <v>1091</v>
      </c>
    </row>
    <row r="211" spans="1:10">
      <c r="A211" s="112" t="s">
        <v>637</v>
      </c>
      <c r="B211" s="112" t="s">
        <v>377</v>
      </c>
      <c r="C211" s="112" t="s">
        <v>378</v>
      </c>
      <c r="D211" s="112" t="s">
        <v>383</v>
      </c>
      <c r="E211">
        <v>3030</v>
      </c>
      <c r="F211" s="112" t="s">
        <v>640</v>
      </c>
      <c r="G211" s="112" t="s">
        <v>380</v>
      </c>
      <c r="H211" s="112" t="s">
        <v>390</v>
      </c>
      <c r="I211">
        <v>116</v>
      </c>
    </row>
    <row r="212" spans="1:10">
      <c r="A212" s="112" t="s">
        <v>637</v>
      </c>
      <c r="B212" s="112" t="s">
        <v>377</v>
      </c>
      <c r="C212" s="112" t="s">
        <v>378</v>
      </c>
      <c r="D212" s="112" t="s">
        <v>379</v>
      </c>
      <c r="E212">
        <v>3479</v>
      </c>
      <c r="F212" s="112" t="s">
        <v>641</v>
      </c>
      <c r="G212" s="112" t="s">
        <v>392</v>
      </c>
      <c r="H212" s="112" t="s">
        <v>406</v>
      </c>
      <c r="I212" s="112" t="s">
        <v>435</v>
      </c>
      <c r="J212" s="112" t="s">
        <v>1092</v>
      </c>
    </row>
    <row r="213" spans="1:10">
      <c r="A213" s="112" t="s">
        <v>637</v>
      </c>
      <c r="B213" s="112" t="s">
        <v>377</v>
      </c>
      <c r="C213" s="112" t="s">
        <v>378</v>
      </c>
      <c r="D213" s="112" t="s">
        <v>379</v>
      </c>
      <c r="E213">
        <v>3562</v>
      </c>
      <c r="F213" s="112" t="s">
        <v>642</v>
      </c>
      <c r="G213" s="112" t="s">
        <v>384</v>
      </c>
      <c r="H213" s="112" t="s">
        <v>386</v>
      </c>
      <c r="I213" s="112">
        <v>38</v>
      </c>
      <c r="J213" s="112"/>
    </row>
    <row r="214" spans="1:10">
      <c r="A214" s="112" t="s">
        <v>637</v>
      </c>
      <c r="B214" s="112" t="s">
        <v>377</v>
      </c>
      <c r="C214" s="112" t="s">
        <v>378</v>
      </c>
      <c r="D214" s="112" t="s">
        <v>379</v>
      </c>
      <c r="E214">
        <v>3678</v>
      </c>
      <c r="F214" s="112" t="s">
        <v>643</v>
      </c>
      <c r="G214" s="112" t="s">
        <v>380</v>
      </c>
      <c r="H214" s="112" t="s">
        <v>391</v>
      </c>
      <c r="I214">
        <v>541</v>
      </c>
    </row>
    <row r="215" spans="1:10">
      <c r="A215" s="112" t="s">
        <v>637</v>
      </c>
      <c r="B215" s="112" t="s">
        <v>377</v>
      </c>
      <c r="C215" s="112" t="s">
        <v>382</v>
      </c>
      <c r="D215" s="112" t="s">
        <v>379</v>
      </c>
      <c r="E215">
        <v>4668</v>
      </c>
      <c r="F215" s="112" t="s">
        <v>644</v>
      </c>
      <c r="G215" s="112" t="s">
        <v>380</v>
      </c>
      <c r="H215" s="112" t="s">
        <v>385</v>
      </c>
      <c r="I215" s="112">
        <v>286</v>
      </c>
      <c r="J215" s="112"/>
    </row>
    <row r="216" spans="1:10">
      <c r="A216" s="112" t="s">
        <v>637</v>
      </c>
      <c r="B216" s="112" t="s">
        <v>377</v>
      </c>
      <c r="C216" s="112" t="s">
        <v>378</v>
      </c>
      <c r="D216" s="112" t="s">
        <v>379</v>
      </c>
      <c r="E216">
        <v>6814</v>
      </c>
      <c r="F216" s="112" t="s">
        <v>645</v>
      </c>
      <c r="G216" s="112" t="s">
        <v>380</v>
      </c>
      <c r="H216" s="112" t="s">
        <v>405</v>
      </c>
      <c r="I216" s="112">
        <v>420</v>
      </c>
      <c r="J216" s="112"/>
    </row>
    <row r="217" spans="1:10">
      <c r="A217" s="112" t="s">
        <v>637</v>
      </c>
      <c r="B217" s="112" t="s">
        <v>377</v>
      </c>
      <c r="C217" s="112" t="s">
        <v>378</v>
      </c>
      <c r="D217" s="112" t="s">
        <v>379</v>
      </c>
      <c r="E217">
        <v>7719</v>
      </c>
      <c r="F217" s="112" t="s">
        <v>646</v>
      </c>
      <c r="G217" s="112" t="s">
        <v>388</v>
      </c>
      <c r="H217" s="112" t="s">
        <v>647</v>
      </c>
      <c r="I217">
        <v>18</v>
      </c>
    </row>
    <row r="218" spans="1:10">
      <c r="A218" s="112" t="s">
        <v>637</v>
      </c>
      <c r="B218" s="112" t="s">
        <v>377</v>
      </c>
      <c r="C218" s="112" t="s">
        <v>378</v>
      </c>
      <c r="D218" s="112" t="s">
        <v>379</v>
      </c>
      <c r="E218">
        <v>9602</v>
      </c>
      <c r="F218" s="112" t="s">
        <v>648</v>
      </c>
      <c r="G218" s="112" t="s">
        <v>380</v>
      </c>
      <c r="H218" s="112" t="s">
        <v>391</v>
      </c>
      <c r="I218" s="112" t="s">
        <v>649</v>
      </c>
      <c r="J218" s="112" t="s">
        <v>1026</v>
      </c>
    </row>
    <row r="219" spans="1:10">
      <c r="A219" s="112" t="s">
        <v>637</v>
      </c>
      <c r="B219" s="112" t="s">
        <v>377</v>
      </c>
      <c r="C219" s="112" t="s">
        <v>378</v>
      </c>
      <c r="D219" s="112" t="s">
        <v>379</v>
      </c>
      <c r="E219">
        <v>9945</v>
      </c>
      <c r="F219" s="112" t="s">
        <v>1093</v>
      </c>
      <c r="G219" s="112" t="s">
        <v>380</v>
      </c>
      <c r="H219" s="112" t="s">
        <v>390</v>
      </c>
      <c r="I219">
        <v>854</v>
      </c>
    </row>
    <row r="220" spans="1:10">
      <c r="A220" s="112" t="s">
        <v>650</v>
      </c>
      <c r="B220" s="112" t="s">
        <v>377</v>
      </c>
      <c r="C220" s="112" t="s">
        <v>387</v>
      </c>
      <c r="D220" s="112" t="s">
        <v>379</v>
      </c>
      <c r="E220">
        <v>3907</v>
      </c>
      <c r="F220" s="112" t="s">
        <v>651</v>
      </c>
      <c r="G220" s="112" t="s">
        <v>392</v>
      </c>
      <c r="H220" s="112" t="s">
        <v>391</v>
      </c>
      <c r="I220">
        <v>52</v>
      </c>
    </row>
    <row r="221" spans="1:10">
      <c r="A221" s="112" t="s">
        <v>650</v>
      </c>
      <c r="B221" s="112" t="s">
        <v>377</v>
      </c>
      <c r="C221" s="112" t="s">
        <v>378</v>
      </c>
      <c r="D221" s="112" t="s">
        <v>379</v>
      </c>
      <c r="E221">
        <v>6578</v>
      </c>
      <c r="F221" s="112" t="s">
        <v>652</v>
      </c>
      <c r="G221" s="112" t="s">
        <v>388</v>
      </c>
      <c r="H221" s="112" t="s">
        <v>385</v>
      </c>
      <c r="I221">
        <v>28</v>
      </c>
    </row>
    <row r="222" spans="1:10">
      <c r="A222" s="112" t="s">
        <v>650</v>
      </c>
      <c r="B222" s="112" t="s">
        <v>377</v>
      </c>
      <c r="C222" s="112" t="s">
        <v>378</v>
      </c>
      <c r="D222" s="112" t="s">
        <v>383</v>
      </c>
      <c r="E222">
        <v>7610</v>
      </c>
      <c r="F222" s="112" t="s">
        <v>653</v>
      </c>
      <c r="G222" s="112" t="s">
        <v>384</v>
      </c>
      <c r="H222" s="112" t="s">
        <v>390</v>
      </c>
      <c r="I222">
        <v>24</v>
      </c>
    </row>
    <row r="223" spans="1:10">
      <c r="A223" s="112" t="s">
        <v>654</v>
      </c>
      <c r="B223" s="112" t="s">
        <v>377</v>
      </c>
      <c r="C223" s="112" t="s">
        <v>387</v>
      </c>
      <c r="D223" s="112" t="s">
        <v>383</v>
      </c>
      <c r="E223">
        <v>3279</v>
      </c>
      <c r="F223" s="112" t="s">
        <v>655</v>
      </c>
      <c r="G223" s="112" t="s">
        <v>467</v>
      </c>
      <c r="H223" s="112" t="s">
        <v>468</v>
      </c>
      <c r="I223" s="112" t="s">
        <v>531</v>
      </c>
      <c r="J223" s="112" t="s">
        <v>1094</v>
      </c>
    </row>
    <row r="224" spans="1:10">
      <c r="A224" s="112" t="s">
        <v>654</v>
      </c>
      <c r="B224" s="112" t="s">
        <v>377</v>
      </c>
      <c r="C224" s="112" t="s">
        <v>387</v>
      </c>
      <c r="D224" s="112" t="s">
        <v>379</v>
      </c>
      <c r="E224">
        <v>6634</v>
      </c>
      <c r="F224" s="112" t="s">
        <v>656</v>
      </c>
      <c r="G224" s="112" t="s">
        <v>384</v>
      </c>
      <c r="H224" s="112" t="s">
        <v>405</v>
      </c>
      <c r="I224">
        <v>31</v>
      </c>
    </row>
    <row r="225" spans="1:10">
      <c r="A225" s="112" t="s">
        <v>654</v>
      </c>
      <c r="B225" s="112" t="s">
        <v>377</v>
      </c>
      <c r="C225" s="112" t="s">
        <v>387</v>
      </c>
      <c r="D225" s="112" t="s">
        <v>383</v>
      </c>
      <c r="E225">
        <v>7501</v>
      </c>
      <c r="F225" s="112" t="s">
        <v>657</v>
      </c>
      <c r="G225" s="112" t="s">
        <v>384</v>
      </c>
      <c r="H225" s="112" t="s">
        <v>386</v>
      </c>
      <c r="I225">
        <v>19</v>
      </c>
    </row>
    <row r="226" spans="1:10">
      <c r="A226" s="112" t="s">
        <v>658</v>
      </c>
      <c r="B226" s="112" t="s">
        <v>377</v>
      </c>
      <c r="C226" s="112" t="s">
        <v>378</v>
      </c>
      <c r="D226" s="112" t="s">
        <v>379</v>
      </c>
      <c r="E226">
        <v>6146</v>
      </c>
      <c r="F226" s="112" t="s">
        <v>659</v>
      </c>
      <c r="G226" s="112" t="s">
        <v>380</v>
      </c>
      <c r="H226" s="112" t="s">
        <v>401</v>
      </c>
      <c r="I226" s="112" t="s">
        <v>649</v>
      </c>
      <c r="J226" s="112" t="s">
        <v>1095</v>
      </c>
    </row>
    <row r="227" spans="1:10">
      <c r="A227" s="112" t="s">
        <v>658</v>
      </c>
      <c r="B227" s="112" t="s">
        <v>377</v>
      </c>
      <c r="C227" s="112" t="s">
        <v>387</v>
      </c>
      <c r="D227" s="112" t="s">
        <v>383</v>
      </c>
      <c r="E227">
        <v>8977</v>
      </c>
      <c r="F227" s="112" t="s">
        <v>1096</v>
      </c>
      <c r="G227" s="112" t="s">
        <v>467</v>
      </c>
      <c r="H227" s="112" t="s">
        <v>468</v>
      </c>
      <c r="I227" s="112" t="s">
        <v>435</v>
      </c>
      <c r="J227" s="112" t="s">
        <v>1097</v>
      </c>
    </row>
    <row r="228" spans="1:10">
      <c r="A228" s="112" t="s">
        <v>660</v>
      </c>
      <c r="B228" s="112" t="s">
        <v>377</v>
      </c>
      <c r="C228" s="112" t="s">
        <v>378</v>
      </c>
      <c r="D228" s="112" t="s">
        <v>379</v>
      </c>
      <c r="E228">
        <v>9433</v>
      </c>
      <c r="F228" s="112" t="s">
        <v>661</v>
      </c>
      <c r="G228" s="112" t="s">
        <v>380</v>
      </c>
      <c r="H228" s="112" t="s">
        <v>391</v>
      </c>
      <c r="I228" s="112" t="s">
        <v>662</v>
      </c>
      <c r="J228" s="112" t="s">
        <v>1098</v>
      </c>
    </row>
    <row r="229" spans="1:10">
      <c r="A229" s="112" t="s">
        <v>663</v>
      </c>
      <c r="B229" s="112" t="s">
        <v>600</v>
      </c>
      <c r="C229" s="112" t="s">
        <v>378</v>
      </c>
      <c r="D229" s="112" t="s">
        <v>383</v>
      </c>
      <c r="E229">
        <v>4973</v>
      </c>
      <c r="F229" s="112" t="s">
        <v>664</v>
      </c>
      <c r="G229" s="112" t="s">
        <v>380</v>
      </c>
      <c r="H229" s="112" t="s">
        <v>393</v>
      </c>
      <c r="I229">
        <v>165</v>
      </c>
    </row>
    <row r="230" spans="1:10">
      <c r="A230" s="112" t="s">
        <v>665</v>
      </c>
      <c r="B230" s="112" t="s">
        <v>377</v>
      </c>
      <c r="C230" s="112" t="s">
        <v>378</v>
      </c>
      <c r="D230" s="112" t="s">
        <v>379</v>
      </c>
      <c r="E230">
        <v>4462</v>
      </c>
      <c r="F230" s="112" t="s">
        <v>666</v>
      </c>
      <c r="G230" s="112" t="s">
        <v>380</v>
      </c>
      <c r="H230" s="112" t="s">
        <v>393</v>
      </c>
      <c r="I230">
        <v>155</v>
      </c>
    </row>
    <row r="231" spans="1:10">
      <c r="A231" s="112" t="s">
        <v>667</v>
      </c>
      <c r="B231" s="112" t="s">
        <v>377</v>
      </c>
      <c r="C231" s="112" t="s">
        <v>378</v>
      </c>
      <c r="D231" s="112" t="s">
        <v>379</v>
      </c>
      <c r="E231">
        <v>9039</v>
      </c>
      <c r="F231" s="112" t="s">
        <v>668</v>
      </c>
      <c r="G231" s="112" t="s">
        <v>380</v>
      </c>
      <c r="H231" s="112" t="s">
        <v>669</v>
      </c>
      <c r="I231" s="112" t="s">
        <v>435</v>
      </c>
      <c r="J231" s="112" t="s">
        <v>1099</v>
      </c>
    </row>
    <row r="232" spans="1:10">
      <c r="A232" s="112" t="s">
        <v>670</v>
      </c>
      <c r="B232" s="112" t="s">
        <v>1100</v>
      </c>
      <c r="C232" s="112" t="s">
        <v>378</v>
      </c>
      <c r="D232" s="112" t="s">
        <v>379</v>
      </c>
      <c r="E232">
        <v>6470</v>
      </c>
      <c r="F232" s="112" t="s">
        <v>1101</v>
      </c>
      <c r="G232" s="112" t="s">
        <v>380</v>
      </c>
      <c r="H232" s="112" t="s">
        <v>401</v>
      </c>
      <c r="I232">
        <v>249</v>
      </c>
    </row>
    <row r="233" spans="1:10">
      <c r="A233" s="112" t="s">
        <v>670</v>
      </c>
      <c r="B233" s="112" t="s">
        <v>600</v>
      </c>
      <c r="C233" s="112" t="s">
        <v>378</v>
      </c>
      <c r="D233" s="112" t="s">
        <v>379</v>
      </c>
      <c r="E233">
        <v>2802</v>
      </c>
      <c r="F233" s="112" t="s">
        <v>1102</v>
      </c>
      <c r="G233" s="112" t="s">
        <v>380</v>
      </c>
      <c r="H233" s="112" t="s">
        <v>381</v>
      </c>
      <c r="I233" s="112" t="s">
        <v>672</v>
      </c>
      <c r="J233" s="112" t="s">
        <v>1103</v>
      </c>
    </row>
    <row r="234" spans="1:10">
      <c r="A234" s="112" t="s">
        <v>670</v>
      </c>
      <c r="B234" s="112" t="s">
        <v>377</v>
      </c>
      <c r="C234" s="112" t="s">
        <v>378</v>
      </c>
      <c r="D234" s="112" t="s">
        <v>379</v>
      </c>
      <c r="E234">
        <v>1878</v>
      </c>
      <c r="F234" s="112" t="s">
        <v>671</v>
      </c>
      <c r="G234" s="112" t="s">
        <v>380</v>
      </c>
      <c r="H234" s="112" t="s">
        <v>414</v>
      </c>
      <c r="I234" s="112" t="s">
        <v>672</v>
      </c>
      <c r="J234" s="112" t="s">
        <v>1030</v>
      </c>
    </row>
    <row r="235" spans="1:10">
      <c r="A235" s="112" t="s">
        <v>670</v>
      </c>
      <c r="B235" s="112" t="s">
        <v>377</v>
      </c>
      <c r="C235" s="112" t="s">
        <v>378</v>
      </c>
      <c r="D235" s="112" t="s">
        <v>379</v>
      </c>
      <c r="E235">
        <v>2127</v>
      </c>
      <c r="F235" s="112" t="s">
        <v>999</v>
      </c>
      <c r="G235" s="112" t="s">
        <v>380</v>
      </c>
      <c r="H235" s="112" t="s">
        <v>385</v>
      </c>
      <c r="I235" s="112" t="s">
        <v>590</v>
      </c>
      <c r="J235" s="112" t="s">
        <v>1104</v>
      </c>
    </row>
    <row r="236" spans="1:10">
      <c r="A236" s="112" t="s">
        <v>670</v>
      </c>
      <c r="B236" s="112" t="s">
        <v>377</v>
      </c>
      <c r="C236" s="112" t="s">
        <v>378</v>
      </c>
      <c r="D236" s="112" t="s">
        <v>379</v>
      </c>
      <c r="E236">
        <v>2412</v>
      </c>
      <c r="F236" s="112" t="s">
        <v>1000</v>
      </c>
      <c r="G236" s="112" t="s">
        <v>380</v>
      </c>
      <c r="H236" s="112" t="s">
        <v>385</v>
      </c>
      <c r="I236" s="112" t="s">
        <v>620</v>
      </c>
      <c r="J236" s="112" t="s">
        <v>1105</v>
      </c>
    </row>
    <row r="237" spans="1:10">
      <c r="A237" s="112" t="s">
        <v>670</v>
      </c>
      <c r="B237" s="112" t="s">
        <v>377</v>
      </c>
      <c r="C237" s="112" t="s">
        <v>378</v>
      </c>
      <c r="D237" s="112" t="s">
        <v>379</v>
      </c>
      <c r="E237">
        <v>2737</v>
      </c>
      <c r="F237" s="112" t="s">
        <v>673</v>
      </c>
      <c r="G237" s="112" t="s">
        <v>380</v>
      </c>
      <c r="H237" s="112" t="s">
        <v>386</v>
      </c>
      <c r="I237" s="112">
        <v>193</v>
      </c>
      <c r="J237" s="112"/>
    </row>
    <row r="238" spans="1:10">
      <c r="A238" s="112" t="s">
        <v>670</v>
      </c>
      <c r="B238" s="112" t="s">
        <v>377</v>
      </c>
      <c r="C238" s="112" t="s">
        <v>387</v>
      </c>
      <c r="D238" s="112" t="s">
        <v>379</v>
      </c>
      <c r="E238">
        <v>3003</v>
      </c>
      <c r="F238" s="112" t="s">
        <v>1106</v>
      </c>
      <c r="G238" s="112" t="s">
        <v>380</v>
      </c>
      <c r="H238" s="112" t="s">
        <v>406</v>
      </c>
      <c r="I238" s="112" t="s">
        <v>649</v>
      </c>
      <c r="J238" s="112" t="s">
        <v>997</v>
      </c>
    </row>
    <row r="239" spans="1:10">
      <c r="A239" s="112" t="s">
        <v>670</v>
      </c>
      <c r="B239" s="112" t="s">
        <v>377</v>
      </c>
      <c r="C239" s="112" t="s">
        <v>378</v>
      </c>
      <c r="D239" s="112" t="s">
        <v>379</v>
      </c>
      <c r="E239">
        <v>3167</v>
      </c>
      <c r="F239" s="112" t="s">
        <v>1107</v>
      </c>
      <c r="G239" s="112" t="s">
        <v>380</v>
      </c>
      <c r="H239" s="112" t="s">
        <v>386</v>
      </c>
      <c r="I239" s="112" t="s">
        <v>435</v>
      </c>
      <c r="J239" s="112" t="s">
        <v>1108</v>
      </c>
    </row>
    <row r="240" spans="1:10">
      <c r="A240" s="112" t="s">
        <v>670</v>
      </c>
      <c r="B240" s="112" t="s">
        <v>377</v>
      </c>
      <c r="C240" s="112" t="s">
        <v>378</v>
      </c>
      <c r="D240" s="112" t="s">
        <v>379</v>
      </c>
      <c r="E240">
        <v>3388</v>
      </c>
      <c r="F240" s="112" t="s">
        <v>1109</v>
      </c>
      <c r="G240" s="112" t="s">
        <v>380</v>
      </c>
      <c r="H240" s="112" t="s">
        <v>386</v>
      </c>
      <c r="I240" s="112">
        <v>190</v>
      </c>
      <c r="J240" s="112"/>
    </row>
    <row r="241" spans="1:10">
      <c r="A241" s="112" t="s">
        <v>670</v>
      </c>
      <c r="B241" s="112" t="s">
        <v>377</v>
      </c>
      <c r="C241" s="112" t="s">
        <v>378</v>
      </c>
      <c r="D241" s="112" t="s">
        <v>379</v>
      </c>
      <c r="E241">
        <v>3640</v>
      </c>
      <c r="F241" s="112" t="s">
        <v>1110</v>
      </c>
      <c r="G241" s="112" t="s">
        <v>380</v>
      </c>
      <c r="H241" s="112" t="s">
        <v>391</v>
      </c>
      <c r="I241" s="112">
        <v>128</v>
      </c>
      <c r="J241" s="112"/>
    </row>
    <row r="242" spans="1:10">
      <c r="A242" s="112" t="s">
        <v>670</v>
      </c>
      <c r="B242" s="112" t="s">
        <v>377</v>
      </c>
      <c r="C242" s="112" t="s">
        <v>378</v>
      </c>
      <c r="D242" s="112" t="s">
        <v>379</v>
      </c>
      <c r="E242">
        <v>8771</v>
      </c>
      <c r="F242" s="112" t="s">
        <v>674</v>
      </c>
      <c r="G242" s="112" t="s">
        <v>380</v>
      </c>
      <c r="H242" s="112" t="s">
        <v>452</v>
      </c>
      <c r="I242" s="112">
        <v>601</v>
      </c>
      <c r="J242" s="112"/>
    </row>
    <row r="243" spans="1:10">
      <c r="A243" s="112" t="s">
        <v>670</v>
      </c>
      <c r="B243" s="112" t="s">
        <v>377</v>
      </c>
      <c r="C243" s="112" t="s">
        <v>378</v>
      </c>
      <c r="D243" s="112" t="s">
        <v>379</v>
      </c>
      <c r="E243">
        <v>9020</v>
      </c>
      <c r="F243" s="112" t="s">
        <v>1111</v>
      </c>
      <c r="G243" s="112" t="s">
        <v>380</v>
      </c>
      <c r="H243" s="112" t="s">
        <v>669</v>
      </c>
      <c r="I243" s="112" t="s">
        <v>1112</v>
      </c>
      <c r="J243" s="112" t="s">
        <v>1113</v>
      </c>
    </row>
    <row r="244" spans="1:10">
      <c r="A244" s="112" t="s">
        <v>670</v>
      </c>
      <c r="B244" s="112" t="s">
        <v>377</v>
      </c>
      <c r="C244" s="112" t="s">
        <v>378</v>
      </c>
      <c r="D244" s="112" t="s">
        <v>379</v>
      </c>
      <c r="E244">
        <v>9037</v>
      </c>
      <c r="F244" s="112" t="s">
        <v>675</v>
      </c>
      <c r="G244" s="112" t="s">
        <v>380</v>
      </c>
      <c r="H244" s="112" t="s">
        <v>669</v>
      </c>
      <c r="I244" s="112">
        <v>671</v>
      </c>
      <c r="J244" s="112"/>
    </row>
    <row r="245" spans="1:10">
      <c r="A245" s="112" t="s">
        <v>670</v>
      </c>
      <c r="B245" s="112" t="s">
        <v>377</v>
      </c>
      <c r="C245" s="112" t="s">
        <v>378</v>
      </c>
      <c r="D245" s="112" t="s">
        <v>379</v>
      </c>
      <c r="E245">
        <v>9995</v>
      </c>
      <c r="F245" s="112" t="s">
        <v>676</v>
      </c>
      <c r="G245" s="112" t="s">
        <v>380</v>
      </c>
      <c r="H245" s="112" t="s">
        <v>386</v>
      </c>
      <c r="I245" s="112">
        <v>119</v>
      </c>
      <c r="J245" s="112"/>
    </row>
    <row r="246" spans="1:10">
      <c r="A246" s="112" t="s">
        <v>677</v>
      </c>
      <c r="B246" s="112" t="s">
        <v>600</v>
      </c>
      <c r="C246" s="112" t="s">
        <v>378</v>
      </c>
      <c r="D246" s="112" t="s">
        <v>379</v>
      </c>
      <c r="E246">
        <v>3433</v>
      </c>
      <c r="F246" s="112" t="s">
        <v>1114</v>
      </c>
      <c r="G246" s="112" t="s">
        <v>380</v>
      </c>
      <c r="H246" s="112" t="s">
        <v>395</v>
      </c>
      <c r="I246" s="112">
        <v>684</v>
      </c>
      <c r="J246" s="112"/>
    </row>
    <row r="247" spans="1:10">
      <c r="A247" s="112" t="s">
        <v>677</v>
      </c>
      <c r="B247" s="112" t="s">
        <v>377</v>
      </c>
      <c r="C247" s="112" t="s">
        <v>378</v>
      </c>
      <c r="D247" s="112" t="s">
        <v>379</v>
      </c>
      <c r="E247">
        <v>2175</v>
      </c>
      <c r="F247" s="112" t="s">
        <v>1001</v>
      </c>
      <c r="G247" s="112" t="s">
        <v>380</v>
      </c>
      <c r="H247" s="112" t="s">
        <v>385</v>
      </c>
      <c r="I247" s="112" t="s">
        <v>403</v>
      </c>
      <c r="J247" s="112" t="s">
        <v>1115</v>
      </c>
    </row>
    <row r="248" spans="1:10">
      <c r="A248" s="112" t="s">
        <v>677</v>
      </c>
      <c r="B248" s="112" t="s">
        <v>377</v>
      </c>
      <c r="C248" s="112" t="s">
        <v>378</v>
      </c>
      <c r="D248" s="112" t="s">
        <v>379</v>
      </c>
      <c r="E248">
        <v>2220</v>
      </c>
      <c r="F248" s="112" t="s">
        <v>1002</v>
      </c>
      <c r="G248" s="112" t="s">
        <v>380</v>
      </c>
      <c r="H248" s="112" t="s">
        <v>381</v>
      </c>
      <c r="I248" s="112" t="s">
        <v>435</v>
      </c>
      <c r="J248" s="112" t="s">
        <v>1116</v>
      </c>
    </row>
    <row r="249" spans="1:10">
      <c r="A249" s="112" t="s">
        <v>677</v>
      </c>
      <c r="B249" s="112" t="s">
        <v>377</v>
      </c>
      <c r="C249" s="112" t="s">
        <v>378</v>
      </c>
      <c r="D249" s="112" t="s">
        <v>379</v>
      </c>
      <c r="E249">
        <v>2331</v>
      </c>
      <c r="F249" s="112" t="s">
        <v>1003</v>
      </c>
      <c r="G249" s="112" t="s">
        <v>380</v>
      </c>
      <c r="H249" s="112" t="s">
        <v>385</v>
      </c>
      <c r="I249" s="112" t="s">
        <v>397</v>
      </c>
      <c r="J249" s="112" t="s">
        <v>1117</v>
      </c>
    </row>
    <row r="250" spans="1:10">
      <c r="A250" s="112" t="s">
        <v>677</v>
      </c>
      <c r="B250" s="112" t="s">
        <v>377</v>
      </c>
      <c r="C250" s="112" t="s">
        <v>378</v>
      </c>
      <c r="D250" s="112" t="s">
        <v>379</v>
      </c>
      <c r="E250">
        <v>2497</v>
      </c>
      <c r="F250" s="112" t="s">
        <v>1118</v>
      </c>
      <c r="G250" s="112" t="s">
        <v>392</v>
      </c>
      <c r="H250" s="112" t="s">
        <v>385</v>
      </c>
      <c r="I250">
        <v>347</v>
      </c>
    </row>
    <row r="251" spans="1:10">
      <c r="A251" s="112" t="s">
        <v>677</v>
      </c>
      <c r="B251" s="112" t="s">
        <v>377</v>
      </c>
      <c r="C251" s="112" t="s">
        <v>378</v>
      </c>
      <c r="D251" s="112" t="s">
        <v>379</v>
      </c>
      <c r="E251">
        <v>2715</v>
      </c>
      <c r="F251" s="112" t="s">
        <v>678</v>
      </c>
      <c r="G251" s="112" t="s">
        <v>380</v>
      </c>
      <c r="H251" s="112" t="s">
        <v>386</v>
      </c>
      <c r="I251">
        <v>452</v>
      </c>
    </row>
    <row r="252" spans="1:10">
      <c r="A252" s="112" t="s">
        <v>677</v>
      </c>
      <c r="B252" s="112" t="s">
        <v>377</v>
      </c>
      <c r="C252" s="112" t="s">
        <v>378</v>
      </c>
      <c r="D252" s="112" t="s">
        <v>383</v>
      </c>
      <c r="E252">
        <v>2892</v>
      </c>
      <c r="F252" s="112" t="s">
        <v>679</v>
      </c>
      <c r="G252" s="112" t="s">
        <v>388</v>
      </c>
      <c r="H252" s="112" t="s">
        <v>381</v>
      </c>
      <c r="I252">
        <v>85</v>
      </c>
    </row>
    <row r="253" spans="1:10">
      <c r="A253" s="112" t="s">
        <v>677</v>
      </c>
      <c r="B253" s="112" t="s">
        <v>377</v>
      </c>
      <c r="C253" s="112" t="s">
        <v>378</v>
      </c>
      <c r="D253" s="112" t="s">
        <v>379</v>
      </c>
      <c r="E253">
        <v>3023</v>
      </c>
      <c r="F253" s="112" t="s">
        <v>680</v>
      </c>
      <c r="G253" s="112" t="s">
        <v>380</v>
      </c>
      <c r="H253" s="112" t="s">
        <v>386</v>
      </c>
      <c r="I253" s="112">
        <v>114</v>
      </c>
      <c r="J253" s="112"/>
    </row>
    <row r="254" spans="1:10">
      <c r="A254" s="112" t="s">
        <v>677</v>
      </c>
      <c r="B254" s="112" t="s">
        <v>377</v>
      </c>
      <c r="C254" s="112" t="s">
        <v>378</v>
      </c>
      <c r="D254" s="112" t="s">
        <v>379</v>
      </c>
      <c r="E254">
        <v>3092</v>
      </c>
      <c r="F254" s="112" t="s">
        <v>1119</v>
      </c>
      <c r="G254" s="112" t="s">
        <v>380</v>
      </c>
      <c r="H254" s="112" t="s">
        <v>390</v>
      </c>
      <c r="I254" s="112" t="s">
        <v>590</v>
      </c>
      <c r="J254" s="112" t="s">
        <v>1120</v>
      </c>
    </row>
    <row r="255" spans="1:10">
      <c r="A255" s="112" t="s">
        <v>677</v>
      </c>
      <c r="B255" s="112" t="s">
        <v>377</v>
      </c>
      <c r="C255" s="112" t="s">
        <v>378</v>
      </c>
      <c r="D255" s="112" t="s">
        <v>379</v>
      </c>
      <c r="E255">
        <v>3098</v>
      </c>
      <c r="F255" s="112" t="s">
        <v>1121</v>
      </c>
      <c r="G255" s="112" t="s">
        <v>380</v>
      </c>
      <c r="H255" s="112" t="s">
        <v>390</v>
      </c>
      <c r="I255" s="112" t="s">
        <v>435</v>
      </c>
      <c r="J255" s="112" t="s">
        <v>1122</v>
      </c>
    </row>
    <row r="256" spans="1:10">
      <c r="A256" s="112" t="s">
        <v>677</v>
      </c>
      <c r="B256" s="112" t="s">
        <v>377</v>
      </c>
      <c r="C256" s="112" t="s">
        <v>378</v>
      </c>
      <c r="D256" s="112" t="s">
        <v>383</v>
      </c>
      <c r="E256">
        <v>3137</v>
      </c>
      <c r="F256" s="112" t="s">
        <v>1123</v>
      </c>
      <c r="G256" s="112" t="s">
        <v>392</v>
      </c>
      <c r="H256" s="112" t="s">
        <v>390</v>
      </c>
      <c r="I256" s="112">
        <v>74</v>
      </c>
      <c r="J256" s="112"/>
    </row>
    <row r="257" spans="1:10">
      <c r="A257" s="112" t="s">
        <v>677</v>
      </c>
      <c r="B257" s="112" t="s">
        <v>377</v>
      </c>
      <c r="C257" s="112" t="s">
        <v>378</v>
      </c>
      <c r="D257" s="112" t="s">
        <v>379</v>
      </c>
      <c r="E257">
        <v>3513</v>
      </c>
      <c r="F257" s="112" t="s">
        <v>1124</v>
      </c>
      <c r="G257" s="112" t="s">
        <v>380</v>
      </c>
      <c r="H257" s="112" t="s">
        <v>446</v>
      </c>
      <c r="I257">
        <v>73</v>
      </c>
    </row>
    <row r="258" spans="1:10">
      <c r="A258" s="112" t="s">
        <v>677</v>
      </c>
      <c r="B258" s="112" t="s">
        <v>377</v>
      </c>
      <c r="C258" s="112" t="s">
        <v>378</v>
      </c>
      <c r="D258" s="112" t="s">
        <v>379</v>
      </c>
      <c r="E258">
        <v>3591</v>
      </c>
      <c r="F258" s="112" t="s">
        <v>1125</v>
      </c>
      <c r="G258" s="112" t="s">
        <v>380</v>
      </c>
      <c r="H258" s="112" t="s">
        <v>446</v>
      </c>
      <c r="I258" s="112" t="s">
        <v>403</v>
      </c>
      <c r="J258" s="112" t="s">
        <v>1126</v>
      </c>
    </row>
    <row r="259" spans="1:10">
      <c r="A259" s="112" t="s">
        <v>677</v>
      </c>
      <c r="B259" s="112" t="s">
        <v>377</v>
      </c>
      <c r="C259" s="112" t="s">
        <v>378</v>
      </c>
      <c r="D259" s="112" t="s">
        <v>379</v>
      </c>
      <c r="E259">
        <v>3666</v>
      </c>
      <c r="F259" s="112" t="s">
        <v>1127</v>
      </c>
      <c r="G259" s="112" t="s">
        <v>380</v>
      </c>
      <c r="H259" s="112" t="s">
        <v>391</v>
      </c>
      <c r="I259">
        <v>105</v>
      </c>
    </row>
    <row r="260" spans="1:10">
      <c r="A260" s="112" t="s">
        <v>677</v>
      </c>
      <c r="B260" s="112" t="s">
        <v>377</v>
      </c>
      <c r="C260" s="112" t="s">
        <v>378</v>
      </c>
      <c r="D260" s="112" t="s">
        <v>379</v>
      </c>
      <c r="E260">
        <v>3762</v>
      </c>
      <c r="F260" s="112" t="s">
        <v>681</v>
      </c>
      <c r="G260" s="112" t="s">
        <v>380</v>
      </c>
      <c r="H260" s="112" t="s">
        <v>391</v>
      </c>
      <c r="I260" s="112">
        <v>530</v>
      </c>
      <c r="J260" s="112"/>
    </row>
    <row r="261" spans="1:10">
      <c r="A261" s="112" t="s">
        <v>677</v>
      </c>
      <c r="B261" s="112" t="s">
        <v>377</v>
      </c>
      <c r="C261" s="112" t="s">
        <v>378</v>
      </c>
      <c r="D261" s="112" t="s">
        <v>383</v>
      </c>
      <c r="E261">
        <v>3841</v>
      </c>
      <c r="F261" s="112" t="s">
        <v>682</v>
      </c>
      <c r="G261" s="112" t="s">
        <v>384</v>
      </c>
      <c r="H261" s="112" t="s">
        <v>391</v>
      </c>
      <c r="I261" s="112">
        <v>22</v>
      </c>
      <c r="J261" s="112"/>
    </row>
    <row r="262" spans="1:10">
      <c r="A262" s="112" t="s">
        <v>677</v>
      </c>
      <c r="B262" s="112" t="s">
        <v>377</v>
      </c>
      <c r="C262" s="112" t="s">
        <v>378</v>
      </c>
      <c r="D262" s="112" t="s">
        <v>379</v>
      </c>
      <c r="E262">
        <v>4310</v>
      </c>
      <c r="F262" s="112" t="s">
        <v>683</v>
      </c>
      <c r="G262" s="112" t="s">
        <v>380</v>
      </c>
      <c r="H262" s="112" t="s">
        <v>385</v>
      </c>
      <c r="I262" s="112">
        <v>173</v>
      </c>
      <c r="J262" s="112"/>
    </row>
    <row r="263" spans="1:10">
      <c r="A263" s="112" t="s">
        <v>677</v>
      </c>
      <c r="B263" s="112" t="s">
        <v>377</v>
      </c>
      <c r="C263" s="112" t="s">
        <v>378</v>
      </c>
      <c r="D263" s="112" t="s">
        <v>379</v>
      </c>
      <c r="E263">
        <v>4368</v>
      </c>
      <c r="F263" s="112" t="s">
        <v>684</v>
      </c>
      <c r="G263" s="112" t="s">
        <v>380</v>
      </c>
      <c r="H263" s="112" t="s">
        <v>393</v>
      </c>
      <c r="I263" s="112" t="s">
        <v>435</v>
      </c>
      <c r="J263" s="112" t="s">
        <v>1128</v>
      </c>
    </row>
    <row r="264" spans="1:10">
      <c r="A264" s="112" t="s">
        <v>677</v>
      </c>
      <c r="B264" s="112" t="s">
        <v>377</v>
      </c>
      <c r="C264" s="112" t="s">
        <v>378</v>
      </c>
      <c r="D264" s="112" t="s">
        <v>379</v>
      </c>
      <c r="E264">
        <v>4816</v>
      </c>
      <c r="F264" s="112" t="s">
        <v>1129</v>
      </c>
      <c r="G264" s="112" t="s">
        <v>384</v>
      </c>
      <c r="H264" s="112" t="s">
        <v>391</v>
      </c>
      <c r="I264" s="112" t="s">
        <v>403</v>
      </c>
      <c r="J264" s="112" t="s">
        <v>1008</v>
      </c>
    </row>
    <row r="265" spans="1:10">
      <c r="A265" s="112" t="s">
        <v>677</v>
      </c>
      <c r="B265" s="112" t="s">
        <v>377</v>
      </c>
      <c r="C265" s="112" t="s">
        <v>378</v>
      </c>
      <c r="D265" s="112" t="s">
        <v>379</v>
      </c>
      <c r="E265">
        <v>5332</v>
      </c>
      <c r="F265" s="112" t="s">
        <v>1130</v>
      </c>
      <c r="G265" s="112" t="s">
        <v>380</v>
      </c>
      <c r="H265" s="112" t="s">
        <v>488</v>
      </c>
      <c r="I265" s="112" t="s">
        <v>649</v>
      </c>
      <c r="J265" s="112" t="s">
        <v>1033</v>
      </c>
    </row>
    <row r="266" spans="1:10">
      <c r="A266" s="112" t="s">
        <v>677</v>
      </c>
      <c r="B266" s="112" t="s">
        <v>377</v>
      </c>
      <c r="C266" s="112" t="s">
        <v>378</v>
      </c>
      <c r="D266" s="112" t="s">
        <v>379</v>
      </c>
      <c r="E266">
        <v>5727</v>
      </c>
      <c r="F266" s="112" t="s">
        <v>685</v>
      </c>
      <c r="G266" s="112" t="s">
        <v>380</v>
      </c>
      <c r="H266" s="112" t="s">
        <v>686</v>
      </c>
      <c r="I266" s="112">
        <v>682</v>
      </c>
      <c r="J266" s="112"/>
    </row>
    <row r="267" spans="1:10">
      <c r="A267" s="112" t="s">
        <v>677</v>
      </c>
      <c r="B267" s="112" t="s">
        <v>377</v>
      </c>
      <c r="C267" s="112" t="s">
        <v>389</v>
      </c>
      <c r="D267" s="112" t="s">
        <v>379</v>
      </c>
      <c r="E267">
        <v>6028</v>
      </c>
      <c r="F267" s="112" t="s">
        <v>1004</v>
      </c>
      <c r="G267" s="112" t="s">
        <v>380</v>
      </c>
      <c r="H267" s="112" t="s">
        <v>385</v>
      </c>
      <c r="I267" s="112" t="s">
        <v>403</v>
      </c>
      <c r="J267" s="112" t="s">
        <v>1131</v>
      </c>
    </row>
    <row r="268" spans="1:10">
      <c r="A268" s="112" t="s">
        <v>677</v>
      </c>
      <c r="B268" s="112" t="s">
        <v>377</v>
      </c>
      <c r="C268" s="112" t="s">
        <v>378</v>
      </c>
      <c r="D268" s="112" t="s">
        <v>379</v>
      </c>
      <c r="E268">
        <v>6322</v>
      </c>
      <c r="F268" s="112" t="s">
        <v>687</v>
      </c>
      <c r="G268" s="112" t="s">
        <v>388</v>
      </c>
      <c r="H268" s="112" t="s">
        <v>401</v>
      </c>
      <c r="I268" s="112">
        <v>127</v>
      </c>
      <c r="J268" s="112"/>
    </row>
    <row r="269" spans="1:10">
      <c r="A269" s="112" t="s">
        <v>677</v>
      </c>
      <c r="B269" s="112" t="s">
        <v>377</v>
      </c>
      <c r="C269" s="112" t="s">
        <v>378</v>
      </c>
      <c r="D269" s="112" t="s">
        <v>379</v>
      </c>
      <c r="E269">
        <v>6659</v>
      </c>
      <c r="F269" s="112" t="s">
        <v>688</v>
      </c>
      <c r="G269" s="112" t="s">
        <v>384</v>
      </c>
      <c r="H269" s="112" t="s">
        <v>405</v>
      </c>
      <c r="I269">
        <v>18</v>
      </c>
    </row>
    <row r="270" spans="1:10">
      <c r="A270" s="112" t="s">
        <v>677</v>
      </c>
      <c r="B270" s="112" t="s">
        <v>377</v>
      </c>
      <c r="C270" s="112" t="s">
        <v>378</v>
      </c>
      <c r="D270" s="112" t="s">
        <v>379</v>
      </c>
      <c r="E270">
        <v>6925</v>
      </c>
      <c r="F270" s="112" t="s">
        <v>689</v>
      </c>
      <c r="G270" s="112" t="s">
        <v>380</v>
      </c>
      <c r="H270" s="112" t="s">
        <v>405</v>
      </c>
      <c r="I270" s="112" t="s">
        <v>403</v>
      </c>
      <c r="J270" s="112" t="s">
        <v>1132</v>
      </c>
    </row>
    <row r="271" spans="1:10">
      <c r="A271" s="112" t="s">
        <v>677</v>
      </c>
      <c r="B271" s="112" t="s">
        <v>377</v>
      </c>
      <c r="C271" s="112" t="s">
        <v>378</v>
      </c>
      <c r="D271" s="112" t="s">
        <v>379</v>
      </c>
      <c r="E271">
        <v>7282</v>
      </c>
      <c r="F271" s="112" t="s">
        <v>690</v>
      </c>
      <c r="G271" s="112" t="s">
        <v>380</v>
      </c>
      <c r="H271" s="112" t="s">
        <v>431</v>
      </c>
      <c r="I271" s="112" t="s">
        <v>620</v>
      </c>
      <c r="J271" s="112" t="s">
        <v>1133</v>
      </c>
    </row>
    <row r="272" spans="1:10">
      <c r="A272" s="112" t="s">
        <v>677</v>
      </c>
      <c r="B272" s="112" t="s">
        <v>377</v>
      </c>
      <c r="C272" s="112" t="s">
        <v>378</v>
      </c>
      <c r="D272" s="112" t="s">
        <v>379</v>
      </c>
      <c r="E272">
        <v>7510</v>
      </c>
      <c r="F272" s="112" t="s">
        <v>691</v>
      </c>
      <c r="G272" s="112" t="s">
        <v>380</v>
      </c>
      <c r="H272" s="112" t="s">
        <v>386</v>
      </c>
      <c r="I272" s="112">
        <v>212</v>
      </c>
      <c r="J272" s="112"/>
    </row>
    <row r="273" spans="1:10">
      <c r="A273" s="112" t="s">
        <v>677</v>
      </c>
      <c r="B273" s="112" t="s">
        <v>377</v>
      </c>
      <c r="C273" s="112" t="s">
        <v>378</v>
      </c>
      <c r="D273" s="112" t="s">
        <v>379</v>
      </c>
      <c r="E273">
        <v>7600</v>
      </c>
      <c r="F273" s="112" t="s">
        <v>692</v>
      </c>
      <c r="G273" s="112" t="s">
        <v>380</v>
      </c>
      <c r="H273" s="112" t="s">
        <v>647</v>
      </c>
      <c r="I273" s="112">
        <v>616</v>
      </c>
      <c r="J273" s="112"/>
    </row>
    <row r="274" spans="1:10">
      <c r="A274" s="112" t="s">
        <v>677</v>
      </c>
      <c r="B274" s="112" t="s">
        <v>377</v>
      </c>
      <c r="C274" s="112" t="s">
        <v>378</v>
      </c>
      <c r="D274" s="112" t="s">
        <v>379</v>
      </c>
      <c r="E274">
        <v>7838</v>
      </c>
      <c r="F274" s="112" t="s">
        <v>693</v>
      </c>
      <c r="G274" s="112" t="s">
        <v>380</v>
      </c>
      <c r="H274" s="112" t="s">
        <v>402</v>
      </c>
      <c r="I274">
        <v>79</v>
      </c>
    </row>
    <row r="275" spans="1:10">
      <c r="A275" s="112" t="s">
        <v>677</v>
      </c>
      <c r="B275" s="112" t="s">
        <v>377</v>
      </c>
      <c r="C275" s="112" t="s">
        <v>378</v>
      </c>
      <c r="D275" s="112" t="s">
        <v>379</v>
      </c>
      <c r="E275">
        <v>7925</v>
      </c>
      <c r="F275" s="112" t="s">
        <v>694</v>
      </c>
      <c r="G275" s="112" t="s">
        <v>380</v>
      </c>
      <c r="H275" s="112" t="s">
        <v>393</v>
      </c>
      <c r="I275" s="112">
        <v>187</v>
      </c>
      <c r="J275" s="112"/>
    </row>
    <row r="276" spans="1:10">
      <c r="A276" s="112" t="s">
        <v>677</v>
      </c>
      <c r="B276" s="112" t="s">
        <v>377</v>
      </c>
      <c r="C276" s="112" t="s">
        <v>378</v>
      </c>
      <c r="D276" s="112" t="s">
        <v>379</v>
      </c>
      <c r="E276">
        <v>8806</v>
      </c>
      <c r="F276" s="112" t="s">
        <v>695</v>
      </c>
      <c r="G276" s="112" t="s">
        <v>380</v>
      </c>
      <c r="H276" s="112" t="s">
        <v>406</v>
      </c>
      <c r="I276" s="112" t="s">
        <v>435</v>
      </c>
      <c r="J276" s="112" t="s">
        <v>793</v>
      </c>
    </row>
    <row r="277" spans="1:10">
      <c r="A277" s="112" t="s">
        <v>696</v>
      </c>
      <c r="B277" s="112" t="s">
        <v>377</v>
      </c>
      <c r="C277" s="112" t="s">
        <v>378</v>
      </c>
      <c r="D277" s="112" t="s">
        <v>383</v>
      </c>
      <c r="E277">
        <v>1379</v>
      </c>
      <c r="F277" s="112" t="s">
        <v>697</v>
      </c>
      <c r="G277" s="112" t="s">
        <v>380</v>
      </c>
      <c r="H277" s="112" t="s">
        <v>520</v>
      </c>
      <c r="I277" s="112">
        <v>664</v>
      </c>
      <c r="J277" s="112"/>
    </row>
    <row r="278" spans="1:10">
      <c r="A278" s="112" t="s">
        <v>696</v>
      </c>
      <c r="B278" s="112" t="s">
        <v>377</v>
      </c>
      <c r="C278" s="112" t="s">
        <v>378</v>
      </c>
      <c r="D278" s="112" t="s">
        <v>379</v>
      </c>
      <c r="E278">
        <v>2676</v>
      </c>
      <c r="F278" s="112" t="s">
        <v>1134</v>
      </c>
      <c r="G278" s="112" t="s">
        <v>380</v>
      </c>
      <c r="H278" s="112" t="s">
        <v>386</v>
      </c>
      <c r="I278">
        <v>111</v>
      </c>
    </row>
    <row r="279" spans="1:10">
      <c r="A279" s="112" t="s">
        <v>696</v>
      </c>
      <c r="B279" s="112" t="s">
        <v>377</v>
      </c>
      <c r="C279" s="112" t="s">
        <v>378</v>
      </c>
      <c r="D279" s="112" t="s">
        <v>379</v>
      </c>
      <c r="E279">
        <v>2907</v>
      </c>
      <c r="F279" s="112" t="s">
        <v>698</v>
      </c>
      <c r="G279" s="112" t="s">
        <v>388</v>
      </c>
      <c r="H279" s="112" t="s">
        <v>381</v>
      </c>
      <c r="I279">
        <v>63</v>
      </c>
    </row>
    <row r="280" spans="1:10">
      <c r="A280" s="112" t="s">
        <v>696</v>
      </c>
      <c r="B280" s="112" t="s">
        <v>377</v>
      </c>
      <c r="C280" s="112" t="s">
        <v>378</v>
      </c>
      <c r="D280" s="112" t="s">
        <v>379</v>
      </c>
      <c r="E280">
        <v>3024</v>
      </c>
      <c r="F280" s="112" t="s">
        <v>1135</v>
      </c>
      <c r="G280" s="112" t="s">
        <v>384</v>
      </c>
      <c r="H280" s="112" t="s">
        <v>386</v>
      </c>
      <c r="I280" s="112">
        <v>28</v>
      </c>
      <c r="J280" s="112"/>
    </row>
    <row r="281" spans="1:10">
      <c r="A281" s="112" t="s">
        <v>696</v>
      </c>
      <c r="B281" s="112" t="s">
        <v>377</v>
      </c>
      <c r="C281" s="112" t="s">
        <v>378</v>
      </c>
      <c r="D281" s="112" t="s">
        <v>383</v>
      </c>
      <c r="E281">
        <v>3484</v>
      </c>
      <c r="F281" s="112" t="s">
        <v>1136</v>
      </c>
      <c r="G281" s="112" t="s">
        <v>380</v>
      </c>
      <c r="H281" s="112" t="s">
        <v>406</v>
      </c>
      <c r="I281" s="112">
        <v>195</v>
      </c>
      <c r="J281" s="112"/>
    </row>
    <row r="282" spans="1:10">
      <c r="A282" s="112" t="s">
        <v>696</v>
      </c>
      <c r="B282" s="112" t="s">
        <v>377</v>
      </c>
      <c r="C282" s="112" t="s">
        <v>378</v>
      </c>
      <c r="D282" s="112" t="s">
        <v>379</v>
      </c>
      <c r="E282">
        <v>3612</v>
      </c>
      <c r="F282" s="112" t="s">
        <v>699</v>
      </c>
      <c r="G282" s="112" t="s">
        <v>380</v>
      </c>
      <c r="H282" s="112" t="s">
        <v>446</v>
      </c>
      <c r="I282">
        <v>960</v>
      </c>
    </row>
    <row r="283" spans="1:10">
      <c r="A283" s="112" t="s">
        <v>696</v>
      </c>
      <c r="B283" s="112" t="s">
        <v>377</v>
      </c>
      <c r="C283" s="112" t="s">
        <v>378</v>
      </c>
      <c r="D283" s="112" t="s">
        <v>379</v>
      </c>
      <c r="E283">
        <v>4521</v>
      </c>
      <c r="F283" s="112" t="s">
        <v>1137</v>
      </c>
      <c r="G283" s="112" t="s">
        <v>380</v>
      </c>
      <c r="H283" s="112" t="s">
        <v>502</v>
      </c>
      <c r="I283" s="112" t="s">
        <v>403</v>
      </c>
      <c r="J283" s="112" t="s">
        <v>1138</v>
      </c>
    </row>
    <row r="284" spans="1:10">
      <c r="A284" s="112" t="s">
        <v>696</v>
      </c>
      <c r="B284" s="112" t="s">
        <v>377</v>
      </c>
      <c r="C284" s="112" t="s">
        <v>389</v>
      </c>
      <c r="D284" s="112" t="s">
        <v>379</v>
      </c>
      <c r="E284">
        <v>6920</v>
      </c>
      <c r="F284" s="112" t="s">
        <v>1006</v>
      </c>
      <c r="G284" s="112" t="s">
        <v>380</v>
      </c>
      <c r="H284" s="112" t="s">
        <v>405</v>
      </c>
      <c r="I284" s="112" t="s">
        <v>531</v>
      </c>
      <c r="J284" s="112" t="s">
        <v>1139</v>
      </c>
    </row>
    <row r="285" spans="1:10">
      <c r="A285" s="112" t="s">
        <v>696</v>
      </c>
      <c r="B285" s="112" t="s">
        <v>377</v>
      </c>
      <c r="C285" s="112" t="s">
        <v>378</v>
      </c>
      <c r="D285" s="112" t="s">
        <v>383</v>
      </c>
      <c r="E285">
        <v>7506</v>
      </c>
      <c r="F285" s="112" t="s">
        <v>700</v>
      </c>
      <c r="G285" s="112" t="s">
        <v>380</v>
      </c>
      <c r="H285" s="112" t="s">
        <v>390</v>
      </c>
      <c r="I285" s="112">
        <v>78</v>
      </c>
      <c r="J285" s="112"/>
    </row>
    <row r="286" spans="1:10">
      <c r="A286" s="112" t="s">
        <v>696</v>
      </c>
      <c r="B286" s="112" t="s">
        <v>377</v>
      </c>
      <c r="C286" s="112" t="s">
        <v>378</v>
      </c>
      <c r="D286" s="112" t="s">
        <v>379</v>
      </c>
      <c r="E286">
        <v>7859</v>
      </c>
      <c r="F286" s="112" t="s">
        <v>701</v>
      </c>
      <c r="G286" s="112" t="s">
        <v>388</v>
      </c>
      <c r="H286" s="112" t="s">
        <v>402</v>
      </c>
      <c r="I286">
        <v>25</v>
      </c>
    </row>
    <row r="287" spans="1:10">
      <c r="A287" s="112" t="s">
        <v>696</v>
      </c>
      <c r="B287" s="112" t="s">
        <v>377</v>
      </c>
      <c r="C287" s="112" t="s">
        <v>378</v>
      </c>
      <c r="D287" s="112" t="s">
        <v>379</v>
      </c>
      <c r="E287">
        <v>9008</v>
      </c>
      <c r="F287" s="112" t="s">
        <v>1140</v>
      </c>
      <c r="G287" s="112" t="s">
        <v>380</v>
      </c>
      <c r="H287" s="112" t="s">
        <v>669</v>
      </c>
      <c r="I287" s="112" t="s">
        <v>649</v>
      </c>
      <c r="J287" s="112" t="s">
        <v>1141</v>
      </c>
    </row>
    <row r="288" spans="1:10">
      <c r="A288" s="112" t="s">
        <v>702</v>
      </c>
      <c r="B288" s="112" t="s">
        <v>600</v>
      </c>
      <c r="C288" s="112" t="s">
        <v>378</v>
      </c>
      <c r="D288" s="112" t="s">
        <v>379</v>
      </c>
      <c r="E288">
        <v>2607</v>
      </c>
      <c r="F288" s="112" t="s">
        <v>1142</v>
      </c>
      <c r="G288" s="112" t="s">
        <v>380</v>
      </c>
      <c r="H288" s="112" t="s">
        <v>381</v>
      </c>
      <c r="I288" s="112" t="s">
        <v>403</v>
      </c>
      <c r="J288" s="112" t="s">
        <v>995</v>
      </c>
    </row>
    <row r="289" spans="1:10">
      <c r="A289" s="112" t="s">
        <v>702</v>
      </c>
      <c r="B289" s="112" t="s">
        <v>600</v>
      </c>
      <c r="C289" s="112" t="s">
        <v>378</v>
      </c>
      <c r="D289" s="112" t="s">
        <v>379</v>
      </c>
      <c r="E289">
        <v>4502</v>
      </c>
      <c r="F289" s="112" t="s">
        <v>703</v>
      </c>
      <c r="G289" s="112" t="s">
        <v>380</v>
      </c>
      <c r="H289" s="112" t="s">
        <v>502</v>
      </c>
      <c r="I289" s="112" t="s">
        <v>1143</v>
      </c>
      <c r="J289" s="112" t="s">
        <v>1144</v>
      </c>
    </row>
    <row r="290" spans="1:10">
      <c r="A290" s="112" t="s">
        <v>702</v>
      </c>
      <c r="B290" s="112" t="s">
        <v>377</v>
      </c>
      <c r="C290" s="112" t="s">
        <v>378</v>
      </c>
      <c r="D290" s="112" t="s">
        <v>379</v>
      </c>
      <c r="E290">
        <v>2117</v>
      </c>
      <c r="F290" s="112" t="s">
        <v>1007</v>
      </c>
      <c r="G290" s="112" t="s">
        <v>380</v>
      </c>
      <c r="H290" s="112" t="s">
        <v>381</v>
      </c>
      <c r="I290" s="112">
        <v>458</v>
      </c>
      <c r="J290" s="112"/>
    </row>
    <row r="291" spans="1:10">
      <c r="A291" s="112" t="s">
        <v>702</v>
      </c>
      <c r="B291" s="112" t="s">
        <v>377</v>
      </c>
      <c r="C291" s="112" t="s">
        <v>387</v>
      </c>
      <c r="D291" s="112" t="s">
        <v>383</v>
      </c>
      <c r="E291">
        <v>2268</v>
      </c>
      <c r="F291" s="112" t="s">
        <v>704</v>
      </c>
      <c r="G291" s="112" t="s">
        <v>384</v>
      </c>
      <c r="H291" s="112" t="s">
        <v>381</v>
      </c>
      <c r="I291" s="112">
        <v>388</v>
      </c>
      <c r="J291" s="112"/>
    </row>
    <row r="292" spans="1:10">
      <c r="A292" s="112" t="s">
        <v>702</v>
      </c>
      <c r="B292" s="112" t="s">
        <v>377</v>
      </c>
      <c r="C292" s="112" t="s">
        <v>389</v>
      </c>
      <c r="D292" s="112" t="s">
        <v>383</v>
      </c>
      <c r="E292">
        <v>2428</v>
      </c>
      <c r="F292" s="112" t="s">
        <v>1145</v>
      </c>
      <c r="G292" s="112" t="s">
        <v>380</v>
      </c>
      <c r="H292" s="112" t="s">
        <v>385</v>
      </c>
      <c r="I292" s="112">
        <v>159</v>
      </c>
      <c r="J292" s="112"/>
    </row>
    <row r="293" spans="1:10">
      <c r="A293" s="112" t="s">
        <v>702</v>
      </c>
      <c r="B293" s="112" t="s">
        <v>377</v>
      </c>
      <c r="C293" s="112" t="s">
        <v>378</v>
      </c>
      <c r="D293" s="112" t="s">
        <v>379</v>
      </c>
      <c r="E293">
        <v>2871</v>
      </c>
      <c r="F293" s="112" t="s">
        <v>1146</v>
      </c>
      <c r="G293" s="112" t="s">
        <v>380</v>
      </c>
      <c r="H293" s="112" t="s">
        <v>381</v>
      </c>
      <c r="I293" s="112" t="s">
        <v>620</v>
      </c>
      <c r="J293" s="112" t="s">
        <v>1139</v>
      </c>
    </row>
    <row r="294" spans="1:10">
      <c r="A294" s="112" t="s">
        <v>702</v>
      </c>
      <c r="B294" s="112" t="s">
        <v>377</v>
      </c>
      <c r="C294" s="112" t="s">
        <v>378</v>
      </c>
      <c r="D294" s="112" t="s">
        <v>379</v>
      </c>
      <c r="E294">
        <v>6151</v>
      </c>
      <c r="F294" s="112" t="s">
        <v>705</v>
      </c>
      <c r="G294" s="112" t="s">
        <v>380</v>
      </c>
      <c r="H294" s="112" t="s">
        <v>401</v>
      </c>
      <c r="I294">
        <v>473</v>
      </c>
    </row>
    <row r="295" spans="1:10">
      <c r="A295" s="112" t="s">
        <v>702</v>
      </c>
      <c r="B295" s="112" t="s">
        <v>377</v>
      </c>
      <c r="C295" s="112" t="s">
        <v>378</v>
      </c>
      <c r="D295" s="112" t="s">
        <v>379</v>
      </c>
      <c r="E295">
        <v>7419</v>
      </c>
      <c r="F295" s="112" t="s">
        <v>706</v>
      </c>
      <c r="G295" s="112" t="s">
        <v>380</v>
      </c>
      <c r="H295" s="112" t="s">
        <v>390</v>
      </c>
      <c r="I295" s="112" t="s">
        <v>435</v>
      </c>
      <c r="J295" s="112" t="s">
        <v>1147</v>
      </c>
    </row>
    <row r="296" spans="1:10">
      <c r="A296" s="112" t="s">
        <v>702</v>
      </c>
      <c r="B296" s="112" t="s">
        <v>377</v>
      </c>
      <c r="C296" s="112" t="s">
        <v>389</v>
      </c>
      <c r="D296" s="112" t="s">
        <v>379</v>
      </c>
      <c r="E296">
        <v>8945</v>
      </c>
      <c r="F296" s="112" t="s">
        <v>1009</v>
      </c>
      <c r="G296" s="112" t="s">
        <v>380</v>
      </c>
      <c r="H296" s="112" t="s">
        <v>406</v>
      </c>
      <c r="I296">
        <v>130</v>
      </c>
    </row>
    <row r="297" spans="1:10">
      <c r="A297" s="112" t="s">
        <v>707</v>
      </c>
      <c r="B297" s="112" t="s">
        <v>377</v>
      </c>
      <c r="C297" s="112" t="s">
        <v>378</v>
      </c>
      <c r="D297" s="112" t="s">
        <v>379</v>
      </c>
      <c r="E297">
        <v>2130</v>
      </c>
      <c r="F297" s="112" t="s">
        <v>708</v>
      </c>
      <c r="G297" s="112" t="s">
        <v>380</v>
      </c>
      <c r="H297" s="112" t="s">
        <v>385</v>
      </c>
      <c r="I297" s="112">
        <v>307</v>
      </c>
      <c r="J297" s="112"/>
    </row>
    <row r="298" spans="1:10">
      <c r="A298" s="112" t="s">
        <v>707</v>
      </c>
      <c r="B298" s="112" t="s">
        <v>377</v>
      </c>
      <c r="C298" s="112" t="s">
        <v>378</v>
      </c>
      <c r="D298" s="112" t="s">
        <v>383</v>
      </c>
      <c r="E298">
        <v>3464</v>
      </c>
      <c r="F298" s="112" t="s">
        <v>867</v>
      </c>
      <c r="G298" s="112" t="s">
        <v>380</v>
      </c>
      <c r="H298" s="112" t="s">
        <v>406</v>
      </c>
      <c r="I298" s="112">
        <v>83</v>
      </c>
      <c r="J298" s="112"/>
    </row>
    <row r="299" spans="1:10">
      <c r="A299" s="112" t="s">
        <v>707</v>
      </c>
      <c r="B299" s="112" t="s">
        <v>377</v>
      </c>
      <c r="C299" s="112" t="s">
        <v>378</v>
      </c>
      <c r="D299" s="112" t="s">
        <v>383</v>
      </c>
      <c r="E299">
        <v>6678</v>
      </c>
      <c r="F299" s="112" t="s">
        <v>709</v>
      </c>
      <c r="G299" s="112" t="s">
        <v>380</v>
      </c>
      <c r="H299" s="112" t="s">
        <v>405</v>
      </c>
      <c r="I299" s="112">
        <v>182</v>
      </c>
      <c r="J299" s="112"/>
    </row>
    <row r="300" spans="1:10">
      <c r="A300" s="112" t="s">
        <v>707</v>
      </c>
      <c r="B300" s="112" t="s">
        <v>377</v>
      </c>
      <c r="C300" s="112" t="s">
        <v>378</v>
      </c>
      <c r="D300" s="112" t="s">
        <v>379</v>
      </c>
      <c r="E300">
        <v>6875</v>
      </c>
      <c r="F300" s="112" t="s">
        <v>710</v>
      </c>
      <c r="G300" s="112" t="s">
        <v>380</v>
      </c>
      <c r="H300" s="112" t="s">
        <v>405</v>
      </c>
      <c r="I300">
        <v>555</v>
      </c>
    </row>
    <row r="301" spans="1:10">
      <c r="A301" s="112" t="s">
        <v>707</v>
      </c>
      <c r="B301" s="112" t="s">
        <v>377</v>
      </c>
      <c r="C301" s="112" t="s">
        <v>389</v>
      </c>
      <c r="D301" s="112" t="s">
        <v>379</v>
      </c>
      <c r="E301">
        <v>7532</v>
      </c>
      <c r="F301" s="112" t="s">
        <v>1010</v>
      </c>
      <c r="G301" s="112" t="s">
        <v>380</v>
      </c>
      <c r="H301" s="112" t="s">
        <v>390</v>
      </c>
      <c r="I301" s="112" t="s">
        <v>807</v>
      </c>
      <c r="J301" s="112" t="s">
        <v>1148</v>
      </c>
    </row>
    <row r="302" spans="1:10">
      <c r="A302" s="112" t="s">
        <v>711</v>
      </c>
      <c r="B302" s="112" t="s">
        <v>600</v>
      </c>
      <c r="C302" s="112" t="s">
        <v>387</v>
      </c>
      <c r="D302" s="112" t="s">
        <v>379</v>
      </c>
      <c r="E302">
        <v>2914</v>
      </c>
      <c r="F302" s="112" t="s">
        <v>1011</v>
      </c>
      <c r="G302" s="112" t="s">
        <v>380</v>
      </c>
      <c r="H302" s="112" t="s">
        <v>381</v>
      </c>
      <c r="I302" s="112" t="s">
        <v>1149</v>
      </c>
      <c r="J302" s="112" t="s">
        <v>1150</v>
      </c>
    </row>
    <row r="303" spans="1:10">
      <c r="A303" s="112" t="s">
        <v>711</v>
      </c>
      <c r="B303" s="112" t="s">
        <v>600</v>
      </c>
      <c r="C303" s="112" t="s">
        <v>389</v>
      </c>
      <c r="D303" s="112" t="s">
        <v>379</v>
      </c>
      <c r="E303">
        <v>4385</v>
      </c>
      <c r="F303" s="112" t="s">
        <v>1151</v>
      </c>
      <c r="G303" s="112" t="s">
        <v>392</v>
      </c>
      <c r="H303" s="112" t="s">
        <v>391</v>
      </c>
      <c r="I303" s="112" t="s">
        <v>620</v>
      </c>
      <c r="J303" s="112" t="s">
        <v>812</v>
      </c>
    </row>
    <row r="304" spans="1:10">
      <c r="A304" s="112" t="s">
        <v>711</v>
      </c>
      <c r="B304" s="112" t="s">
        <v>377</v>
      </c>
      <c r="C304" s="112" t="s">
        <v>378</v>
      </c>
      <c r="D304" s="112" t="s">
        <v>379</v>
      </c>
      <c r="E304">
        <v>2372</v>
      </c>
      <c r="F304" s="112" t="s">
        <v>712</v>
      </c>
      <c r="G304" s="112" t="s">
        <v>380</v>
      </c>
      <c r="H304" s="112" t="s">
        <v>385</v>
      </c>
      <c r="I304" s="112">
        <v>177</v>
      </c>
      <c r="J304" s="112"/>
    </row>
    <row r="305" spans="1:10">
      <c r="A305" s="112" t="s">
        <v>711</v>
      </c>
      <c r="B305" s="112" t="s">
        <v>377</v>
      </c>
      <c r="C305" s="112" t="s">
        <v>378</v>
      </c>
      <c r="D305" s="112" t="s">
        <v>379</v>
      </c>
      <c r="E305">
        <v>2487</v>
      </c>
      <c r="F305" s="112" t="s">
        <v>1152</v>
      </c>
      <c r="G305" s="112" t="s">
        <v>380</v>
      </c>
      <c r="H305" s="112" t="s">
        <v>385</v>
      </c>
      <c r="I305">
        <v>88</v>
      </c>
    </row>
    <row r="306" spans="1:10">
      <c r="A306" s="112" t="s">
        <v>711</v>
      </c>
      <c r="B306" s="112" t="s">
        <v>377</v>
      </c>
      <c r="C306" s="112" t="s">
        <v>389</v>
      </c>
      <c r="D306" s="112" t="s">
        <v>379</v>
      </c>
      <c r="E306">
        <v>3242</v>
      </c>
      <c r="F306" s="112" t="s">
        <v>713</v>
      </c>
      <c r="G306" s="112" t="s">
        <v>384</v>
      </c>
      <c r="H306" s="112" t="s">
        <v>406</v>
      </c>
      <c r="I306" s="112">
        <v>89</v>
      </c>
      <c r="J306" s="112"/>
    </row>
    <row r="307" spans="1:10">
      <c r="A307" s="112" t="s">
        <v>711</v>
      </c>
      <c r="B307" s="112" t="s">
        <v>377</v>
      </c>
      <c r="C307" s="112" t="s">
        <v>378</v>
      </c>
      <c r="D307" s="112" t="s">
        <v>383</v>
      </c>
      <c r="E307">
        <v>3634</v>
      </c>
      <c r="F307" s="112" t="s">
        <v>1153</v>
      </c>
      <c r="G307" s="112" t="s">
        <v>392</v>
      </c>
      <c r="H307" s="112" t="s">
        <v>391</v>
      </c>
      <c r="I307" s="112">
        <v>30</v>
      </c>
      <c r="J307" s="112"/>
    </row>
    <row r="308" spans="1:10">
      <c r="A308" s="112" t="s">
        <v>711</v>
      </c>
      <c r="B308" s="112" t="s">
        <v>377</v>
      </c>
      <c r="C308" s="112" t="s">
        <v>378</v>
      </c>
      <c r="D308" s="112" t="s">
        <v>383</v>
      </c>
      <c r="E308">
        <v>3837</v>
      </c>
      <c r="F308" s="112" t="s">
        <v>1154</v>
      </c>
      <c r="G308" s="112" t="s">
        <v>380</v>
      </c>
      <c r="H308" s="112" t="s">
        <v>391</v>
      </c>
      <c r="I308">
        <v>218</v>
      </c>
    </row>
    <row r="309" spans="1:10">
      <c r="A309" s="112" t="s">
        <v>711</v>
      </c>
      <c r="B309" s="112" t="s">
        <v>377</v>
      </c>
      <c r="C309" s="112" t="s">
        <v>378</v>
      </c>
      <c r="D309" s="112" t="s">
        <v>379</v>
      </c>
      <c r="E309">
        <v>4626</v>
      </c>
      <c r="F309" s="112" t="s">
        <v>714</v>
      </c>
      <c r="G309" s="112" t="s">
        <v>380</v>
      </c>
      <c r="H309" s="112" t="s">
        <v>393</v>
      </c>
      <c r="I309" s="112" t="s">
        <v>435</v>
      </c>
      <c r="J309" s="112" t="s">
        <v>1155</v>
      </c>
    </row>
    <row r="310" spans="1:10">
      <c r="A310" s="112" t="s">
        <v>711</v>
      </c>
      <c r="B310" s="112" t="s">
        <v>377</v>
      </c>
      <c r="C310" s="112" t="s">
        <v>378</v>
      </c>
      <c r="D310" s="112" t="s">
        <v>379</v>
      </c>
      <c r="E310">
        <v>6569</v>
      </c>
      <c r="F310" s="112" t="s">
        <v>715</v>
      </c>
      <c r="G310" s="112" t="s">
        <v>380</v>
      </c>
      <c r="H310" s="112" t="s">
        <v>385</v>
      </c>
      <c r="I310" s="112">
        <v>367</v>
      </c>
      <c r="J310" s="112"/>
    </row>
    <row r="311" spans="1:10">
      <c r="A311" s="112" t="s">
        <v>711</v>
      </c>
      <c r="B311" s="112" t="s">
        <v>377</v>
      </c>
      <c r="C311" s="112" t="s">
        <v>378</v>
      </c>
      <c r="D311" s="112" t="s">
        <v>379</v>
      </c>
      <c r="E311">
        <v>7703</v>
      </c>
      <c r="F311" s="112" t="s">
        <v>716</v>
      </c>
      <c r="G311" s="112" t="s">
        <v>388</v>
      </c>
      <c r="H311" s="112" t="s">
        <v>647</v>
      </c>
      <c r="I311">
        <v>209</v>
      </c>
    </row>
    <row r="312" spans="1:10">
      <c r="A312" s="112" t="s">
        <v>711</v>
      </c>
      <c r="B312" s="112" t="s">
        <v>377</v>
      </c>
      <c r="C312" s="112" t="s">
        <v>378</v>
      </c>
      <c r="D312" s="112" t="s">
        <v>379</v>
      </c>
      <c r="E312">
        <v>7952</v>
      </c>
      <c r="F312" s="112" t="s">
        <v>717</v>
      </c>
      <c r="G312" s="112" t="s">
        <v>380</v>
      </c>
      <c r="H312" s="112" t="s">
        <v>402</v>
      </c>
      <c r="I312">
        <v>330</v>
      </c>
    </row>
    <row r="313" spans="1:10">
      <c r="A313" s="112" t="s">
        <v>718</v>
      </c>
      <c r="B313" s="112" t="s">
        <v>600</v>
      </c>
      <c r="C313" s="112" t="s">
        <v>378</v>
      </c>
      <c r="D313" s="112" t="s">
        <v>379</v>
      </c>
      <c r="E313">
        <v>8093</v>
      </c>
      <c r="F313" s="112" t="s">
        <v>1156</v>
      </c>
      <c r="G313" s="112" t="s">
        <v>380</v>
      </c>
      <c r="H313" s="112" t="s">
        <v>386</v>
      </c>
      <c r="I313">
        <v>143</v>
      </c>
    </row>
    <row r="314" spans="1:10">
      <c r="A314" s="112" t="s">
        <v>718</v>
      </c>
      <c r="B314" s="112" t="s">
        <v>377</v>
      </c>
      <c r="C314" s="112" t="s">
        <v>378</v>
      </c>
      <c r="D314" s="112" t="s">
        <v>379</v>
      </c>
      <c r="E314">
        <v>1801</v>
      </c>
      <c r="F314" s="112" t="s">
        <v>719</v>
      </c>
      <c r="G314" s="112" t="s">
        <v>380</v>
      </c>
      <c r="H314" s="112" t="s">
        <v>414</v>
      </c>
      <c r="I314" s="112" t="s">
        <v>720</v>
      </c>
      <c r="J314" s="112" t="s">
        <v>1157</v>
      </c>
    </row>
    <row r="315" spans="1:10">
      <c r="A315" s="112" t="s">
        <v>718</v>
      </c>
      <c r="B315" s="112" t="s">
        <v>377</v>
      </c>
      <c r="C315" s="112" t="s">
        <v>378</v>
      </c>
      <c r="D315" s="112" t="s">
        <v>379</v>
      </c>
      <c r="E315">
        <v>1813</v>
      </c>
      <c r="F315" s="112" t="s">
        <v>721</v>
      </c>
      <c r="G315" s="112" t="s">
        <v>380</v>
      </c>
      <c r="H315" s="112" t="s">
        <v>414</v>
      </c>
      <c r="I315">
        <v>258</v>
      </c>
    </row>
    <row r="316" spans="1:10">
      <c r="A316" s="112" t="s">
        <v>718</v>
      </c>
      <c r="B316" s="112" t="s">
        <v>377</v>
      </c>
      <c r="C316" s="112" t="s">
        <v>378</v>
      </c>
      <c r="D316" s="112" t="s">
        <v>379</v>
      </c>
      <c r="E316">
        <v>1835</v>
      </c>
      <c r="F316" s="112" t="s">
        <v>722</v>
      </c>
      <c r="G316" s="112" t="s">
        <v>380</v>
      </c>
      <c r="H316" s="112" t="s">
        <v>414</v>
      </c>
      <c r="I316" s="112" t="s">
        <v>435</v>
      </c>
      <c r="J316" s="112" t="s">
        <v>1158</v>
      </c>
    </row>
    <row r="317" spans="1:10">
      <c r="A317" s="112" t="s">
        <v>718</v>
      </c>
      <c r="B317" s="112" t="s">
        <v>377</v>
      </c>
      <c r="C317" s="112" t="s">
        <v>378</v>
      </c>
      <c r="D317" s="112" t="s">
        <v>383</v>
      </c>
      <c r="E317">
        <v>1853</v>
      </c>
      <c r="F317" s="112" t="s">
        <v>723</v>
      </c>
      <c r="G317" s="112" t="s">
        <v>388</v>
      </c>
      <c r="H317" s="112" t="s">
        <v>414</v>
      </c>
      <c r="I317" s="112">
        <v>104</v>
      </c>
      <c r="J317" s="112"/>
    </row>
    <row r="318" spans="1:10">
      <c r="A318" s="112" t="s">
        <v>718</v>
      </c>
      <c r="B318" s="112" t="s">
        <v>377</v>
      </c>
      <c r="C318" s="112" t="s">
        <v>378</v>
      </c>
      <c r="D318" s="112" t="s">
        <v>379</v>
      </c>
      <c r="E318">
        <v>1909</v>
      </c>
      <c r="F318" s="112" t="s">
        <v>724</v>
      </c>
      <c r="G318" s="112" t="s">
        <v>380</v>
      </c>
      <c r="H318" s="112" t="s">
        <v>401</v>
      </c>
      <c r="I318">
        <v>113</v>
      </c>
    </row>
    <row r="319" spans="1:10">
      <c r="A319" s="112" t="s">
        <v>718</v>
      </c>
      <c r="B319" s="112" t="s">
        <v>377</v>
      </c>
      <c r="C319" s="112" t="s">
        <v>378</v>
      </c>
      <c r="D319" s="112" t="s">
        <v>379</v>
      </c>
      <c r="E319">
        <v>1961</v>
      </c>
      <c r="F319" s="112" t="s">
        <v>725</v>
      </c>
      <c r="G319" s="112" t="s">
        <v>380</v>
      </c>
      <c r="H319" s="112" t="s">
        <v>414</v>
      </c>
      <c r="I319" s="112">
        <v>904</v>
      </c>
      <c r="J319" s="112"/>
    </row>
    <row r="320" spans="1:10">
      <c r="A320" s="112" t="s">
        <v>718</v>
      </c>
      <c r="B320" s="112" t="s">
        <v>377</v>
      </c>
      <c r="C320" s="112" t="s">
        <v>378</v>
      </c>
      <c r="D320" s="112" t="s">
        <v>379</v>
      </c>
      <c r="E320">
        <v>1969</v>
      </c>
      <c r="F320" s="112" t="s">
        <v>726</v>
      </c>
      <c r="G320" s="112" t="s">
        <v>380</v>
      </c>
      <c r="H320" s="112" t="s">
        <v>414</v>
      </c>
      <c r="I320" s="112" t="s">
        <v>435</v>
      </c>
      <c r="J320" s="112" t="s">
        <v>1159</v>
      </c>
    </row>
    <row r="321" spans="1:10">
      <c r="A321" s="112" t="s">
        <v>718</v>
      </c>
      <c r="B321" s="112" t="s">
        <v>377</v>
      </c>
      <c r="C321" s="112" t="s">
        <v>378</v>
      </c>
      <c r="D321" s="112" t="s">
        <v>379</v>
      </c>
      <c r="E321">
        <v>2307</v>
      </c>
      <c r="F321" s="112" t="s">
        <v>1160</v>
      </c>
      <c r="G321" s="112" t="s">
        <v>380</v>
      </c>
      <c r="H321" s="112" t="s">
        <v>391</v>
      </c>
      <c r="I321">
        <v>96</v>
      </c>
    </row>
    <row r="322" spans="1:10">
      <c r="A322" s="112" t="s">
        <v>718</v>
      </c>
      <c r="B322" s="112" t="s">
        <v>377</v>
      </c>
      <c r="C322" s="112" t="s">
        <v>378</v>
      </c>
      <c r="D322" s="112" t="s">
        <v>379</v>
      </c>
      <c r="E322">
        <v>2475</v>
      </c>
      <c r="F322" s="112" t="s">
        <v>1161</v>
      </c>
      <c r="G322" s="112" t="s">
        <v>380</v>
      </c>
      <c r="H322" s="112" t="s">
        <v>385</v>
      </c>
      <c r="I322" s="112">
        <v>512</v>
      </c>
      <c r="J322" s="112"/>
    </row>
    <row r="323" spans="1:10">
      <c r="A323" s="112" t="s">
        <v>718</v>
      </c>
      <c r="B323" s="112" t="s">
        <v>377</v>
      </c>
      <c r="C323" s="112" t="s">
        <v>378</v>
      </c>
      <c r="D323" s="112" t="s">
        <v>379</v>
      </c>
      <c r="E323">
        <v>2480</v>
      </c>
      <c r="F323" s="112" t="s">
        <v>1162</v>
      </c>
      <c r="G323" s="112" t="s">
        <v>384</v>
      </c>
      <c r="H323" s="112" t="s">
        <v>385</v>
      </c>
      <c r="I323" s="112">
        <v>63</v>
      </c>
      <c r="J323" s="112"/>
    </row>
    <row r="324" spans="1:10">
      <c r="A324" s="112" t="s">
        <v>718</v>
      </c>
      <c r="B324" s="112" t="s">
        <v>377</v>
      </c>
      <c r="C324" s="112" t="s">
        <v>378</v>
      </c>
      <c r="D324" s="112" t="s">
        <v>379</v>
      </c>
      <c r="E324">
        <v>2815</v>
      </c>
      <c r="F324" s="112" t="s">
        <v>727</v>
      </c>
      <c r="G324" s="112" t="s">
        <v>380</v>
      </c>
      <c r="H324" s="112" t="s">
        <v>381</v>
      </c>
      <c r="I324" s="112" t="s">
        <v>403</v>
      </c>
      <c r="J324" s="112" t="s">
        <v>1163</v>
      </c>
    </row>
    <row r="325" spans="1:10">
      <c r="A325" s="112" t="s">
        <v>718</v>
      </c>
      <c r="B325" s="112" t="s">
        <v>377</v>
      </c>
      <c r="C325" s="112" t="s">
        <v>378</v>
      </c>
      <c r="D325" s="112" t="s">
        <v>379</v>
      </c>
      <c r="E325">
        <v>2911</v>
      </c>
      <c r="F325" s="112" t="s">
        <v>1164</v>
      </c>
      <c r="G325" s="112" t="s">
        <v>388</v>
      </c>
      <c r="H325" s="112" t="s">
        <v>381</v>
      </c>
      <c r="I325">
        <v>38</v>
      </c>
    </row>
    <row r="326" spans="1:10">
      <c r="A326" s="112" t="s">
        <v>718</v>
      </c>
      <c r="B326" s="112" t="s">
        <v>377</v>
      </c>
      <c r="C326" s="112" t="s">
        <v>378</v>
      </c>
      <c r="D326" s="112" t="s">
        <v>379</v>
      </c>
      <c r="E326">
        <v>3109</v>
      </c>
      <c r="F326" s="112" t="s">
        <v>728</v>
      </c>
      <c r="G326" s="112" t="s">
        <v>380</v>
      </c>
      <c r="H326" s="112" t="s">
        <v>446</v>
      </c>
      <c r="I326">
        <v>112</v>
      </c>
    </row>
    <row r="327" spans="1:10">
      <c r="A327" s="112" t="s">
        <v>718</v>
      </c>
      <c r="B327" s="112" t="s">
        <v>377</v>
      </c>
      <c r="C327" s="112" t="s">
        <v>387</v>
      </c>
      <c r="D327" s="112" t="s">
        <v>379</v>
      </c>
      <c r="E327">
        <v>3482</v>
      </c>
      <c r="F327" s="112" t="s">
        <v>1165</v>
      </c>
      <c r="G327" s="112" t="s">
        <v>392</v>
      </c>
      <c r="H327" s="112" t="s">
        <v>406</v>
      </c>
      <c r="I327" s="112">
        <v>204</v>
      </c>
      <c r="J327" s="112"/>
    </row>
    <row r="328" spans="1:10">
      <c r="A328" s="112" t="s">
        <v>718</v>
      </c>
      <c r="B328" s="112" t="s">
        <v>377</v>
      </c>
      <c r="C328" s="112" t="s">
        <v>382</v>
      </c>
      <c r="D328" s="112" t="s">
        <v>379</v>
      </c>
      <c r="E328">
        <v>3690</v>
      </c>
      <c r="F328" s="112" t="s">
        <v>1166</v>
      </c>
      <c r="G328" s="112" t="s">
        <v>392</v>
      </c>
      <c r="H328" s="112" t="s">
        <v>391</v>
      </c>
      <c r="I328">
        <v>80</v>
      </c>
    </row>
    <row r="329" spans="1:10">
      <c r="A329" s="112" t="s">
        <v>718</v>
      </c>
      <c r="B329" s="112" t="s">
        <v>377</v>
      </c>
      <c r="C329" s="112" t="s">
        <v>378</v>
      </c>
      <c r="D329" s="112" t="s">
        <v>379</v>
      </c>
      <c r="E329">
        <v>3766</v>
      </c>
      <c r="F329" s="112" t="s">
        <v>729</v>
      </c>
      <c r="G329" s="112" t="s">
        <v>384</v>
      </c>
      <c r="H329" s="112" t="s">
        <v>391</v>
      </c>
      <c r="I329">
        <v>25</v>
      </c>
    </row>
    <row r="330" spans="1:10">
      <c r="A330" s="112" t="s">
        <v>718</v>
      </c>
      <c r="B330" s="112" t="s">
        <v>377</v>
      </c>
      <c r="C330" s="112" t="s">
        <v>378</v>
      </c>
      <c r="D330" s="112" t="s">
        <v>379</v>
      </c>
      <c r="E330">
        <v>4540</v>
      </c>
      <c r="F330" s="112" t="s">
        <v>730</v>
      </c>
      <c r="G330" s="112" t="s">
        <v>380</v>
      </c>
      <c r="H330" s="112" t="s">
        <v>502</v>
      </c>
      <c r="I330" s="112" t="s">
        <v>403</v>
      </c>
      <c r="J330" s="112" t="s">
        <v>1167</v>
      </c>
    </row>
    <row r="331" spans="1:10">
      <c r="A331" s="112" t="s">
        <v>718</v>
      </c>
      <c r="B331" s="112" t="s">
        <v>377</v>
      </c>
      <c r="C331" s="112" t="s">
        <v>387</v>
      </c>
      <c r="D331" s="112" t="s">
        <v>383</v>
      </c>
      <c r="E331">
        <v>4588</v>
      </c>
      <c r="F331" s="112" t="s">
        <v>731</v>
      </c>
      <c r="G331" s="112" t="s">
        <v>392</v>
      </c>
      <c r="H331" s="112" t="s">
        <v>502</v>
      </c>
      <c r="I331">
        <v>274</v>
      </c>
    </row>
    <row r="332" spans="1:10">
      <c r="A332" s="112" t="s">
        <v>718</v>
      </c>
      <c r="B332" s="112" t="s">
        <v>377</v>
      </c>
      <c r="C332" s="112" t="s">
        <v>378</v>
      </c>
      <c r="D332" s="112" t="s">
        <v>379</v>
      </c>
      <c r="E332">
        <v>4777</v>
      </c>
      <c r="F332" s="112" t="s">
        <v>732</v>
      </c>
      <c r="G332" s="112" t="s">
        <v>384</v>
      </c>
      <c r="H332" s="112" t="s">
        <v>391</v>
      </c>
      <c r="I332" s="112">
        <v>52</v>
      </c>
      <c r="J332" s="112"/>
    </row>
    <row r="333" spans="1:10">
      <c r="A333" s="112" t="s">
        <v>718</v>
      </c>
      <c r="B333" s="112" t="s">
        <v>377</v>
      </c>
      <c r="C333" s="112" t="s">
        <v>378</v>
      </c>
      <c r="D333" s="112" t="s">
        <v>383</v>
      </c>
      <c r="E333">
        <v>4970</v>
      </c>
      <c r="F333" s="112" t="s">
        <v>1168</v>
      </c>
      <c r="G333" s="112" t="s">
        <v>384</v>
      </c>
      <c r="H333" s="112" t="s">
        <v>393</v>
      </c>
      <c r="I333">
        <v>287</v>
      </c>
    </row>
    <row r="334" spans="1:10">
      <c r="A334" s="112" t="s">
        <v>718</v>
      </c>
      <c r="B334" s="112" t="s">
        <v>377</v>
      </c>
      <c r="C334" s="112" t="s">
        <v>378</v>
      </c>
      <c r="D334" s="112" t="s">
        <v>379</v>
      </c>
      <c r="E334">
        <v>5602</v>
      </c>
      <c r="F334" s="112" t="s">
        <v>1169</v>
      </c>
      <c r="G334" s="112" t="s">
        <v>380</v>
      </c>
      <c r="H334" s="112" t="s">
        <v>1170</v>
      </c>
      <c r="I334" s="112">
        <v>259</v>
      </c>
      <c r="J334" s="112"/>
    </row>
    <row r="335" spans="1:10">
      <c r="A335" s="112" t="s">
        <v>718</v>
      </c>
      <c r="B335" s="112" t="s">
        <v>377</v>
      </c>
      <c r="C335" s="112" t="s">
        <v>378</v>
      </c>
      <c r="D335" s="112" t="s">
        <v>379</v>
      </c>
      <c r="E335">
        <v>5713</v>
      </c>
      <c r="F335" s="112" t="s">
        <v>733</v>
      </c>
      <c r="G335" s="112" t="s">
        <v>380</v>
      </c>
      <c r="H335" s="112" t="s">
        <v>686</v>
      </c>
      <c r="I335" s="112" t="s">
        <v>720</v>
      </c>
      <c r="J335" s="112" t="s">
        <v>1171</v>
      </c>
    </row>
    <row r="336" spans="1:10">
      <c r="A336" s="112" t="s">
        <v>718</v>
      </c>
      <c r="B336" s="112" t="s">
        <v>377</v>
      </c>
      <c r="C336" s="112" t="s">
        <v>378</v>
      </c>
      <c r="D336" s="112" t="s">
        <v>379</v>
      </c>
      <c r="E336">
        <v>6485</v>
      </c>
      <c r="F336" s="112" t="s">
        <v>734</v>
      </c>
      <c r="G336" s="112" t="s">
        <v>380</v>
      </c>
      <c r="H336" s="112" t="s">
        <v>401</v>
      </c>
      <c r="I336">
        <v>260</v>
      </c>
    </row>
    <row r="337" spans="1:10">
      <c r="A337" s="112" t="s">
        <v>718</v>
      </c>
      <c r="B337" s="112" t="s">
        <v>377</v>
      </c>
      <c r="C337" s="112" t="s">
        <v>387</v>
      </c>
      <c r="D337" s="112" t="s">
        <v>379</v>
      </c>
      <c r="E337">
        <v>6929</v>
      </c>
      <c r="F337" s="112" t="s">
        <v>735</v>
      </c>
      <c r="G337" s="112" t="s">
        <v>380</v>
      </c>
      <c r="H337" s="112" t="s">
        <v>405</v>
      </c>
      <c r="I337" s="112">
        <v>770</v>
      </c>
      <c r="J337" s="112"/>
    </row>
    <row r="338" spans="1:10">
      <c r="A338" s="112" t="s">
        <v>718</v>
      </c>
      <c r="B338" s="112" t="s">
        <v>377</v>
      </c>
      <c r="C338" s="112" t="s">
        <v>378</v>
      </c>
      <c r="D338" s="112" t="s">
        <v>379</v>
      </c>
      <c r="E338">
        <v>7480</v>
      </c>
      <c r="F338" s="112" t="s">
        <v>736</v>
      </c>
      <c r="G338" s="112" t="s">
        <v>380</v>
      </c>
      <c r="H338" s="112" t="s">
        <v>386</v>
      </c>
      <c r="I338">
        <v>214</v>
      </c>
    </row>
    <row r="339" spans="1:10">
      <c r="A339" s="112" t="s">
        <v>718</v>
      </c>
      <c r="B339" s="112" t="s">
        <v>377</v>
      </c>
      <c r="C339" s="112" t="s">
        <v>378</v>
      </c>
      <c r="D339" s="112" t="s">
        <v>379</v>
      </c>
      <c r="E339">
        <v>9880</v>
      </c>
      <c r="F339" s="112" t="s">
        <v>737</v>
      </c>
      <c r="G339" s="112" t="s">
        <v>380</v>
      </c>
      <c r="H339" s="112" t="s">
        <v>386</v>
      </c>
      <c r="I339" s="112">
        <v>167</v>
      </c>
      <c r="J339" s="112"/>
    </row>
    <row r="340" spans="1:10">
      <c r="A340" s="112" t="s">
        <v>718</v>
      </c>
      <c r="B340" s="112" t="s">
        <v>377</v>
      </c>
      <c r="C340" s="112" t="s">
        <v>378</v>
      </c>
      <c r="D340" s="112" t="s">
        <v>379</v>
      </c>
      <c r="E340">
        <v>9994</v>
      </c>
      <c r="F340" s="112" t="s">
        <v>738</v>
      </c>
      <c r="G340" s="112" t="s">
        <v>380</v>
      </c>
      <c r="H340" s="112" t="s">
        <v>390</v>
      </c>
      <c r="I340">
        <v>241</v>
      </c>
    </row>
    <row r="341" spans="1:10">
      <c r="A341" s="112" t="s">
        <v>739</v>
      </c>
      <c r="B341" s="112" t="s">
        <v>377</v>
      </c>
      <c r="C341" s="112" t="s">
        <v>378</v>
      </c>
      <c r="D341" s="112" t="s">
        <v>379</v>
      </c>
      <c r="E341">
        <v>1979</v>
      </c>
      <c r="F341" s="112" t="s">
        <v>740</v>
      </c>
      <c r="G341" s="112" t="s">
        <v>380</v>
      </c>
      <c r="H341" s="112" t="s">
        <v>414</v>
      </c>
      <c r="I341" s="112" t="s">
        <v>435</v>
      </c>
      <c r="J341" s="112" t="s">
        <v>1172</v>
      </c>
    </row>
    <row r="342" spans="1:10">
      <c r="A342" s="112" t="s">
        <v>739</v>
      </c>
      <c r="B342" s="112" t="s">
        <v>377</v>
      </c>
      <c r="C342" s="112" t="s">
        <v>378</v>
      </c>
      <c r="D342" s="112" t="s">
        <v>379</v>
      </c>
      <c r="E342">
        <v>2201</v>
      </c>
      <c r="F342" s="112" t="s">
        <v>1012</v>
      </c>
      <c r="G342" s="112" t="s">
        <v>380</v>
      </c>
      <c r="H342" s="112" t="s">
        <v>381</v>
      </c>
      <c r="I342" s="112" t="s">
        <v>620</v>
      </c>
      <c r="J342" s="112" t="s">
        <v>1173</v>
      </c>
    </row>
    <row r="343" spans="1:10">
      <c r="A343" s="112" t="s">
        <v>739</v>
      </c>
      <c r="B343" s="112" t="s">
        <v>377</v>
      </c>
      <c r="C343" s="112" t="s">
        <v>387</v>
      </c>
      <c r="D343" s="112" t="s">
        <v>379</v>
      </c>
      <c r="E343">
        <v>2384</v>
      </c>
      <c r="F343" s="112" t="s">
        <v>1013</v>
      </c>
      <c r="G343" s="112" t="s">
        <v>380</v>
      </c>
      <c r="H343" s="112" t="s">
        <v>669</v>
      </c>
      <c r="I343">
        <v>778</v>
      </c>
    </row>
    <row r="344" spans="1:10">
      <c r="A344" s="112" t="s">
        <v>739</v>
      </c>
      <c r="B344" s="112" t="s">
        <v>377</v>
      </c>
      <c r="C344" s="112" t="s">
        <v>378</v>
      </c>
      <c r="D344" s="112" t="s">
        <v>379</v>
      </c>
      <c r="E344">
        <v>2398</v>
      </c>
      <c r="F344" s="112" t="s">
        <v>1014</v>
      </c>
      <c r="G344" s="112" t="s">
        <v>380</v>
      </c>
      <c r="H344" s="112" t="s">
        <v>385</v>
      </c>
      <c r="I344" s="112">
        <v>409</v>
      </c>
      <c r="J344" s="112"/>
    </row>
    <row r="345" spans="1:10">
      <c r="A345" s="112" t="s">
        <v>739</v>
      </c>
      <c r="B345" s="112" t="s">
        <v>377</v>
      </c>
      <c r="C345" s="112" t="s">
        <v>378</v>
      </c>
      <c r="D345" s="112" t="s">
        <v>379</v>
      </c>
      <c r="E345">
        <v>6324</v>
      </c>
      <c r="F345" s="112" t="s">
        <v>1174</v>
      </c>
      <c r="G345" s="112" t="s">
        <v>384</v>
      </c>
      <c r="H345" s="112" t="s">
        <v>401</v>
      </c>
      <c r="I345" s="112" t="s">
        <v>531</v>
      </c>
      <c r="J345" s="112" t="s">
        <v>1175</v>
      </c>
    </row>
    <row r="346" spans="1:10">
      <c r="A346" s="112" t="s">
        <v>739</v>
      </c>
      <c r="B346" s="112" t="s">
        <v>377</v>
      </c>
      <c r="C346" s="112" t="s">
        <v>389</v>
      </c>
      <c r="D346" s="112" t="s">
        <v>379</v>
      </c>
      <c r="E346">
        <v>7320</v>
      </c>
      <c r="F346" s="112" t="s">
        <v>1015</v>
      </c>
      <c r="G346" s="112" t="s">
        <v>392</v>
      </c>
      <c r="H346" s="112" t="s">
        <v>452</v>
      </c>
      <c r="I346" s="112">
        <v>59</v>
      </c>
      <c r="J346" s="112"/>
    </row>
    <row r="347" spans="1:10">
      <c r="A347" s="112" t="s">
        <v>739</v>
      </c>
      <c r="B347" s="112" t="s">
        <v>377</v>
      </c>
      <c r="C347" s="112" t="s">
        <v>378</v>
      </c>
      <c r="D347" s="112" t="s">
        <v>379</v>
      </c>
      <c r="E347">
        <v>8108</v>
      </c>
      <c r="F347" s="112" t="s">
        <v>741</v>
      </c>
      <c r="G347" s="112" t="s">
        <v>742</v>
      </c>
      <c r="H347" s="112" t="s">
        <v>386</v>
      </c>
      <c r="I347" s="112">
        <v>267</v>
      </c>
      <c r="J347" s="112"/>
    </row>
    <row r="348" spans="1:10">
      <c r="A348" s="112" t="s">
        <v>743</v>
      </c>
      <c r="B348" s="112" t="s">
        <v>377</v>
      </c>
      <c r="C348" s="112" t="s">
        <v>378</v>
      </c>
      <c r="D348" s="112" t="s">
        <v>379</v>
      </c>
      <c r="E348">
        <v>1762</v>
      </c>
      <c r="F348" s="112" t="s">
        <v>744</v>
      </c>
      <c r="G348" s="112" t="s">
        <v>380</v>
      </c>
      <c r="H348" s="112" t="s">
        <v>414</v>
      </c>
      <c r="I348" s="112" t="s">
        <v>435</v>
      </c>
      <c r="J348" s="112" t="s">
        <v>1176</v>
      </c>
    </row>
    <row r="349" spans="1:10">
      <c r="A349" s="112" t="s">
        <v>743</v>
      </c>
      <c r="B349" s="112" t="s">
        <v>377</v>
      </c>
      <c r="C349" s="112" t="s">
        <v>378</v>
      </c>
      <c r="D349" s="112" t="s">
        <v>379</v>
      </c>
      <c r="E349">
        <v>1821</v>
      </c>
      <c r="F349" s="112" t="s">
        <v>745</v>
      </c>
      <c r="G349" s="112" t="s">
        <v>380</v>
      </c>
      <c r="H349" s="112" t="s">
        <v>414</v>
      </c>
      <c r="I349" s="112">
        <v>992</v>
      </c>
      <c r="J349" s="112"/>
    </row>
    <row r="350" spans="1:10">
      <c r="A350" s="112" t="s">
        <v>743</v>
      </c>
      <c r="B350" s="112" t="s">
        <v>377</v>
      </c>
      <c r="C350" s="112" t="s">
        <v>378</v>
      </c>
      <c r="D350" s="112" t="s">
        <v>379</v>
      </c>
      <c r="E350">
        <v>2196</v>
      </c>
      <c r="F350" s="112" t="s">
        <v>1017</v>
      </c>
      <c r="G350" s="112" t="s">
        <v>380</v>
      </c>
      <c r="H350" s="112" t="s">
        <v>385</v>
      </c>
      <c r="I350" s="112">
        <v>95</v>
      </c>
      <c r="J350" s="112"/>
    </row>
    <row r="351" spans="1:10">
      <c r="A351" s="112" t="s">
        <v>743</v>
      </c>
      <c r="B351" s="112" t="s">
        <v>377</v>
      </c>
      <c r="C351" s="112" t="s">
        <v>387</v>
      </c>
      <c r="D351" s="112" t="s">
        <v>379</v>
      </c>
      <c r="E351">
        <v>2436</v>
      </c>
      <c r="F351" s="112" t="s">
        <v>1018</v>
      </c>
      <c r="G351" s="112" t="s">
        <v>384</v>
      </c>
      <c r="H351" s="112" t="s">
        <v>385</v>
      </c>
      <c r="I351" s="112">
        <v>60</v>
      </c>
      <c r="J351" s="112"/>
    </row>
    <row r="352" spans="1:10">
      <c r="A352" s="112" t="s">
        <v>743</v>
      </c>
      <c r="B352" s="112" t="s">
        <v>377</v>
      </c>
      <c r="C352" s="112" t="s">
        <v>378</v>
      </c>
      <c r="D352" s="112" t="s">
        <v>379</v>
      </c>
      <c r="E352">
        <v>2705</v>
      </c>
      <c r="F352" s="112" t="s">
        <v>746</v>
      </c>
      <c r="G352" s="112" t="s">
        <v>384</v>
      </c>
      <c r="H352" s="112" t="s">
        <v>390</v>
      </c>
      <c r="I352" s="112">
        <v>175</v>
      </c>
      <c r="J352" s="112"/>
    </row>
    <row r="353" spans="1:10">
      <c r="A353" s="112" t="s">
        <v>743</v>
      </c>
      <c r="B353" s="112" t="s">
        <v>377</v>
      </c>
      <c r="C353" s="112" t="s">
        <v>387</v>
      </c>
      <c r="D353" s="112" t="s">
        <v>379</v>
      </c>
      <c r="E353">
        <v>3784</v>
      </c>
      <c r="F353" s="112" t="s">
        <v>1177</v>
      </c>
      <c r="G353" s="112" t="s">
        <v>380</v>
      </c>
      <c r="H353" s="112" t="s">
        <v>391</v>
      </c>
      <c r="I353" s="112">
        <v>224</v>
      </c>
      <c r="J353" s="112"/>
    </row>
    <row r="354" spans="1:10">
      <c r="A354" s="112" t="s">
        <v>743</v>
      </c>
      <c r="B354" s="112" t="s">
        <v>377</v>
      </c>
      <c r="C354" s="112" t="s">
        <v>378</v>
      </c>
      <c r="D354" s="112" t="s">
        <v>379</v>
      </c>
      <c r="E354">
        <v>5714</v>
      </c>
      <c r="F354" s="112" t="s">
        <v>747</v>
      </c>
      <c r="G354" s="112" t="s">
        <v>380</v>
      </c>
      <c r="H354" s="112" t="s">
        <v>686</v>
      </c>
      <c r="I354" s="112" t="s">
        <v>403</v>
      </c>
      <c r="J354" s="112" t="s">
        <v>1178</v>
      </c>
    </row>
    <row r="355" spans="1:10">
      <c r="A355" s="112" t="s">
        <v>743</v>
      </c>
      <c r="B355" s="112" t="s">
        <v>377</v>
      </c>
      <c r="C355" s="112" t="s">
        <v>387</v>
      </c>
      <c r="D355" s="112" t="s">
        <v>379</v>
      </c>
      <c r="E355">
        <v>6627</v>
      </c>
      <c r="F355" s="112" t="s">
        <v>1179</v>
      </c>
      <c r="G355" s="112" t="s">
        <v>392</v>
      </c>
      <c r="H355" s="112" t="s">
        <v>405</v>
      </c>
      <c r="I355" s="112">
        <v>72</v>
      </c>
      <c r="J355" s="112"/>
    </row>
    <row r="356" spans="1:10">
      <c r="A356" s="112" t="s">
        <v>743</v>
      </c>
      <c r="B356" s="112" t="s">
        <v>377</v>
      </c>
      <c r="C356" s="112" t="s">
        <v>378</v>
      </c>
      <c r="D356" s="112" t="s">
        <v>379</v>
      </c>
      <c r="E356">
        <v>7294</v>
      </c>
      <c r="F356" s="112" t="s">
        <v>748</v>
      </c>
      <c r="G356" s="112" t="s">
        <v>380</v>
      </c>
      <c r="H356" s="112" t="s">
        <v>431</v>
      </c>
      <c r="I356" s="112">
        <v>364</v>
      </c>
      <c r="J356" s="112"/>
    </row>
    <row r="357" spans="1:10">
      <c r="A357" s="112" t="s">
        <v>743</v>
      </c>
      <c r="B357" s="112" t="s">
        <v>377</v>
      </c>
      <c r="C357" s="112" t="s">
        <v>378</v>
      </c>
      <c r="D357" s="112" t="s">
        <v>379</v>
      </c>
      <c r="E357">
        <v>9964</v>
      </c>
      <c r="F357" s="112" t="s">
        <v>749</v>
      </c>
      <c r="G357" s="112" t="s">
        <v>384</v>
      </c>
      <c r="H357" s="112" t="s">
        <v>386</v>
      </c>
      <c r="I357" s="112">
        <v>201</v>
      </c>
      <c r="J357" s="112"/>
    </row>
    <row r="358" spans="1:10">
      <c r="A358" s="112" t="s">
        <v>750</v>
      </c>
      <c r="B358" s="112" t="s">
        <v>377</v>
      </c>
      <c r="C358" s="112" t="s">
        <v>378</v>
      </c>
      <c r="D358" s="112" t="s">
        <v>379</v>
      </c>
      <c r="E358">
        <v>1384</v>
      </c>
      <c r="F358" s="112" t="s">
        <v>751</v>
      </c>
      <c r="G358" s="112" t="s">
        <v>380</v>
      </c>
      <c r="H358" s="112" t="s">
        <v>520</v>
      </c>
      <c r="I358" s="112">
        <v>56</v>
      </c>
      <c r="J358" s="112"/>
    </row>
    <row r="359" spans="1:10">
      <c r="A359" s="112" t="s">
        <v>750</v>
      </c>
      <c r="B359" s="112" t="s">
        <v>377</v>
      </c>
      <c r="C359" s="112" t="s">
        <v>387</v>
      </c>
      <c r="D359" s="112" t="s">
        <v>379</v>
      </c>
      <c r="E359">
        <v>2150</v>
      </c>
      <c r="F359" s="112" t="s">
        <v>752</v>
      </c>
      <c r="G359" s="112" t="s">
        <v>392</v>
      </c>
      <c r="H359" s="112" t="s">
        <v>385</v>
      </c>
      <c r="I359" s="112">
        <v>88</v>
      </c>
      <c r="J359" s="112"/>
    </row>
    <row r="360" spans="1:10">
      <c r="A360" s="112" t="s">
        <v>750</v>
      </c>
      <c r="B360" s="112" t="s">
        <v>377</v>
      </c>
      <c r="C360" s="112" t="s">
        <v>387</v>
      </c>
      <c r="D360" s="112" t="s">
        <v>379</v>
      </c>
      <c r="E360">
        <v>2170</v>
      </c>
      <c r="F360" s="112" t="s">
        <v>753</v>
      </c>
      <c r="G360" s="112" t="s">
        <v>380</v>
      </c>
      <c r="H360" s="112" t="s">
        <v>385</v>
      </c>
      <c r="I360">
        <v>755</v>
      </c>
    </row>
    <row r="361" spans="1:10">
      <c r="A361" s="112" t="s">
        <v>750</v>
      </c>
      <c r="B361" s="112" t="s">
        <v>377</v>
      </c>
      <c r="C361" s="112" t="s">
        <v>382</v>
      </c>
      <c r="D361" s="112" t="s">
        <v>379</v>
      </c>
      <c r="E361">
        <v>2185</v>
      </c>
      <c r="F361" s="112" t="s">
        <v>1019</v>
      </c>
      <c r="G361" s="112" t="s">
        <v>384</v>
      </c>
      <c r="H361" s="112" t="s">
        <v>385</v>
      </c>
      <c r="I361">
        <v>166</v>
      </c>
    </row>
    <row r="362" spans="1:10">
      <c r="A362" s="112" t="s">
        <v>750</v>
      </c>
      <c r="B362" s="112" t="s">
        <v>377</v>
      </c>
      <c r="C362" s="112" t="s">
        <v>378</v>
      </c>
      <c r="D362" s="112" t="s">
        <v>379</v>
      </c>
      <c r="E362">
        <v>2323</v>
      </c>
      <c r="F362" s="112" t="s">
        <v>1020</v>
      </c>
      <c r="G362" s="112" t="s">
        <v>384</v>
      </c>
      <c r="H362" s="112" t="s">
        <v>391</v>
      </c>
      <c r="I362" s="112">
        <v>14</v>
      </c>
      <c r="J362" s="112"/>
    </row>
    <row r="363" spans="1:10">
      <c r="A363" s="112" t="s">
        <v>750</v>
      </c>
      <c r="B363" s="112" t="s">
        <v>377</v>
      </c>
      <c r="C363" s="112" t="s">
        <v>378</v>
      </c>
      <c r="D363" s="112" t="s">
        <v>379</v>
      </c>
      <c r="E363">
        <v>2654</v>
      </c>
      <c r="F363" s="112" t="s">
        <v>754</v>
      </c>
      <c r="G363" s="112" t="s">
        <v>388</v>
      </c>
      <c r="H363" s="112" t="s">
        <v>390</v>
      </c>
      <c r="I363">
        <v>84</v>
      </c>
    </row>
    <row r="364" spans="1:10">
      <c r="A364" s="112" t="s">
        <v>750</v>
      </c>
      <c r="B364" s="112" t="s">
        <v>377</v>
      </c>
      <c r="C364" s="112" t="s">
        <v>378</v>
      </c>
      <c r="D364" s="112" t="s">
        <v>379</v>
      </c>
      <c r="E364">
        <v>3182</v>
      </c>
      <c r="F364" s="112" t="s">
        <v>755</v>
      </c>
      <c r="G364" s="112" t="s">
        <v>392</v>
      </c>
      <c r="H364" s="112" t="s">
        <v>390</v>
      </c>
      <c r="I364">
        <v>447</v>
      </c>
    </row>
    <row r="365" spans="1:10">
      <c r="A365" s="112" t="s">
        <v>750</v>
      </c>
      <c r="B365" s="112" t="s">
        <v>377</v>
      </c>
      <c r="C365" s="112" t="s">
        <v>378</v>
      </c>
      <c r="D365" s="112" t="s">
        <v>383</v>
      </c>
      <c r="E365">
        <v>3477</v>
      </c>
      <c r="F365" s="112" t="s">
        <v>1180</v>
      </c>
      <c r="G365" s="112" t="s">
        <v>392</v>
      </c>
      <c r="H365" s="112" t="s">
        <v>406</v>
      </c>
      <c r="I365" s="112">
        <v>20</v>
      </c>
      <c r="J365" s="112"/>
    </row>
    <row r="366" spans="1:10">
      <c r="A366" s="112" t="s">
        <v>750</v>
      </c>
      <c r="B366" s="112" t="s">
        <v>377</v>
      </c>
      <c r="C366" s="112" t="s">
        <v>387</v>
      </c>
      <c r="D366" s="112" t="s">
        <v>379</v>
      </c>
      <c r="E366">
        <v>3649</v>
      </c>
      <c r="F366" s="112" t="s">
        <v>1181</v>
      </c>
      <c r="G366" s="112" t="s">
        <v>380</v>
      </c>
      <c r="H366" s="112" t="s">
        <v>391</v>
      </c>
      <c r="I366" s="112">
        <v>348</v>
      </c>
      <c r="J366" s="112"/>
    </row>
    <row r="367" spans="1:10">
      <c r="A367" s="112" t="s">
        <v>750</v>
      </c>
      <c r="B367" s="112" t="s">
        <v>377</v>
      </c>
      <c r="C367" s="112" t="s">
        <v>387</v>
      </c>
      <c r="D367" s="112" t="s">
        <v>379</v>
      </c>
      <c r="E367">
        <v>3664</v>
      </c>
      <c r="F367" s="112" t="s">
        <v>1182</v>
      </c>
      <c r="G367" s="112" t="s">
        <v>392</v>
      </c>
      <c r="H367" s="112" t="s">
        <v>391</v>
      </c>
      <c r="I367" s="112">
        <v>60</v>
      </c>
      <c r="J367" s="112"/>
    </row>
    <row r="368" spans="1:10">
      <c r="A368" s="112" t="s">
        <v>750</v>
      </c>
      <c r="B368" s="112" t="s">
        <v>377</v>
      </c>
      <c r="C368" s="112" t="s">
        <v>378</v>
      </c>
      <c r="D368" s="112" t="s">
        <v>379</v>
      </c>
      <c r="E368">
        <v>3934</v>
      </c>
      <c r="F368" s="112" t="s">
        <v>756</v>
      </c>
      <c r="G368" s="112" t="s">
        <v>380</v>
      </c>
      <c r="H368" s="112" t="s">
        <v>391</v>
      </c>
      <c r="I368">
        <v>88</v>
      </c>
    </row>
    <row r="369" spans="1:10">
      <c r="A369" s="112" t="s">
        <v>750</v>
      </c>
      <c r="B369" s="112" t="s">
        <v>377</v>
      </c>
      <c r="C369" s="112" t="s">
        <v>389</v>
      </c>
      <c r="D369" s="112" t="s">
        <v>379</v>
      </c>
      <c r="E369">
        <v>3960</v>
      </c>
      <c r="F369" s="112" t="s">
        <v>757</v>
      </c>
      <c r="G369" s="112" t="s">
        <v>392</v>
      </c>
      <c r="H369" s="112" t="s">
        <v>391</v>
      </c>
      <c r="I369" s="112">
        <v>27</v>
      </c>
      <c r="J369" s="112"/>
    </row>
    <row r="370" spans="1:10">
      <c r="A370" s="112" t="s">
        <v>750</v>
      </c>
      <c r="B370" s="112" t="s">
        <v>377</v>
      </c>
      <c r="C370" s="112" t="s">
        <v>387</v>
      </c>
      <c r="D370" s="112" t="s">
        <v>379</v>
      </c>
      <c r="E370">
        <v>4755</v>
      </c>
      <c r="F370" s="112" t="s">
        <v>758</v>
      </c>
      <c r="G370" s="112" t="s">
        <v>380</v>
      </c>
      <c r="H370" s="112" t="s">
        <v>385</v>
      </c>
      <c r="I370" s="112" t="s">
        <v>759</v>
      </c>
      <c r="J370" s="112" t="s">
        <v>1183</v>
      </c>
    </row>
    <row r="371" spans="1:10">
      <c r="A371" s="112" t="s">
        <v>750</v>
      </c>
      <c r="B371" s="112" t="s">
        <v>377</v>
      </c>
      <c r="C371" s="112" t="s">
        <v>378</v>
      </c>
      <c r="D371" s="112" t="s">
        <v>379</v>
      </c>
      <c r="E371">
        <v>5304</v>
      </c>
      <c r="F371" s="112" t="s">
        <v>760</v>
      </c>
      <c r="G371" s="112" t="s">
        <v>388</v>
      </c>
      <c r="H371" s="112" t="s">
        <v>488</v>
      </c>
      <c r="I371" s="112">
        <v>373</v>
      </c>
      <c r="J371" s="112"/>
    </row>
    <row r="372" spans="1:10">
      <c r="A372" s="112" t="s">
        <v>750</v>
      </c>
      <c r="B372" s="112" t="s">
        <v>377</v>
      </c>
      <c r="C372" s="112" t="s">
        <v>378</v>
      </c>
      <c r="D372" s="112" t="s">
        <v>379</v>
      </c>
      <c r="E372">
        <v>6033</v>
      </c>
      <c r="F372" s="112" t="s">
        <v>761</v>
      </c>
      <c r="G372" s="112" t="s">
        <v>392</v>
      </c>
      <c r="H372" s="112" t="s">
        <v>385</v>
      </c>
      <c r="I372" s="112">
        <v>112</v>
      </c>
      <c r="J372" s="112"/>
    </row>
    <row r="373" spans="1:10">
      <c r="A373" s="112" t="s">
        <v>750</v>
      </c>
      <c r="B373" s="112" t="s">
        <v>377</v>
      </c>
      <c r="C373" s="112" t="s">
        <v>378</v>
      </c>
      <c r="D373" s="112" t="s">
        <v>379</v>
      </c>
      <c r="E373">
        <v>6125</v>
      </c>
      <c r="F373" s="112" t="s">
        <v>1021</v>
      </c>
      <c r="G373" s="112" t="s">
        <v>388</v>
      </c>
      <c r="H373" s="112" t="s">
        <v>401</v>
      </c>
      <c r="I373">
        <v>148</v>
      </c>
    </row>
    <row r="374" spans="1:10">
      <c r="A374" s="112" t="s">
        <v>750</v>
      </c>
      <c r="B374" s="112" t="s">
        <v>377</v>
      </c>
      <c r="C374" s="112" t="s">
        <v>378</v>
      </c>
      <c r="D374" s="112" t="s">
        <v>379</v>
      </c>
      <c r="E374">
        <v>6303</v>
      </c>
      <c r="F374" s="112" t="s">
        <v>1184</v>
      </c>
      <c r="G374" s="112" t="s">
        <v>388</v>
      </c>
      <c r="H374" s="112" t="s">
        <v>401</v>
      </c>
      <c r="I374" s="112">
        <v>74</v>
      </c>
      <c r="J374" s="112"/>
    </row>
    <row r="375" spans="1:10">
      <c r="A375" s="112" t="s">
        <v>750</v>
      </c>
      <c r="B375" s="112" t="s">
        <v>377</v>
      </c>
      <c r="C375" s="112" t="s">
        <v>378</v>
      </c>
      <c r="D375" s="112" t="s">
        <v>379</v>
      </c>
      <c r="E375">
        <v>7070</v>
      </c>
      <c r="F375" s="112" t="s">
        <v>762</v>
      </c>
      <c r="G375" s="112" t="s">
        <v>384</v>
      </c>
      <c r="H375" s="112" t="s">
        <v>385</v>
      </c>
      <c r="I375">
        <v>42</v>
      </c>
    </row>
    <row r="376" spans="1:10">
      <c r="A376" s="112" t="s">
        <v>750</v>
      </c>
      <c r="B376" s="112" t="s">
        <v>377</v>
      </c>
      <c r="C376" s="112" t="s">
        <v>378</v>
      </c>
      <c r="D376" s="112" t="s">
        <v>379</v>
      </c>
      <c r="E376">
        <v>7780</v>
      </c>
      <c r="F376" s="112" t="s">
        <v>763</v>
      </c>
      <c r="G376" s="112" t="s">
        <v>380</v>
      </c>
      <c r="H376" s="112" t="s">
        <v>647</v>
      </c>
      <c r="I376" s="112" t="s">
        <v>435</v>
      </c>
      <c r="J376" s="112" t="s">
        <v>1185</v>
      </c>
    </row>
    <row r="377" spans="1:10">
      <c r="A377" s="112" t="s">
        <v>750</v>
      </c>
      <c r="B377" s="112" t="s">
        <v>377</v>
      </c>
      <c r="C377" s="112" t="s">
        <v>378</v>
      </c>
      <c r="D377" s="112" t="s">
        <v>379</v>
      </c>
      <c r="E377">
        <v>9707</v>
      </c>
      <c r="F377" s="112" t="s">
        <v>764</v>
      </c>
      <c r="G377" s="112" t="s">
        <v>384</v>
      </c>
      <c r="H377" s="112" t="s">
        <v>385</v>
      </c>
      <c r="I377" s="112">
        <v>131</v>
      </c>
      <c r="J377" s="112"/>
    </row>
    <row r="378" spans="1:10">
      <c r="A378" s="112" t="s">
        <v>765</v>
      </c>
      <c r="B378" s="112" t="s">
        <v>377</v>
      </c>
      <c r="C378" s="112" t="s">
        <v>378</v>
      </c>
      <c r="D378" s="112" t="s">
        <v>379</v>
      </c>
      <c r="E378">
        <v>2181</v>
      </c>
      <c r="F378" s="112" t="s">
        <v>1022</v>
      </c>
      <c r="G378" s="112" t="s">
        <v>380</v>
      </c>
      <c r="H378" s="112" t="s">
        <v>385</v>
      </c>
      <c r="I378" s="112" t="s">
        <v>531</v>
      </c>
      <c r="J378" s="112" t="s">
        <v>1186</v>
      </c>
    </row>
    <row r="379" spans="1:10">
      <c r="A379" s="112" t="s">
        <v>765</v>
      </c>
      <c r="B379" s="112" t="s">
        <v>377</v>
      </c>
      <c r="C379" s="112" t="s">
        <v>378</v>
      </c>
      <c r="D379" s="112" t="s">
        <v>383</v>
      </c>
      <c r="E379">
        <v>2334</v>
      </c>
      <c r="F379" s="112" t="s">
        <v>1023</v>
      </c>
      <c r="G379" s="112" t="s">
        <v>392</v>
      </c>
      <c r="H379" s="112" t="s">
        <v>385</v>
      </c>
      <c r="I379" s="112">
        <v>53</v>
      </c>
      <c r="J379" s="112"/>
    </row>
    <row r="380" spans="1:10">
      <c r="A380" s="112" t="s">
        <v>765</v>
      </c>
      <c r="B380" s="112" t="s">
        <v>377</v>
      </c>
      <c r="C380" s="112" t="s">
        <v>387</v>
      </c>
      <c r="D380" s="112" t="s">
        <v>379</v>
      </c>
      <c r="E380">
        <v>2492</v>
      </c>
      <c r="F380" s="112" t="s">
        <v>1187</v>
      </c>
      <c r="G380" s="112" t="s">
        <v>380</v>
      </c>
      <c r="H380" s="112" t="s">
        <v>385</v>
      </c>
      <c r="I380" s="112" t="s">
        <v>403</v>
      </c>
      <c r="J380" s="112" t="s">
        <v>1188</v>
      </c>
    </row>
    <row r="381" spans="1:10">
      <c r="A381" s="112" t="s">
        <v>765</v>
      </c>
      <c r="B381" s="112" t="s">
        <v>377</v>
      </c>
      <c r="C381" s="112" t="s">
        <v>389</v>
      </c>
      <c r="D381" s="112" t="s">
        <v>379</v>
      </c>
      <c r="E381">
        <v>3135</v>
      </c>
      <c r="F381" s="112" t="s">
        <v>766</v>
      </c>
      <c r="G381" s="112" t="s">
        <v>392</v>
      </c>
      <c r="H381" s="112" t="s">
        <v>390</v>
      </c>
      <c r="I381" s="112">
        <v>171</v>
      </c>
      <c r="J381" s="112"/>
    </row>
    <row r="382" spans="1:10">
      <c r="A382" s="112" t="s">
        <v>765</v>
      </c>
      <c r="B382" s="112" t="s">
        <v>377</v>
      </c>
      <c r="C382" s="112" t="s">
        <v>378</v>
      </c>
      <c r="D382" s="112" t="s">
        <v>379</v>
      </c>
      <c r="E382">
        <v>3184</v>
      </c>
      <c r="F382" s="112" t="s">
        <v>1189</v>
      </c>
      <c r="G382" s="112" t="s">
        <v>388</v>
      </c>
      <c r="H382" s="112" t="s">
        <v>390</v>
      </c>
      <c r="I382" s="112">
        <v>34</v>
      </c>
      <c r="J382" s="112"/>
    </row>
    <row r="383" spans="1:10">
      <c r="A383" s="112" t="s">
        <v>765</v>
      </c>
      <c r="B383" s="112" t="s">
        <v>377</v>
      </c>
      <c r="C383" s="112" t="s">
        <v>378</v>
      </c>
      <c r="D383" s="112" t="s">
        <v>383</v>
      </c>
      <c r="E383">
        <v>3489</v>
      </c>
      <c r="F383" s="112" t="s">
        <v>1190</v>
      </c>
      <c r="G383" s="112" t="s">
        <v>392</v>
      </c>
      <c r="H383" s="112" t="s">
        <v>406</v>
      </c>
      <c r="I383" s="112">
        <v>64</v>
      </c>
      <c r="J383" s="112"/>
    </row>
    <row r="384" spans="1:10">
      <c r="A384" s="112" t="s">
        <v>765</v>
      </c>
      <c r="B384" s="112" t="s">
        <v>377</v>
      </c>
      <c r="C384" s="112" t="s">
        <v>378</v>
      </c>
      <c r="D384" s="112" t="s">
        <v>379</v>
      </c>
      <c r="E384">
        <v>4620</v>
      </c>
      <c r="F384" s="112" t="s">
        <v>767</v>
      </c>
      <c r="G384" s="112" t="s">
        <v>380</v>
      </c>
      <c r="H384" s="112" t="s">
        <v>393</v>
      </c>
      <c r="I384" s="112">
        <v>186</v>
      </c>
      <c r="J384" s="112"/>
    </row>
    <row r="385" spans="1:10">
      <c r="A385" s="112" t="s">
        <v>765</v>
      </c>
      <c r="B385" s="112" t="s">
        <v>377</v>
      </c>
      <c r="C385" s="112" t="s">
        <v>387</v>
      </c>
      <c r="D385" s="112" t="s">
        <v>379</v>
      </c>
      <c r="E385">
        <v>6141</v>
      </c>
      <c r="F385" s="112" t="s">
        <v>768</v>
      </c>
      <c r="G385" s="112" t="s">
        <v>380</v>
      </c>
      <c r="H385" s="112" t="s">
        <v>401</v>
      </c>
      <c r="I385" s="112" t="s">
        <v>403</v>
      </c>
      <c r="J385" s="112" t="s">
        <v>1191</v>
      </c>
    </row>
    <row r="386" spans="1:10">
      <c r="A386" s="112" t="s">
        <v>765</v>
      </c>
      <c r="B386" s="112" t="s">
        <v>377</v>
      </c>
      <c r="C386" s="112" t="s">
        <v>378</v>
      </c>
      <c r="D386" s="112" t="s">
        <v>379</v>
      </c>
      <c r="E386">
        <v>6247</v>
      </c>
      <c r="F386" s="112" t="s">
        <v>769</v>
      </c>
      <c r="G386" s="112" t="s">
        <v>380</v>
      </c>
      <c r="H386" s="112" t="s">
        <v>401</v>
      </c>
      <c r="I386">
        <v>326</v>
      </c>
    </row>
    <row r="387" spans="1:10">
      <c r="A387" s="112" t="s">
        <v>765</v>
      </c>
      <c r="B387" s="112" t="s">
        <v>377</v>
      </c>
      <c r="C387" s="112" t="s">
        <v>378</v>
      </c>
      <c r="D387" s="112" t="s">
        <v>379</v>
      </c>
      <c r="E387">
        <v>7199</v>
      </c>
      <c r="F387" s="112" t="s">
        <v>770</v>
      </c>
      <c r="G387" s="112" t="s">
        <v>380</v>
      </c>
      <c r="H387" s="112" t="s">
        <v>452</v>
      </c>
      <c r="I387">
        <v>308</v>
      </c>
    </row>
    <row r="388" spans="1:10">
      <c r="A388" s="112" t="s">
        <v>771</v>
      </c>
      <c r="B388" s="112" t="s">
        <v>377</v>
      </c>
      <c r="C388" s="112" t="s">
        <v>387</v>
      </c>
      <c r="D388" s="112" t="s">
        <v>383</v>
      </c>
      <c r="E388">
        <v>8985</v>
      </c>
      <c r="F388" s="112" t="s">
        <v>772</v>
      </c>
      <c r="G388" s="112" t="s">
        <v>467</v>
      </c>
      <c r="H388" s="112" t="s">
        <v>468</v>
      </c>
      <c r="I388" s="112" t="s">
        <v>620</v>
      </c>
      <c r="J388" s="112" t="s">
        <v>1192</v>
      </c>
    </row>
    <row r="389" spans="1:10">
      <c r="A389" s="112" t="s">
        <v>1193</v>
      </c>
      <c r="B389" s="112" t="s">
        <v>377</v>
      </c>
      <c r="C389" s="112" t="s">
        <v>378</v>
      </c>
      <c r="D389" s="112" t="s">
        <v>379</v>
      </c>
      <c r="E389">
        <v>2593</v>
      </c>
      <c r="F389" s="112" t="s">
        <v>396</v>
      </c>
      <c r="G389" s="112" t="s">
        <v>380</v>
      </c>
      <c r="H389" s="112" t="s">
        <v>381</v>
      </c>
      <c r="I389" s="112" t="s">
        <v>531</v>
      </c>
      <c r="J389" s="112" t="s">
        <v>1194</v>
      </c>
    </row>
    <row r="390" spans="1:10">
      <c r="A390" s="112" t="s">
        <v>1193</v>
      </c>
      <c r="B390" s="112" t="s">
        <v>377</v>
      </c>
      <c r="C390" s="112" t="s">
        <v>389</v>
      </c>
      <c r="D390" s="112" t="s">
        <v>379</v>
      </c>
      <c r="E390">
        <v>6267</v>
      </c>
      <c r="F390" s="112" t="s">
        <v>400</v>
      </c>
      <c r="G390" s="112" t="s">
        <v>384</v>
      </c>
      <c r="H390" s="112" t="s">
        <v>401</v>
      </c>
      <c r="I390" s="112">
        <v>36</v>
      </c>
      <c r="J390" s="112"/>
    </row>
    <row r="391" spans="1:10">
      <c r="A391" s="112" t="s">
        <v>1195</v>
      </c>
      <c r="B391" s="112" t="s">
        <v>377</v>
      </c>
      <c r="C391" s="112" t="s">
        <v>378</v>
      </c>
      <c r="D391" s="112" t="s">
        <v>379</v>
      </c>
      <c r="E391">
        <v>4750</v>
      </c>
      <c r="F391" s="112" t="s">
        <v>394</v>
      </c>
      <c r="G391" s="112" t="s">
        <v>388</v>
      </c>
      <c r="H391" s="112" t="s">
        <v>385</v>
      </c>
      <c r="I391">
        <v>52</v>
      </c>
    </row>
    <row r="392" spans="1:10">
      <c r="A392" s="112" t="s">
        <v>773</v>
      </c>
      <c r="B392" s="112" t="s">
        <v>377</v>
      </c>
      <c r="C392" s="112" t="s">
        <v>378</v>
      </c>
      <c r="D392" s="112" t="s">
        <v>383</v>
      </c>
      <c r="E392">
        <v>1723</v>
      </c>
      <c r="F392" s="112" t="s">
        <v>774</v>
      </c>
      <c r="G392" s="112" t="s">
        <v>384</v>
      </c>
      <c r="H392" s="112" t="s">
        <v>414</v>
      </c>
      <c r="I392">
        <v>250</v>
      </c>
    </row>
    <row r="393" spans="1:10">
      <c r="A393" s="112" t="s">
        <v>773</v>
      </c>
      <c r="B393" s="112" t="s">
        <v>377</v>
      </c>
      <c r="C393" s="112" t="s">
        <v>378</v>
      </c>
      <c r="D393" s="112" t="s">
        <v>379</v>
      </c>
      <c r="E393">
        <v>1941</v>
      </c>
      <c r="F393" s="112" t="s">
        <v>775</v>
      </c>
      <c r="G393" s="112" t="s">
        <v>380</v>
      </c>
      <c r="H393" s="112" t="s">
        <v>414</v>
      </c>
      <c r="I393" s="112" t="s">
        <v>435</v>
      </c>
      <c r="J393" s="112" t="s">
        <v>1196</v>
      </c>
    </row>
    <row r="394" spans="1:10">
      <c r="A394" s="112" t="s">
        <v>773</v>
      </c>
      <c r="B394" s="112" t="s">
        <v>377</v>
      </c>
      <c r="C394" s="112" t="s">
        <v>378</v>
      </c>
      <c r="D394" s="112" t="s">
        <v>379</v>
      </c>
      <c r="E394">
        <v>1946</v>
      </c>
      <c r="F394" s="112" t="s">
        <v>776</v>
      </c>
      <c r="G394" s="112" t="s">
        <v>380</v>
      </c>
      <c r="H394" s="112" t="s">
        <v>414</v>
      </c>
      <c r="I394" s="112">
        <v>703</v>
      </c>
      <c r="J394" s="112"/>
    </row>
    <row r="395" spans="1:10">
      <c r="A395" s="112" t="s">
        <v>773</v>
      </c>
      <c r="B395" s="112" t="s">
        <v>377</v>
      </c>
      <c r="C395" s="112" t="s">
        <v>378</v>
      </c>
      <c r="D395" s="112" t="s">
        <v>379</v>
      </c>
      <c r="E395">
        <v>1959</v>
      </c>
      <c r="F395" s="112" t="s">
        <v>777</v>
      </c>
      <c r="G395" s="112" t="s">
        <v>380</v>
      </c>
      <c r="H395" s="112" t="s">
        <v>414</v>
      </c>
      <c r="I395" s="112" t="s">
        <v>403</v>
      </c>
      <c r="J395" s="112" t="s">
        <v>997</v>
      </c>
    </row>
    <row r="396" spans="1:10">
      <c r="A396" s="112" t="s">
        <v>773</v>
      </c>
      <c r="B396" s="112" t="s">
        <v>377</v>
      </c>
      <c r="C396" s="112" t="s">
        <v>378</v>
      </c>
      <c r="D396" s="112" t="s">
        <v>379</v>
      </c>
      <c r="E396">
        <v>2148</v>
      </c>
      <c r="F396" s="112" t="s">
        <v>1024</v>
      </c>
      <c r="G396" s="112" t="s">
        <v>380</v>
      </c>
      <c r="H396" s="112" t="s">
        <v>385</v>
      </c>
      <c r="I396">
        <v>157</v>
      </c>
    </row>
    <row r="397" spans="1:10">
      <c r="A397" s="112" t="s">
        <v>773</v>
      </c>
      <c r="B397" s="112" t="s">
        <v>377</v>
      </c>
      <c r="C397" s="112" t="s">
        <v>378</v>
      </c>
      <c r="D397" s="112" t="s">
        <v>379</v>
      </c>
      <c r="E397">
        <v>2326</v>
      </c>
      <c r="F397" s="112" t="s">
        <v>1025</v>
      </c>
      <c r="G397" s="112" t="s">
        <v>380</v>
      </c>
      <c r="H397" s="112" t="s">
        <v>391</v>
      </c>
      <c r="I397">
        <v>832</v>
      </c>
    </row>
    <row r="398" spans="1:10">
      <c r="A398" s="112" t="s">
        <v>773</v>
      </c>
      <c r="B398" s="112" t="s">
        <v>377</v>
      </c>
      <c r="C398" s="112" t="s">
        <v>378</v>
      </c>
      <c r="D398" s="112" t="s">
        <v>383</v>
      </c>
      <c r="E398">
        <v>2332</v>
      </c>
      <c r="F398" s="112" t="s">
        <v>778</v>
      </c>
      <c r="G398" s="112" t="s">
        <v>384</v>
      </c>
      <c r="H398" s="112" t="s">
        <v>391</v>
      </c>
      <c r="I398" s="112">
        <v>62</v>
      </c>
      <c r="J398" s="112"/>
    </row>
    <row r="399" spans="1:10">
      <c r="A399" s="112" t="s">
        <v>773</v>
      </c>
      <c r="B399" s="112" t="s">
        <v>377</v>
      </c>
      <c r="C399" s="112" t="s">
        <v>378</v>
      </c>
      <c r="D399" s="112" t="s">
        <v>379</v>
      </c>
      <c r="E399">
        <v>3116</v>
      </c>
      <c r="F399" s="112" t="s">
        <v>1197</v>
      </c>
      <c r="G399" s="112" t="s">
        <v>380</v>
      </c>
      <c r="H399" s="112" t="s">
        <v>431</v>
      </c>
      <c r="I399" s="112" t="s">
        <v>620</v>
      </c>
      <c r="J399" s="112" t="s">
        <v>1198</v>
      </c>
    </row>
    <row r="400" spans="1:10">
      <c r="A400" s="112" t="s">
        <v>773</v>
      </c>
      <c r="B400" s="112" t="s">
        <v>377</v>
      </c>
      <c r="C400" s="112" t="s">
        <v>378</v>
      </c>
      <c r="D400" s="112" t="s">
        <v>379</v>
      </c>
      <c r="E400">
        <v>3132</v>
      </c>
      <c r="F400" s="112" t="s">
        <v>1199</v>
      </c>
      <c r="G400" s="112" t="s">
        <v>380</v>
      </c>
      <c r="H400" s="112" t="s">
        <v>386</v>
      </c>
      <c r="I400" s="112" t="s">
        <v>435</v>
      </c>
      <c r="J400" s="112" t="s">
        <v>1200</v>
      </c>
    </row>
    <row r="401" spans="1:10">
      <c r="A401" s="112" t="s">
        <v>773</v>
      </c>
      <c r="B401" s="112" t="s">
        <v>377</v>
      </c>
      <c r="C401" s="112" t="s">
        <v>378</v>
      </c>
      <c r="D401" s="112" t="s">
        <v>383</v>
      </c>
      <c r="E401">
        <v>3177</v>
      </c>
      <c r="F401" s="112" t="s">
        <v>779</v>
      </c>
      <c r="G401" s="112" t="s">
        <v>384</v>
      </c>
      <c r="H401" s="112" t="s">
        <v>390</v>
      </c>
      <c r="I401" s="112">
        <v>22</v>
      </c>
      <c r="J401" s="112"/>
    </row>
    <row r="402" spans="1:10">
      <c r="A402" s="112" t="s">
        <v>773</v>
      </c>
      <c r="B402" s="112" t="s">
        <v>377</v>
      </c>
      <c r="C402" s="112" t="s">
        <v>378</v>
      </c>
      <c r="D402" s="112" t="s">
        <v>379</v>
      </c>
      <c r="E402">
        <v>3231</v>
      </c>
      <c r="F402" s="112" t="s">
        <v>780</v>
      </c>
      <c r="G402" s="112" t="s">
        <v>380</v>
      </c>
      <c r="H402" s="112" t="s">
        <v>406</v>
      </c>
      <c r="I402" s="112" t="s">
        <v>397</v>
      </c>
      <c r="J402" s="112" t="s">
        <v>1201</v>
      </c>
    </row>
    <row r="403" spans="1:10">
      <c r="A403" s="112" t="s">
        <v>773</v>
      </c>
      <c r="B403" s="112" t="s">
        <v>377</v>
      </c>
      <c r="C403" s="112" t="s">
        <v>378</v>
      </c>
      <c r="D403" s="112" t="s">
        <v>383</v>
      </c>
      <c r="E403">
        <v>3564</v>
      </c>
      <c r="F403" s="112" t="s">
        <v>1202</v>
      </c>
      <c r="G403" s="112" t="s">
        <v>380</v>
      </c>
      <c r="H403" s="112" t="s">
        <v>390</v>
      </c>
      <c r="I403">
        <v>867</v>
      </c>
    </row>
    <row r="404" spans="1:10">
      <c r="A404" s="112" t="s">
        <v>773</v>
      </c>
      <c r="B404" s="112" t="s">
        <v>377</v>
      </c>
      <c r="C404" s="112" t="s">
        <v>378</v>
      </c>
      <c r="D404" s="112" t="s">
        <v>383</v>
      </c>
      <c r="E404">
        <v>3658</v>
      </c>
      <c r="F404" s="112" t="s">
        <v>1203</v>
      </c>
      <c r="G404" s="112" t="s">
        <v>380</v>
      </c>
      <c r="H404" s="112" t="s">
        <v>391</v>
      </c>
      <c r="I404">
        <v>112</v>
      </c>
    </row>
    <row r="405" spans="1:10">
      <c r="A405" s="112" t="s">
        <v>773</v>
      </c>
      <c r="B405" s="112" t="s">
        <v>377</v>
      </c>
      <c r="C405" s="112" t="s">
        <v>378</v>
      </c>
      <c r="D405" s="112" t="s">
        <v>379</v>
      </c>
      <c r="E405">
        <v>3778</v>
      </c>
      <c r="F405" s="112" t="s">
        <v>1204</v>
      </c>
      <c r="G405" s="112" t="s">
        <v>380</v>
      </c>
      <c r="H405" s="112" t="s">
        <v>391</v>
      </c>
      <c r="I405">
        <v>251</v>
      </c>
    </row>
    <row r="406" spans="1:10">
      <c r="A406" s="112" t="s">
        <v>773</v>
      </c>
      <c r="B406" s="112" t="s">
        <v>377</v>
      </c>
      <c r="C406" s="112" t="s">
        <v>378</v>
      </c>
      <c r="D406" s="112" t="s">
        <v>383</v>
      </c>
      <c r="E406">
        <v>4333</v>
      </c>
      <c r="F406" s="112" t="s">
        <v>781</v>
      </c>
      <c r="G406" s="112" t="s">
        <v>380</v>
      </c>
      <c r="H406" s="112" t="s">
        <v>391</v>
      </c>
      <c r="I406">
        <v>133</v>
      </c>
    </row>
    <row r="407" spans="1:10">
      <c r="A407" s="112" t="s">
        <v>773</v>
      </c>
      <c r="B407" s="112" t="s">
        <v>377</v>
      </c>
      <c r="C407" s="112" t="s">
        <v>382</v>
      </c>
      <c r="D407" s="112" t="s">
        <v>383</v>
      </c>
      <c r="E407">
        <v>4393</v>
      </c>
      <c r="F407" s="112" t="s">
        <v>782</v>
      </c>
      <c r="G407" s="112" t="s">
        <v>392</v>
      </c>
      <c r="H407" s="112" t="s">
        <v>391</v>
      </c>
      <c r="I407" s="112">
        <v>115</v>
      </c>
      <c r="J407" s="112"/>
    </row>
    <row r="408" spans="1:10">
      <c r="A408" s="112" t="s">
        <v>773</v>
      </c>
      <c r="B408" s="112" t="s">
        <v>377</v>
      </c>
      <c r="C408" s="112" t="s">
        <v>378</v>
      </c>
      <c r="D408" s="112" t="s">
        <v>379</v>
      </c>
      <c r="E408">
        <v>4557</v>
      </c>
      <c r="F408" s="112" t="s">
        <v>783</v>
      </c>
      <c r="G408" s="112" t="s">
        <v>384</v>
      </c>
      <c r="H408" s="112" t="s">
        <v>502</v>
      </c>
      <c r="I408">
        <v>234</v>
      </c>
    </row>
    <row r="409" spans="1:10">
      <c r="A409" s="112" t="s">
        <v>773</v>
      </c>
      <c r="B409" s="112" t="s">
        <v>377</v>
      </c>
      <c r="C409" s="112" t="s">
        <v>378</v>
      </c>
      <c r="D409" s="112" t="s">
        <v>379</v>
      </c>
      <c r="E409">
        <v>4684</v>
      </c>
      <c r="F409" s="112" t="s">
        <v>784</v>
      </c>
      <c r="G409" s="112" t="s">
        <v>380</v>
      </c>
      <c r="H409" s="112" t="s">
        <v>391</v>
      </c>
      <c r="I409" s="112" t="s">
        <v>785</v>
      </c>
      <c r="J409" s="112" t="s">
        <v>1205</v>
      </c>
    </row>
    <row r="410" spans="1:10">
      <c r="A410" s="112" t="s">
        <v>773</v>
      </c>
      <c r="B410" s="112" t="s">
        <v>377</v>
      </c>
      <c r="C410" s="112" t="s">
        <v>378</v>
      </c>
      <c r="D410" s="112" t="s">
        <v>379</v>
      </c>
      <c r="E410">
        <v>4689</v>
      </c>
      <c r="F410" s="112" t="s">
        <v>786</v>
      </c>
      <c r="G410" s="112" t="s">
        <v>380</v>
      </c>
      <c r="H410" s="112" t="s">
        <v>391</v>
      </c>
      <c r="I410" s="112" t="s">
        <v>787</v>
      </c>
      <c r="J410" s="112" t="s">
        <v>1206</v>
      </c>
    </row>
    <row r="411" spans="1:10">
      <c r="A411" s="112" t="s">
        <v>773</v>
      </c>
      <c r="B411" s="112" t="s">
        <v>377</v>
      </c>
      <c r="C411" s="112" t="s">
        <v>378</v>
      </c>
      <c r="D411" s="112" t="s">
        <v>383</v>
      </c>
      <c r="E411">
        <v>6022</v>
      </c>
      <c r="F411" s="112" t="s">
        <v>788</v>
      </c>
      <c r="G411" s="112" t="s">
        <v>388</v>
      </c>
      <c r="H411" s="112" t="s">
        <v>401</v>
      </c>
      <c r="I411">
        <v>28</v>
      </c>
    </row>
    <row r="412" spans="1:10">
      <c r="A412" s="112" t="s">
        <v>773</v>
      </c>
      <c r="B412" s="112" t="s">
        <v>377</v>
      </c>
      <c r="C412" s="112" t="s">
        <v>378</v>
      </c>
      <c r="D412" s="112" t="s">
        <v>379</v>
      </c>
      <c r="E412">
        <v>6201</v>
      </c>
      <c r="F412" s="112" t="s">
        <v>789</v>
      </c>
      <c r="G412" s="112" t="s">
        <v>380</v>
      </c>
      <c r="H412" s="112" t="s">
        <v>431</v>
      </c>
      <c r="I412" s="112" t="s">
        <v>1207</v>
      </c>
      <c r="J412" s="112" t="s">
        <v>1208</v>
      </c>
    </row>
    <row r="413" spans="1:10">
      <c r="A413" s="112" t="s">
        <v>773</v>
      </c>
      <c r="B413" s="112" t="s">
        <v>377</v>
      </c>
      <c r="C413" s="112" t="s">
        <v>378</v>
      </c>
      <c r="D413" s="112" t="s">
        <v>379</v>
      </c>
      <c r="E413">
        <v>6301</v>
      </c>
      <c r="F413" s="112" t="s">
        <v>791</v>
      </c>
      <c r="G413" s="112" t="s">
        <v>380</v>
      </c>
      <c r="H413" s="112" t="s">
        <v>401</v>
      </c>
      <c r="I413" s="112" t="s">
        <v>1209</v>
      </c>
      <c r="J413" s="112" t="s">
        <v>1210</v>
      </c>
    </row>
    <row r="414" spans="1:10">
      <c r="A414" s="112" t="s">
        <v>773</v>
      </c>
      <c r="B414" s="112" t="s">
        <v>377</v>
      </c>
      <c r="C414" s="112" t="s">
        <v>378</v>
      </c>
      <c r="D414" s="112" t="s">
        <v>379</v>
      </c>
      <c r="E414">
        <v>6395</v>
      </c>
      <c r="F414" s="112" t="s">
        <v>792</v>
      </c>
      <c r="G414" s="112" t="s">
        <v>380</v>
      </c>
      <c r="H414" s="112" t="s">
        <v>401</v>
      </c>
      <c r="I414" s="112" t="s">
        <v>435</v>
      </c>
      <c r="J414" s="112" t="s">
        <v>1211</v>
      </c>
    </row>
    <row r="415" spans="1:10">
      <c r="A415" s="112" t="s">
        <v>773</v>
      </c>
      <c r="B415" s="112" t="s">
        <v>377</v>
      </c>
      <c r="C415" s="112" t="s">
        <v>378</v>
      </c>
      <c r="D415" s="112" t="s">
        <v>379</v>
      </c>
      <c r="E415">
        <v>6645</v>
      </c>
      <c r="F415" s="112" t="s">
        <v>794</v>
      </c>
      <c r="G415" s="112" t="s">
        <v>380</v>
      </c>
      <c r="H415" s="112" t="s">
        <v>405</v>
      </c>
      <c r="I415" s="112" t="s">
        <v>759</v>
      </c>
      <c r="J415" s="112" t="s">
        <v>801</v>
      </c>
    </row>
    <row r="416" spans="1:10">
      <c r="A416" s="112" t="s">
        <v>773</v>
      </c>
      <c r="B416" s="112" t="s">
        <v>377</v>
      </c>
      <c r="C416" s="112" t="s">
        <v>378</v>
      </c>
      <c r="D416" s="112" t="s">
        <v>379</v>
      </c>
      <c r="E416">
        <v>6788</v>
      </c>
      <c r="F416" s="112" t="s">
        <v>795</v>
      </c>
      <c r="G416" s="112" t="s">
        <v>380</v>
      </c>
      <c r="H416" s="112" t="s">
        <v>405</v>
      </c>
      <c r="I416">
        <v>419</v>
      </c>
    </row>
    <row r="417" spans="1:10">
      <c r="A417" s="112" t="s">
        <v>773</v>
      </c>
      <c r="B417" s="112" t="s">
        <v>377</v>
      </c>
      <c r="C417" s="112" t="s">
        <v>378</v>
      </c>
      <c r="D417" s="112" t="s">
        <v>379</v>
      </c>
      <c r="E417">
        <v>7278</v>
      </c>
      <c r="F417" s="112" t="s">
        <v>796</v>
      </c>
      <c r="G417" s="112" t="s">
        <v>380</v>
      </c>
      <c r="H417" s="112" t="s">
        <v>431</v>
      </c>
      <c r="I417" s="112" t="s">
        <v>435</v>
      </c>
      <c r="J417" s="112" t="s">
        <v>1212</v>
      </c>
    </row>
    <row r="418" spans="1:10">
      <c r="A418" s="112" t="s">
        <v>773</v>
      </c>
      <c r="B418" s="112" t="s">
        <v>377</v>
      </c>
      <c r="C418" s="112" t="s">
        <v>389</v>
      </c>
      <c r="D418" s="112" t="s">
        <v>383</v>
      </c>
      <c r="E418">
        <v>7500</v>
      </c>
      <c r="F418" s="112" t="s">
        <v>1213</v>
      </c>
      <c r="G418" s="112" t="s">
        <v>384</v>
      </c>
      <c r="H418" s="112" t="s">
        <v>386</v>
      </c>
      <c r="I418">
        <v>147</v>
      </c>
    </row>
    <row r="419" spans="1:10">
      <c r="A419" s="112" t="s">
        <v>773</v>
      </c>
      <c r="B419" s="112" t="s">
        <v>377</v>
      </c>
      <c r="C419" s="112" t="s">
        <v>378</v>
      </c>
      <c r="D419" s="112" t="s">
        <v>379</v>
      </c>
      <c r="E419">
        <v>7995</v>
      </c>
      <c r="F419" s="112" t="s">
        <v>797</v>
      </c>
      <c r="G419" s="112" t="s">
        <v>380</v>
      </c>
      <c r="H419" s="112" t="s">
        <v>393</v>
      </c>
      <c r="I419">
        <v>488</v>
      </c>
    </row>
    <row r="420" spans="1:10">
      <c r="A420" s="112" t="s">
        <v>773</v>
      </c>
      <c r="B420" s="112" t="s">
        <v>377</v>
      </c>
      <c r="C420" s="112" t="s">
        <v>378</v>
      </c>
      <c r="D420" s="112" t="s">
        <v>379</v>
      </c>
      <c r="E420">
        <v>8242</v>
      </c>
      <c r="F420" s="112" t="s">
        <v>798</v>
      </c>
      <c r="G420" s="112" t="s">
        <v>380</v>
      </c>
      <c r="H420" s="112" t="s">
        <v>390</v>
      </c>
      <c r="I420" s="112" t="s">
        <v>435</v>
      </c>
      <c r="J420" s="112" t="s">
        <v>1214</v>
      </c>
    </row>
    <row r="421" spans="1:10">
      <c r="A421" s="112" t="s">
        <v>773</v>
      </c>
      <c r="B421" s="112" t="s">
        <v>377</v>
      </c>
      <c r="C421" s="112" t="s">
        <v>378</v>
      </c>
      <c r="D421" s="112" t="s">
        <v>379</v>
      </c>
      <c r="E421">
        <v>8304</v>
      </c>
      <c r="F421" s="112" t="s">
        <v>799</v>
      </c>
      <c r="G421" s="112" t="s">
        <v>380</v>
      </c>
      <c r="H421" s="112" t="s">
        <v>800</v>
      </c>
      <c r="I421" s="112" t="s">
        <v>620</v>
      </c>
      <c r="J421" s="112" t="s">
        <v>1215</v>
      </c>
    </row>
    <row r="422" spans="1:10">
      <c r="A422" s="112" t="s">
        <v>773</v>
      </c>
      <c r="B422" s="112" t="s">
        <v>377</v>
      </c>
      <c r="C422" s="112" t="s">
        <v>378</v>
      </c>
      <c r="D422" s="112" t="s">
        <v>379</v>
      </c>
      <c r="E422">
        <v>9202</v>
      </c>
      <c r="F422" s="112" t="s">
        <v>802</v>
      </c>
      <c r="G422" s="112" t="s">
        <v>380</v>
      </c>
      <c r="H422" s="112" t="s">
        <v>803</v>
      </c>
      <c r="I422" s="112" t="s">
        <v>886</v>
      </c>
      <c r="J422" s="112" t="s">
        <v>1216</v>
      </c>
    </row>
    <row r="423" spans="1:10">
      <c r="A423" s="112" t="s">
        <v>773</v>
      </c>
      <c r="B423" s="112" t="s">
        <v>377</v>
      </c>
      <c r="C423" s="112" t="s">
        <v>378</v>
      </c>
      <c r="D423" s="112" t="s">
        <v>379</v>
      </c>
      <c r="E423">
        <v>9474</v>
      </c>
      <c r="F423" s="112" t="s">
        <v>804</v>
      </c>
      <c r="G423" s="112" t="s">
        <v>380</v>
      </c>
      <c r="H423" s="112" t="s">
        <v>391</v>
      </c>
      <c r="I423" s="112" t="s">
        <v>435</v>
      </c>
      <c r="J423" s="112" t="s">
        <v>1016</v>
      </c>
    </row>
    <row r="424" spans="1:10">
      <c r="A424" s="112" t="s">
        <v>773</v>
      </c>
      <c r="B424" s="112" t="s">
        <v>377</v>
      </c>
      <c r="C424" s="112" t="s">
        <v>378</v>
      </c>
      <c r="D424" s="112" t="s">
        <v>379</v>
      </c>
      <c r="E424">
        <v>9502</v>
      </c>
      <c r="F424" s="112" t="s">
        <v>805</v>
      </c>
      <c r="G424" s="112" t="s">
        <v>380</v>
      </c>
      <c r="H424" s="112" t="s">
        <v>806</v>
      </c>
      <c r="I424" s="112" t="s">
        <v>807</v>
      </c>
      <c r="J424" s="112" t="s">
        <v>1217</v>
      </c>
    </row>
    <row r="425" spans="1:10">
      <c r="A425" s="112" t="s">
        <v>773</v>
      </c>
      <c r="B425" s="112" t="s">
        <v>377</v>
      </c>
      <c r="C425" s="112" t="s">
        <v>378</v>
      </c>
      <c r="D425" s="112" t="s">
        <v>379</v>
      </c>
      <c r="E425">
        <v>9504</v>
      </c>
      <c r="F425" s="112" t="s">
        <v>808</v>
      </c>
      <c r="G425" s="112" t="s">
        <v>380</v>
      </c>
      <c r="H425" s="112" t="s">
        <v>806</v>
      </c>
      <c r="I425" s="112" t="s">
        <v>397</v>
      </c>
      <c r="J425" s="112" t="s">
        <v>1183</v>
      </c>
    </row>
    <row r="426" spans="1:10">
      <c r="A426" s="112" t="s">
        <v>773</v>
      </c>
      <c r="B426" s="112" t="s">
        <v>377</v>
      </c>
      <c r="C426" s="112" t="s">
        <v>378</v>
      </c>
      <c r="D426" s="112" t="s">
        <v>379</v>
      </c>
      <c r="E426">
        <v>9531</v>
      </c>
      <c r="F426" s="112" t="s">
        <v>809</v>
      </c>
      <c r="G426" s="112" t="s">
        <v>380</v>
      </c>
      <c r="H426" s="112" t="s">
        <v>806</v>
      </c>
      <c r="I426" s="112" t="s">
        <v>807</v>
      </c>
      <c r="J426" s="112" t="s">
        <v>1218</v>
      </c>
    </row>
    <row r="427" spans="1:10">
      <c r="A427" s="112" t="s">
        <v>773</v>
      </c>
      <c r="B427" s="112" t="s">
        <v>377</v>
      </c>
      <c r="C427" s="112" t="s">
        <v>378</v>
      </c>
      <c r="D427" s="112" t="s">
        <v>379</v>
      </c>
      <c r="E427">
        <v>9719</v>
      </c>
      <c r="F427" s="112" t="s">
        <v>810</v>
      </c>
      <c r="G427" s="112" t="s">
        <v>380</v>
      </c>
      <c r="H427" s="112" t="s">
        <v>391</v>
      </c>
      <c r="I427" s="112" t="s">
        <v>590</v>
      </c>
      <c r="J427" s="112" t="s">
        <v>1219</v>
      </c>
    </row>
    <row r="428" spans="1:10">
      <c r="A428" s="112" t="s">
        <v>773</v>
      </c>
      <c r="B428" s="112" t="s">
        <v>377</v>
      </c>
      <c r="C428" s="112" t="s">
        <v>378</v>
      </c>
      <c r="D428" s="112" t="s">
        <v>379</v>
      </c>
      <c r="E428">
        <v>9936</v>
      </c>
      <c r="F428" s="112" t="s">
        <v>811</v>
      </c>
      <c r="G428" s="112" t="s">
        <v>380</v>
      </c>
      <c r="H428" s="112" t="s">
        <v>390</v>
      </c>
      <c r="I428" s="112" t="s">
        <v>435</v>
      </c>
      <c r="J428" s="112" t="s">
        <v>1220</v>
      </c>
    </row>
    <row r="429" spans="1:10">
      <c r="A429" s="112" t="s">
        <v>813</v>
      </c>
      <c r="B429" s="112" t="s">
        <v>377</v>
      </c>
      <c r="C429" s="112" t="s">
        <v>389</v>
      </c>
      <c r="D429" s="112" t="s">
        <v>383</v>
      </c>
      <c r="E429">
        <v>1430</v>
      </c>
      <c r="F429" s="112" t="s">
        <v>814</v>
      </c>
      <c r="G429" s="112" t="s">
        <v>380</v>
      </c>
      <c r="H429" s="112" t="s">
        <v>414</v>
      </c>
      <c r="I429">
        <v>87</v>
      </c>
    </row>
    <row r="430" spans="1:10">
      <c r="A430" s="112" t="s">
        <v>813</v>
      </c>
      <c r="B430" s="112" t="s">
        <v>377</v>
      </c>
      <c r="C430" s="112" t="s">
        <v>387</v>
      </c>
      <c r="D430" s="112" t="s">
        <v>379</v>
      </c>
      <c r="E430">
        <v>2734</v>
      </c>
      <c r="F430" s="112" t="s">
        <v>815</v>
      </c>
      <c r="G430" s="112" t="s">
        <v>380</v>
      </c>
      <c r="H430" s="112" t="s">
        <v>390</v>
      </c>
      <c r="I430">
        <v>411</v>
      </c>
    </row>
    <row r="431" spans="1:10">
      <c r="A431" s="112" t="s">
        <v>813</v>
      </c>
      <c r="B431" s="112" t="s">
        <v>377</v>
      </c>
      <c r="C431" s="112" t="s">
        <v>382</v>
      </c>
      <c r="D431" s="112" t="s">
        <v>379</v>
      </c>
      <c r="E431">
        <v>3168</v>
      </c>
      <c r="F431" s="112" t="s">
        <v>816</v>
      </c>
      <c r="G431" s="112" t="s">
        <v>380</v>
      </c>
      <c r="H431" s="112" t="s">
        <v>386</v>
      </c>
      <c r="I431">
        <v>65</v>
      </c>
    </row>
    <row r="432" spans="1:10">
      <c r="A432" s="112" t="s">
        <v>813</v>
      </c>
      <c r="B432" s="112" t="s">
        <v>377</v>
      </c>
      <c r="C432" s="112" t="s">
        <v>387</v>
      </c>
      <c r="D432" s="112" t="s">
        <v>379</v>
      </c>
      <c r="E432">
        <v>3186</v>
      </c>
      <c r="F432" s="112" t="s">
        <v>817</v>
      </c>
      <c r="G432" s="112" t="s">
        <v>380</v>
      </c>
      <c r="H432" s="112" t="s">
        <v>390</v>
      </c>
      <c r="I432">
        <v>893</v>
      </c>
    </row>
    <row r="433" spans="1:10">
      <c r="A433" s="112" t="s">
        <v>813</v>
      </c>
      <c r="B433" s="112" t="s">
        <v>377</v>
      </c>
      <c r="C433" s="112" t="s">
        <v>378</v>
      </c>
      <c r="D433" s="112" t="s">
        <v>379</v>
      </c>
      <c r="E433">
        <v>3353</v>
      </c>
      <c r="F433" s="112" t="s">
        <v>818</v>
      </c>
      <c r="G433" s="112" t="s">
        <v>384</v>
      </c>
      <c r="H433" s="112" t="s">
        <v>390</v>
      </c>
      <c r="I433" s="112">
        <v>183</v>
      </c>
      <c r="J433" s="112"/>
    </row>
    <row r="434" spans="1:10">
      <c r="A434" s="112" t="s">
        <v>813</v>
      </c>
      <c r="B434" s="112" t="s">
        <v>377</v>
      </c>
      <c r="C434" s="112" t="s">
        <v>378</v>
      </c>
      <c r="D434" s="112" t="s">
        <v>379</v>
      </c>
      <c r="E434">
        <v>3382</v>
      </c>
      <c r="F434" s="112" t="s">
        <v>819</v>
      </c>
      <c r="G434" s="112" t="s">
        <v>380</v>
      </c>
      <c r="H434" s="112" t="s">
        <v>390</v>
      </c>
      <c r="I434" s="112" t="s">
        <v>820</v>
      </c>
      <c r="J434" s="112" t="s">
        <v>998</v>
      </c>
    </row>
    <row r="435" spans="1:10">
      <c r="A435" s="112" t="s">
        <v>813</v>
      </c>
      <c r="B435" s="112" t="s">
        <v>377</v>
      </c>
      <c r="C435" s="112" t="s">
        <v>387</v>
      </c>
      <c r="D435" s="112" t="s">
        <v>379</v>
      </c>
      <c r="E435">
        <v>3454</v>
      </c>
      <c r="F435" s="112" t="s">
        <v>821</v>
      </c>
      <c r="G435" s="112" t="s">
        <v>380</v>
      </c>
      <c r="H435" s="112" t="s">
        <v>406</v>
      </c>
      <c r="I435" s="112">
        <v>184</v>
      </c>
      <c r="J435" s="112"/>
    </row>
    <row r="436" spans="1:10">
      <c r="A436" s="112" t="s">
        <v>813</v>
      </c>
      <c r="B436" s="112" t="s">
        <v>377</v>
      </c>
      <c r="C436" s="112" t="s">
        <v>378</v>
      </c>
      <c r="D436" s="112" t="s">
        <v>379</v>
      </c>
      <c r="E436">
        <v>4429</v>
      </c>
      <c r="F436" s="112" t="s">
        <v>822</v>
      </c>
      <c r="G436" s="112" t="s">
        <v>392</v>
      </c>
      <c r="H436" s="112" t="s">
        <v>391</v>
      </c>
      <c r="I436">
        <v>242</v>
      </c>
    </row>
    <row r="437" spans="1:10">
      <c r="A437" s="112" t="s">
        <v>813</v>
      </c>
      <c r="B437" s="112" t="s">
        <v>377</v>
      </c>
      <c r="C437" s="112" t="s">
        <v>389</v>
      </c>
      <c r="D437" s="112" t="s">
        <v>383</v>
      </c>
      <c r="E437">
        <v>4430</v>
      </c>
      <c r="F437" s="112" t="s">
        <v>823</v>
      </c>
      <c r="G437" s="112" t="s">
        <v>388</v>
      </c>
      <c r="H437" s="112" t="s">
        <v>391</v>
      </c>
      <c r="I437">
        <v>54</v>
      </c>
    </row>
    <row r="438" spans="1:10">
      <c r="A438" s="112" t="s">
        <v>813</v>
      </c>
      <c r="B438" s="112" t="s">
        <v>377</v>
      </c>
      <c r="C438" s="112" t="s">
        <v>389</v>
      </c>
      <c r="D438" s="112" t="s">
        <v>379</v>
      </c>
      <c r="E438">
        <v>4443</v>
      </c>
      <c r="F438" s="112" t="s">
        <v>824</v>
      </c>
      <c r="G438" s="112" t="s">
        <v>392</v>
      </c>
      <c r="H438" s="112" t="s">
        <v>391</v>
      </c>
      <c r="I438" s="112" t="s">
        <v>435</v>
      </c>
      <c r="J438" s="112" t="s">
        <v>1221</v>
      </c>
    </row>
    <row r="439" spans="1:10">
      <c r="A439" s="112" t="s">
        <v>813</v>
      </c>
      <c r="B439" s="112" t="s">
        <v>377</v>
      </c>
      <c r="C439" s="112" t="s">
        <v>382</v>
      </c>
      <c r="D439" s="112" t="s">
        <v>383</v>
      </c>
      <c r="E439">
        <v>6264</v>
      </c>
      <c r="F439" s="112" t="s">
        <v>826</v>
      </c>
      <c r="G439" s="112" t="s">
        <v>380</v>
      </c>
      <c r="H439" s="112" t="s">
        <v>401</v>
      </c>
      <c r="I439">
        <v>134</v>
      </c>
    </row>
    <row r="440" spans="1:10">
      <c r="A440" s="112" t="s">
        <v>813</v>
      </c>
      <c r="B440" s="112" t="s">
        <v>377</v>
      </c>
      <c r="C440" s="112" t="s">
        <v>382</v>
      </c>
      <c r="D440" s="112" t="s">
        <v>379</v>
      </c>
      <c r="E440">
        <v>6289</v>
      </c>
      <c r="F440" s="112" t="s">
        <v>1222</v>
      </c>
      <c r="G440" s="112" t="s">
        <v>380</v>
      </c>
      <c r="H440" s="112" t="s">
        <v>401</v>
      </c>
      <c r="I440" s="112" t="s">
        <v>435</v>
      </c>
      <c r="J440" s="112" t="s">
        <v>993</v>
      </c>
    </row>
    <row r="441" spans="1:10">
      <c r="A441" s="112" t="s">
        <v>813</v>
      </c>
      <c r="B441" s="112" t="s">
        <v>377</v>
      </c>
      <c r="C441" s="112" t="s">
        <v>389</v>
      </c>
      <c r="D441" s="112" t="s">
        <v>383</v>
      </c>
      <c r="E441">
        <v>6496</v>
      </c>
      <c r="F441" s="112" t="s">
        <v>827</v>
      </c>
      <c r="G441" s="112" t="s">
        <v>388</v>
      </c>
      <c r="H441" s="112" t="s">
        <v>401</v>
      </c>
      <c r="I441" s="112">
        <v>103</v>
      </c>
      <c r="J441" s="112"/>
    </row>
    <row r="442" spans="1:10">
      <c r="A442" s="112" t="s">
        <v>813</v>
      </c>
      <c r="B442" s="112" t="s">
        <v>377</v>
      </c>
      <c r="C442" s="112" t="s">
        <v>378</v>
      </c>
      <c r="D442" s="112" t="s">
        <v>379</v>
      </c>
      <c r="E442">
        <v>8008</v>
      </c>
      <c r="F442" s="112" t="s">
        <v>828</v>
      </c>
      <c r="G442" s="112" t="s">
        <v>380</v>
      </c>
      <c r="H442" s="112" t="s">
        <v>390</v>
      </c>
      <c r="I442">
        <v>627</v>
      </c>
    </row>
    <row r="443" spans="1:10">
      <c r="A443" s="112" t="s">
        <v>813</v>
      </c>
      <c r="B443" s="112" t="s">
        <v>377</v>
      </c>
      <c r="C443" s="112" t="s">
        <v>378</v>
      </c>
      <c r="D443" s="112" t="s">
        <v>379</v>
      </c>
      <c r="E443">
        <v>8125</v>
      </c>
      <c r="F443" s="112" t="s">
        <v>829</v>
      </c>
      <c r="G443" s="112" t="s">
        <v>380</v>
      </c>
      <c r="H443" s="112" t="s">
        <v>386</v>
      </c>
      <c r="I443">
        <v>563</v>
      </c>
    </row>
    <row r="444" spans="1:10">
      <c r="A444" s="112" t="s">
        <v>830</v>
      </c>
      <c r="B444" s="112" t="s">
        <v>377</v>
      </c>
      <c r="C444" s="112" t="s">
        <v>389</v>
      </c>
      <c r="D444" s="112" t="s">
        <v>379</v>
      </c>
      <c r="E444">
        <v>1377</v>
      </c>
      <c r="F444" s="112" t="s">
        <v>831</v>
      </c>
      <c r="G444" s="112" t="s">
        <v>380</v>
      </c>
      <c r="H444" s="112" t="s">
        <v>520</v>
      </c>
      <c r="I444" s="112" t="s">
        <v>435</v>
      </c>
      <c r="J444" s="112" t="s">
        <v>1223</v>
      </c>
    </row>
    <row r="445" spans="1:10">
      <c r="A445" s="112" t="s">
        <v>830</v>
      </c>
      <c r="B445" s="112" t="s">
        <v>377</v>
      </c>
      <c r="C445" s="112" t="s">
        <v>389</v>
      </c>
      <c r="D445" s="112" t="s">
        <v>379</v>
      </c>
      <c r="E445">
        <v>1887</v>
      </c>
      <c r="F445" s="112" t="s">
        <v>832</v>
      </c>
      <c r="G445" s="112" t="s">
        <v>380</v>
      </c>
      <c r="H445" s="112" t="s">
        <v>414</v>
      </c>
      <c r="I445">
        <v>608</v>
      </c>
    </row>
    <row r="446" spans="1:10">
      <c r="A446" s="112" t="s">
        <v>830</v>
      </c>
      <c r="B446" s="112" t="s">
        <v>377</v>
      </c>
      <c r="C446" s="112" t="s">
        <v>378</v>
      </c>
      <c r="D446" s="112" t="s">
        <v>383</v>
      </c>
      <c r="E446">
        <v>2294</v>
      </c>
      <c r="F446" s="112" t="s">
        <v>833</v>
      </c>
      <c r="G446" s="112" t="s">
        <v>380</v>
      </c>
      <c r="H446" s="112" t="s">
        <v>381</v>
      </c>
      <c r="I446">
        <v>373</v>
      </c>
    </row>
    <row r="447" spans="1:10">
      <c r="A447" s="112" t="s">
        <v>830</v>
      </c>
      <c r="B447" s="112" t="s">
        <v>377</v>
      </c>
      <c r="C447" s="112" t="s">
        <v>389</v>
      </c>
      <c r="D447" s="112" t="s">
        <v>383</v>
      </c>
      <c r="E447">
        <v>2303</v>
      </c>
      <c r="F447" s="112" t="s">
        <v>834</v>
      </c>
      <c r="G447" s="112" t="s">
        <v>384</v>
      </c>
      <c r="H447" s="112" t="s">
        <v>391</v>
      </c>
      <c r="I447">
        <v>51</v>
      </c>
    </row>
    <row r="448" spans="1:10">
      <c r="A448" s="112" t="s">
        <v>830</v>
      </c>
      <c r="B448" s="112" t="s">
        <v>377</v>
      </c>
      <c r="C448" s="112" t="s">
        <v>389</v>
      </c>
      <c r="D448" s="112" t="s">
        <v>379</v>
      </c>
      <c r="E448">
        <v>2462</v>
      </c>
      <c r="F448" s="112" t="s">
        <v>835</v>
      </c>
      <c r="G448" s="112" t="s">
        <v>380</v>
      </c>
      <c r="H448" s="112" t="s">
        <v>385</v>
      </c>
      <c r="I448">
        <v>343</v>
      </c>
    </row>
    <row r="449" spans="1:10">
      <c r="A449" s="112" t="s">
        <v>830</v>
      </c>
      <c r="B449" s="112" t="s">
        <v>377</v>
      </c>
      <c r="C449" s="112" t="s">
        <v>387</v>
      </c>
      <c r="D449" s="112" t="s">
        <v>379</v>
      </c>
      <c r="E449">
        <v>2698</v>
      </c>
      <c r="F449" s="112" t="s">
        <v>836</v>
      </c>
      <c r="G449" s="112" t="s">
        <v>380</v>
      </c>
      <c r="H449" s="112" t="s">
        <v>390</v>
      </c>
      <c r="I449">
        <v>276</v>
      </c>
    </row>
    <row r="450" spans="1:10">
      <c r="A450" s="112" t="s">
        <v>830</v>
      </c>
      <c r="B450" s="112" t="s">
        <v>377</v>
      </c>
      <c r="C450" s="112" t="s">
        <v>389</v>
      </c>
      <c r="D450" s="112" t="s">
        <v>383</v>
      </c>
      <c r="E450">
        <v>3297</v>
      </c>
      <c r="F450" s="112" t="s">
        <v>837</v>
      </c>
      <c r="G450" s="112" t="s">
        <v>384</v>
      </c>
      <c r="H450" s="112" t="s">
        <v>406</v>
      </c>
      <c r="I450" s="112">
        <v>29</v>
      </c>
      <c r="J450" s="112"/>
    </row>
    <row r="451" spans="1:10">
      <c r="A451" s="112" t="s">
        <v>830</v>
      </c>
      <c r="B451" s="112" t="s">
        <v>377</v>
      </c>
      <c r="C451" s="112" t="s">
        <v>387</v>
      </c>
      <c r="D451" s="112" t="s">
        <v>383</v>
      </c>
      <c r="E451">
        <v>3377</v>
      </c>
      <c r="F451" s="112" t="s">
        <v>838</v>
      </c>
      <c r="G451" s="112" t="s">
        <v>388</v>
      </c>
      <c r="H451" s="112" t="s">
        <v>386</v>
      </c>
      <c r="I451" s="112">
        <v>29</v>
      </c>
      <c r="J451" s="112"/>
    </row>
    <row r="452" spans="1:10">
      <c r="A452" s="112" t="s">
        <v>830</v>
      </c>
      <c r="B452" s="112" t="s">
        <v>377</v>
      </c>
      <c r="C452" s="112" t="s">
        <v>378</v>
      </c>
      <c r="D452" s="112" t="s">
        <v>379</v>
      </c>
      <c r="E452">
        <v>3387</v>
      </c>
      <c r="F452" s="112" t="s">
        <v>839</v>
      </c>
      <c r="G452" s="112" t="s">
        <v>380</v>
      </c>
      <c r="H452" s="112" t="s">
        <v>390</v>
      </c>
      <c r="I452" s="112" t="s">
        <v>435</v>
      </c>
      <c r="J452" s="112" t="s">
        <v>1224</v>
      </c>
    </row>
    <row r="453" spans="1:10">
      <c r="A453" s="112" t="s">
        <v>830</v>
      </c>
      <c r="B453" s="112" t="s">
        <v>377</v>
      </c>
      <c r="C453" s="112" t="s">
        <v>378</v>
      </c>
      <c r="D453" s="112" t="s">
        <v>379</v>
      </c>
      <c r="E453">
        <v>3548</v>
      </c>
      <c r="F453" s="112" t="s">
        <v>840</v>
      </c>
      <c r="G453" s="112" t="s">
        <v>380</v>
      </c>
      <c r="H453" s="112" t="s">
        <v>390</v>
      </c>
      <c r="I453">
        <v>346</v>
      </c>
    </row>
    <row r="454" spans="1:10">
      <c r="A454" s="112" t="s">
        <v>830</v>
      </c>
      <c r="B454" s="112" t="s">
        <v>377</v>
      </c>
      <c r="C454" s="112" t="s">
        <v>378</v>
      </c>
      <c r="D454" s="112" t="s">
        <v>383</v>
      </c>
      <c r="E454">
        <v>3557</v>
      </c>
      <c r="F454" s="112" t="s">
        <v>841</v>
      </c>
      <c r="G454" s="112" t="s">
        <v>392</v>
      </c>
      <c r="H454" s="112" t="s">
        <v>390</v>
      </c>
      <c r="I454">
        <v>48</v>
      </c>
    </row>
    <row r="455" spans="1:10">
      <c r="A455" s="112" t="s">
        <v>830</v>
      </c>
      <c r="B455" s="112" t="s">
        <v>377</v>
      </c>
      <c r="C455" s="112" t="s">
        <v>378</v>
      </c>
      <c r="D455" s="112" t="s">
        <v>383</v>
      </c>
      <c r="E455">
        <v>3996</v>
      </c>
      <c r="F455" s="112" t="s">
        <v>842</v>
      </c>
      <c r="G455" s="112" t="s">
        <v>380</v>
      </c>
      <c r="H455" s="112" t="s">
        <v>391</v>
      </c>
      <c r="I455">
        <v>244</v>
      </c>
    </row>
    <row r="456" spans="1:10">
      <c r="A456" s="112" t="s">
        <v>830</v>
      </c>
      <c r="B456" s="112" t="s">
        <v>377</v>
      </c>
      <c r="C456" s="112" t="s">
        <v>382</v>
      </c>
      <c r="D456" s="112" t="s">
        <v>379</v>
      </c>
      <c r="E456">
        <v>4433</v>
      </c>
      <c r="F456" s="112" t="s">
        <v>843</v>
      </c>
      <c r="G456" s="112" t="s">
        <v>380</v>
      </c>
      <c r="H456" s="112" t="s">
        <v>391</v>
      </c>
      <c r="I456">
        <v>285</v>
      </c>
    </row>
    <row r="457" spans="1:10">
      <c r="A457" s="112" t="s">
        <v>830</v>
      </c>
      <c r="B457" s="112" t="s">
        <v>377</v>
      </c>
      <c r="C457" s="112" t="s">
        <v>378</v>
      </c>
      <c r="D457" s="112" t="s">
        <v>383</v>
      </c>
      <c r="E457">
        <v>4434</v>
      </c>
      <c r="F457" s="112" t="s">
        <v>844</v>
      </c>
      <c r="G457" s="112" t="s">
        <v>392</v>
      </c>
      <c r="H457" s="112" t="s">
        <v>391</v>
      </c>
      <c r="I457">
        <v>292</v>
      </c>
    </row>
    <row r="458" spans="1:10">
      <c r="A458" s="112" t="s">
        <v>830</v>
      </c>
      <c r="B458" s="112" t="s">
        <v>377</v>
      </c>
      <c r="C458" s="112" t="s">
        <v>382</v>
      </c>
      <c r="D458" s="112" t="s">
        <v>379</v>
      </c>
      <c r="E458">
        <v>4440</v>
      </c>
      <c r="F458" s="112" t="s">
        <v>845</v>
      </c>
      <c r="G458" s="112" t="s">
        <v>392</v>
      </c>
      <c r="H458" s="112" t="s">
        <v>391</v>
      </c>
      <c r="I458">
        <v>97</v>
      </c>
    </row>
    <row r="459" spans="1:10">
      <c r="A459" s="112" t="s">
        <v>830</v>
      </c>
      <c r="B459" s="112" t="s">
        <v>377</v>
      </c>
      <c r="C459" s="112" t="s">
        <v>389</v>
      </c>
      <c r="D459" s="112" t="s">
        <v>379</v>
      </c>
      <c r="E459">
        <v>5967</v>
      </c>
      <c r="F459" s="112" t="s">
        <v>846</v>
      </c>
      <c r="G459" s="112" t="s">
        <v>388</v>
      </c>
      <c r="H459" s="112" t="s">
        <v>395</v>
      </c>
      <c r="I459">
        <v>61</v>
      </c>
    </row>
    <row r="460" spans="1:10">
      <c r="A460" s="112" t="s">
        <v>830</v>
      </c>
      <c r="B460" s="112" t="s">
        <v>377</v>
      </c>
      <c r="C460" s="112" t="s">
        <v>378</v>
      </c>
      <c r="D460" s="112" t="s">
        <v>379</v>
      </c>
      <c r="E460">
        <v>6173</v>
      </c>
      <c r="F460" s="112" t="s">
        <v>847</v>
      </c>
      <c r="G460" s="112" t="s">
        <v>392</v>
      </c>
      <c r="H460" s="112" t="s">
        <v>385</v>
      </c>
      <c r="I460">
        <v>25</v>
      </c>
    </row>
    <row r="461" spans="1:10">
      <c r="A461" s="112" t="s">
        <v>830</v>
      </c>
      <c r="B461" s="112" t="s">
        <v>377</v>
      </c>
      <c r="C461" s="112" t="s">
        <v>389</v>
      </c>
      <c r="D461" s="112" t="s">
        <v>379</v>
      </c>
      <c r="E461">
        <v>6489</v>
      </c>
      <c r="F461" s="112" t="s">
        <v>848</v>
      </c>
      <c r="G461" s="112" t="s">
        <v>380</v>
      </c>
      <c r="H461" s="112" t="s">
        <v>401</v>
      </c>
      <c r="I461" s="112">
        <v>84</v>
      </c>
      <c r="J461" s="112"/>
    </row>
    <row r="462" spans="1:10">
      <c r="A462" s="112" t="s">
        <v>830</v>
      </c>
      <c r="B462" s="112" t="s">
        <v>377</v>
      </c>
      <c r="C462" s="112" t="s">
        <v>378</v>
      </c>
      <c r="D462" s="112" t="s">
        <v>379</v>
      </c>
      <c r="E462">
        <v>6543</v>
      </c>
      <c r="F462" s="112" t="s">
        <v>849</v>
      </c>
      <c r="G462" s="112" t="s">
        <v>384</v>
      </c>
      <c r="H462" s="112" t="s">
        <v>385</v>
      </c>
      <c r="I462">
        <v>26</v>
      </c>
    </row>
    <row r="463" spans="1:10">
      <c r="A463" s="112" t="s">
        <v>830</v>
      </c>
      <c r="B463" s="112" t="s">
        <v>377</v>
      </c>
      <c r="C463" s="112" t="s">
        <v>378</v>
      </c>
      <c r="D463" s="112" t="s">
        <v>379</v>
      </c>
      <c r="E463">
        <v>7049</v>
      </c>
      <c r="F463" s="112" t="s">
        <v>850</v>
      </c>
      <c r="G463" s="112" t="s">
        <v>392</v>
      </c>
      <c r="H463" s="112" t="s">
        <v>385</v>
      </c>
      <c r="I463" s="112">
        <v>129</v>
      </c>
      <c r="J463" s="112"/>
    </row>
    <row r="464" spans="1:10">
      <c r="A464" s="112" t="s">
        <v>830</v>
      </c>
      <c r="B464" s="112" t="s">
        <v>377</v>
      </c>
      <c r="C464" s="112" t="s">
        <v>378</v>
      </c>
      <c r="D464" s="112" t="s">
        <v>379</v>
      </c>
      <c r="E464">
        <v>7058</v>
      </c>
      <c r="F464" s="112" t="s">
        <v>851</v>
      </c>
      <c r="G464" s="112" t="s">
        <v>384</v>
      </c>
      <c r="H464" s="112" t="s">
        <v>385</v>
      </c>
      <c r="I464" s="112">
        <v>75</v>
      </c>
      <c r="J464" s="112"/>
    </row>
    <row r="465" spans="1:10">
      <c r="A465" s="112" t="s">
        <v>830</v>
      </c>
      <c r="B465" s="112" t="s">
        <v>377</v>
      </c>
      <c r="C465" s="112" t="s">
        <v>382</v>
      </c>
      <c r="D465" s="112" t="s">
        <v>379</v>
      </c>
      <c r="E465">
        <v>7065</v>
      </c>
      <c r="F465" s="112" t="s">
        <v>852</v>
      </c>
      <c r="G465" s="112" t="s">
        <v>388</v>
      </c>
      <c r="H465" s="112" t="s">
        <v>385</v>
      </c>
      <c r="I465">
        <v>190</v>
      </c>
    </row>
    <row r="466" spans="1:10">
      <c r="A466" s="112" t="s">
        <v>830</v>
      </c>
      <c r="B466" s="112" t="s">
        <v>377</v>
      </c>
      <c r="C466" s="112" t="s">
        <v>389</v>
      </c>
      <c r="D466" s="112" t="s">
        <v>383</v>
      </c>
      <c r="E466">
        <v>7673</v>
      </c>
      <c r="F466" s="112" t="s">
        <v>853</v>
      </c>
      <c r="G466" s="112" t="s">
        <v>388</v>
      </c>
      <c r="H466" s="112" t="s">
        <v>386</v>
      </c>
      <c r="I466">
        <v>53</v>
      </c>
    </row>
    <row r="467" spans="1:10">
      <c r="A467" s="112" t="s">
        <v>830</v>
      </c>
      <c r="B467" s="112" t="s">
        <v>377</v>
      </c>
      <c r="C467" s="112" t="s">
        <v>378</v>
      </c>
      <c r="D467" s="112" t="s">
        <v>379</v>
      </c>
      <c r="E467">
        <v>7811</v>
      </c>
      <c r="F467" s="112" t="s">
        <v>854</v>
      </c>
      <c r="G467" s="112" t="s">
        <v>380</v>
      </c>
      <c r="H467" s="112" t="s">
        <v>402</v>
      </c>
      <c r="I467">
        <v>123</v>
      </c>
    </row>
    <row r="468" spans="1:10">
      <c r="A468" s="112" t="s">
        <v>855</v>
      </c>
      <c r="B468" s="112" t="s">
        <v>377</v>
      </c>
      <c r="C468" s="112" t="s">
        <v>378</v>
      </c>
      <c r="D468" s="112" t="s">
        <v>379</v>
      </c>
      <c r="E468">
        <v>1719</v>
      </c>
      <c r="F468" s="112" t="s">
        <v>856</v>
      </c>
      <c r="G468" s="112" t="s">
        <v>380</v>
      </c>
      <c r="H468" s="112" t="s">
        <v>414</v>
      </c>
      <c r="I468" s="112" t="s">
        <v>435</v>
      </c>
      <c r="J468" s="112" t="s">
        <v>1225</v>
      </c>
    </row>
    <row r="469" spans="1:10">
      <c r="A469" s="112" t="s">
        <v>855</v>
      </c>
      <c r="B469" s="112" t="s">
        <v>377</v>
      </c>
      <c r="C469" s="112" t="s">
        <v>378</v>
      </c>
      <c r="D469" s="112" t="s">
        <v>379</v>
      </c>
      <c r="E469">
        <v>1812</v>
      </c>
      <c r="F469" s="112" t="s">
        <v>857</v>
      </c>
      <c r="G469" s="112" t="s">
        <v>380</v>
      </c>
      <c r="H469" s="112" t="s">
        <v>414</v>
      </c>
      <c r="I469" s="112" t="s">
        <v>858</v>
      </c>
      <c r="J469" s="112" t="s">
        <v>1226</v>
      </c>
    </row>
    <row r="470" spans="1:10">
      <c r="A470" s="112" t="s">
        <v>855</v>
      </c>
      <c r="B470" s="112" t="s">
        <v>377</v>
      </c>
      <c r="C470" s="112" t="s">
        <v>378</v>
      </c>
      <c r="D470" s="112" t="s">
        <v>379</v>
      </c>
      <c r="E470">
        <v>1824</v>
      </c>
      <c r="F470" s="112" t="s">
        <v>859</v>
      </c>
      <c r="G470" s="112" t="s">
        <v>380</v>
      </c>
      <c r="H470" s="112" t="s">
        <v>414</v>
      </c>
      <c r="I470" s="112" t="s">
        <v>435</v>
      </c>
      <c r="J470" s="112" t="s">
        <v>1227</v>
      </c>
    </row>
    <row r="471" spans="1:10">
      <c r="A471" s="112" t="s">
        <v>855</v>
      </c>
      <c r="B471" s="112" t="s">
        <v>377</v>
      </c>
      <c r="C471" s="112" t="s">
        <v>378</v>
      </c>
      <c r="D471" s="112" t="s">
        <v>379</v>
      </c>
      <c r="E471">
        <v>1860</v>
      </c>
      <c r="F471" s="112" t="s">
        <v>860</v>
      </c>
      <c r="G471" s="112" t="s">
        <v>380</v>
      </c>
      <c r="H471" s="112" t="s">
        <v>414</v>
      </c>
      <c r="I471" s="112" t="s">
        <v>403</v>
      </c>
      <c r="J471" s="112" t="s">
        <v>1094</v>
      </c>
    </row>
    <row r="472" spans="1:10">
      <c r="A472" s="112" t="s">
        <v>855</v>
      </c>
      <c r="B472" s="112" t="s">
        <v>377</v>
      </c>
      <c r="C472" s="112" t="s">
        <v>378</v>
      </c>
      <c r="D472" s="112" t="s">
        <v>379</v>
      </c>
      <c r="E472">
        <v>1964</v>
      </c>
      <c r="F472" s="112" t="s">
        <v>861</v>
      </c>
      <c r="G472" s="112" t="s">
        <v>380</v>
      </c>
      <c r="H472" s="112" t="s">
        <v>414</v>
      </c>
      <c r="I472">
        <v>134</v>
      </c>
    </row>
    <row r="473" spans="1:10">
      <c r="A473" s="112" t="s">
        <v>855</v>
      </c>
      <c r="B473" s="112" t="s">
        <v>377</v>
      </c>
      <c r="C473" s="112" t="s">
        <v>378</v>
      </c>
      <c r="D473" s="112" t="s">
        <v>379</v>
      </c>
      <c r="E473">
        <v>2108</v>
      </c>
      <c r="F473" s="112" t="s">
        <v>862</v>
      </c>
      <c r="G473" s="112" t="s">
        <v>380</v>
      </c>
      <c r="H473" s="112" t="s">
        <v>381</v>
      </c>
      <c r="I473">
        <v>310</v>
      </c>
    </row>
    <row r="474" spans="1:10">
      <c r="A474" s="112" t="s">
        <v>855</v>
      </c>
      <c r="B474" s="112" t="s">
        <v>377</v>
      </c>
      <c r="C474" s="112" t="s">
        <v>378</v>
      </c>
      <c r="D474" s="112" t="s">
        <v>379</v>
      </c>
      <c r="E474">
        <v>2173</v>
      </c>
      <c r="F474" s="112" t="s">
        <v>1027</v>
      </c>
      <c r="G474" s="112" t="s">
        <v>384</v>
      </c>
      <c r="H474" s="112" t="s">
        <v>385</v>
      </c>
      <c r="I474">
        <v>58</v>
      </c>
    </row>
    <row r="475" spans="1:10">
      <c r="A475" s="112" t="s">
        <v>855</v>
      </c>
      <c r="B475" s="112" t="s">
        <v>377</v>
      </c>
      <c r="C475" s="112" t="s">
        <v>389</v>
      </c>
      <c r="D475" s="112" t="s">
        <v>379</v>
      </c>
      <c r="E475">
        <v>2180</v>
      </c>
      <c r="F475" s="112" t="s">
        <v>863</v>
      </c>
      <c r="G475" s="112" t="s">
        <v>380</v>
      </c>
      <c r="H475" s="112" t="s">
        <v>385</v>
      </c>
      <c r="I475">
        <v>176</v>
      </c>
    </row>
    <row r="476" spans="1:10">
      <c r="A476" s="112" t="s">
        <v>855</v>
      </c>
      <c r="B476" s="112" t="s">
        <v>377</v>
      </c>
      <c r="C476" s="112" t="s">
        <v>378</v>
      </c>
      <c r="D476" s="112" t="s">
        <v>379</v>
      </c>
      <c r="E476">
        <v>2288</v>
      </c>
      <c r="F476" s="112" t="s">
        <v>864</v>
      </c>
      <c r="G476" s="112" t="s">
        <v>380</v>
      </c>
      <c r="H476" s="112" t="s">
        <v>381</v>
      </c>
      <c r="I476">
        <v>626</v>
      </c>
    </row>
    <row r="477" spans="1:10">
      <c r="A477" s="112" t="s">
        <v>855</v>
      </c>
      <c r="B477" s="112" t="s">
        <v>377</v>
      </c>
      <c r="C477" s="112" t="s">
        <v>378</v>
      </c>
      <c r="D477" s="112" t="s">
        <v>379</v>
      </c>
      <c r="E477">
        <v>2349</v>
      </c>
      <c r="F477" s="112" t="s">
        <v>1028</v>
      </c>
      <c r="G477" s="112" t="s">
        <v>384</v>
      </c>
      <c r="H477" s="112" t="s">
        <v>391</v>
      </c>
      <c r="I477">
        <v>177</v>
      </c>
    </row>
    <row r="478" spans="1:10">
      <c r="A478" s="112" t="s">
        <v>855</v>
      </c>
      <c r="B478" s="112" t="s">
        <v>377</v>
      </c>
      <c r="C478" s="112" t="s">
        <v>378</v>
      </c>
      <c r="D478" s="112" t="s">
        <v>379</v>
      </c>
      <c r="E478">
        <v>2454</v>
      </c>
      <c r="F478" s="112" t="s">
        <v>1228</v>
      </c>
      <c r="G478" s="112" t="s">
        <v>384</v>
      </c>
      <c r="H478" s="112" t="s">
        <v>385</v>
      </c>
      <c r="I478">
        <v>96</v>
      </c>
    </row>
    <row r="479" spans="1:10">
      <c r="A479" s="112" t="s">
        <v>855</v>
      </c>
      <c r="B479" s="112" t="s">
        <v>377</v>
      </c>
      <c r="C479" s="112" t="s">
        <v>387</v>
      </c>
      <c r="D479" s="112" t="s">
        <v>379</v>
      </c>
      <c r="E479">
        <v>2675</v>
      </c>
      <c r="F479" s="112" t="s">
        <v>865</v>
      </c>
      <c r="G479" s="112" t="s">
        <v>388</v>
      </c>
      <c r="H479" s="112" t="s">
        <v>390</v>
      </c>
      <c r="I479">
        <v>117</v>
      </c>
    </row>
    <row r="480" spans="1:10">
      <c r="A480" s="112" t="s">
        <v>855</v>
      </c>
      <c r="B480" s="112" t="s">
        <v>377</v>
      </c>
      <c r="C480" s="112" t="s">
        <v>378</v>
      </c>
      <c r="D480" s="112" t="s">
        <v>379</v>
      </c>
      <c r="E480">
        <v>2733</v>
      </c>
      <c r="F480" s="112" t="s">
        <v>1229</v>
      </c>
      <c r="G480" s="112" t="s">
        <v>380</v>
      </c>
      <c r="H480" s="112" t="s">
        <v>386</v>
      </c>
      <c r="I480">
        <v>779</v>
      </c>
    </row>
    <row r="481" spans="1:10">
      <c r="A481" s="112" t="s">
        <v>855</v>
      </c>
      <c r="B481" s="112" t="s">
        <v>377</v>
      </c>
      <c r="C481" s="112" t="s">
        <v>378</v>
      </c>
      <c r="D481" s="112" t="s">
        <v>379</v>
      </c>
      <c r="E481">
        <v>2768</v>
      </c>
      <c r="F481" s="112" t="s">
        <v>1230</v>
      </c>
      <c r="G481" s="112" t="s">
        <v>380</v>
      </c>
      <c r="H481" s="112" t="s">
        <v>386</v>
      </c>
      <c r="I481" s="112" t="s">
        <v>531</v>
      </c>
      <c r="J481" s="112" t="s">
        <v>1231</v>
      </c>
    </row>
    <row r="482" spans="1:10">
      <c r="A482" s="112" t="s">
        <v>855</v>
      </c>
      <c r="B482" s="112" t="s">
        <v>377</v>
      </c>
      <c r="C482" s="112" t="s">
        <v>378</v>
      </c>
      <c r="D482" s="112" t="s">
        <v>379</v>
      </c>
      <c r="E482">
        <v>2812</v>
      </c>
      <c r="F482" s="112" t="s">
        <v>1232</v>
      </c>
      <c r="G482" s="112" t="s">
        <v>380</v>
      </c>
      <c r="H482" s="112" t="s">
        <v>381</v>
      </c>
      <c r="I482">
        <v>136</v>
      </c>
    </row>
    <row r="483" spans="1:10">
      <c r="A483" s="112" t="s">
        <v>855</v>
      </c>
      <c r="B483" s="112" t="s">
        <v>377</v>
      </c>
      <c r="C483" s="112" t="s">
        <v>378</v>
      </c>
      <c r="D483" s="112" t="s">
        <v>379</v>
      </c>
      <c r="E483">
        <v>2903</v>
      </c>
      <c r="F483" s="112" t="s">
        <v>1233</v>
      </c>
      <c r="G483" s="112" t="s">
        <v>388</v>
      </c>
      <c r="H483" s="112" t="s">
        <v>381</v>
      </c>
      <c r="I483">
        <v>94</v>
      </c>
    </row>
    <row r="484" spans="1:10">
      <c r="A484" s="112" t="s">
        <v>855</v>
      </c>
      <c r="B484" s="112" t="s">
        <v>377</v>
      </c>
      <c r="C484" s="112" t="s">
        <v>378</v>
      </c>
      <c r="D484" s="112" t="s">
        <v>379</v>
      </c>
      <c r="E484">
        <v>2915</v>
      </c>
      <c r="F484" s="112" t="s">
        <v>1234</v>
      </c>
      <c r="G484" s="112" t="s">
        <v>380</v>
      </c>
      <c r="H484" s="112" t="s">
        <v>381</v>
      </c>
      <c r="I484">
        <v>424</v>
      </c>
    </row>
    <row r="485" spans="1:10">
      <c r="A485" s="112" t="s">
        <v>855</v>
      </c>
      <c r="B485" s="112" t="s">
        <v>377</v>
      </c>
      <c r="C485" s="112" t="s">
        <v>378</v>
      </c>
      <c r="D485" s="112" t="s">
        <v>379</v>
      </c>
      <c r="E485">
        <v>3284</v>
      </c>
      <c r="F485" s="112" t="s">
        <v>1235</v>
      </c>
      <c r="G485" s="112" t="s">
        <v>380</v>
      </c>
      <c r="H485" s="112" t="s">
        <v>406</v>
      </c>
      <c r="I485">
        <v>413</v>
      </c>
    </row>
    <row r="486" spans="1:10">
      <c r="A486" s="112" t="s">
        <v>855</v>
      </c>
      <c r="B486" s="112" t="s">
        <v>377</v>
      </c>
      <c r="C486" s="112" t="s">
        <v>378</v>
      </c>
      <c r="D486" s="112" t="s">
        <v>379</v>
      </c>
      <c r="E486">
        <v>3289</v>
      </c>
      <c r="F486" s="112" t="s">
        <v>1236</v>
      </c>
      <c r="G486" s="112" t="s">
        <v>380</v>
      </c>
      <c r="H486" s="112" t="s">
        <v>406</v>
      </c>
      <c r="I486" s="112" t="s">
        <v>397</v>
      </c>
      <c r="J486" s="112" t="s">
        <v>1237</v>
      </c>
    </row>
    <row r="487" spans="1:10">
      <c r="A487" s="112" t="s">
        <v>855</v>
      </c>
      <c r="B487" s="112" t="s">
        <v>377</v>
      </c>
      <c r="C487" s="112" t="s">
        <v>378</v>
      </c>
      <c r="D487" s="112" t="s">
        <v>379</v>
      </c>
      <c r="E487">
        <v>3401</v>
      </c>
      <c r="F487" s="112" t="s">
        <v>1238</v>
      </c>
      <c r="G487" s="112" t="s">
        <v>380</v>
      </c>
      <c r="H487" s="112" t="s">
        <v>446</v>
      </c>
      <c r="I487" s="112" t="s">
        <v>531</v>
      </c>
      <c r="J487" s="112" t="s">
        <v>1239</v>
      </c>
    </row>
    <row r="488" spans="1:10">
      <c r="A488" s="112" t="s">
        <v>855</v>
      </c>
      <c r="B488" s="112" t="s">
        <v>377</v>
      </c>
      <c r="C488" s="112" t="s">
        <v>378</v>
      </c>
      <c r="D488" s="112" t="s">
        <v>379</v>
      </c>
      <c r="E488">
        <v>3447</v>
      </c>
      <c r="F488" s="112" t="s">
        <v>866</v>
      </c>
      <c r="G488" s="112" t="s">
        <v>380</v>
      </c>
      <c r="H488" s="112" t="s">
        <v>395</v>
      </c>
      <c r="I488">
        <v>151</v>
      </c>
    </row>
    <row r="489" spans="1:10">
      <c r="A489" s="112" t="s">
        <v>855</v>
      </c>
      <c r="B489" s="112" t="s">
        <v>377</v>
      </c>
      <c r="C489" s="112" t="s">
        <v>378</v>
      </c>
      <c r="D489" s="112" t="s">
        <v>383</v>
      </c>
      <c r="E489">
        <v>3467</v>
      </c>
      <c r="F489" s="112" t="s">
        <v>868</v>
      </c>
      <c r="G489" s="112" t="s">
        <v>380</v>
      </c>
      <c r="H489" s="112" t="s">
        <v>406</v>
      </c>
      <c r="I489">
        <v>30</v>
      </c>
    </row>
    <row r="490" spans="1:10">
      <c r="A490" s="112" t="s">
        <v>855</v>
      </c>
      <c r="B490" s="112" t="s">
        <v>377</v>
      </c>
      <c r="C490" s="112" t="s">
        <v>378</v>
      </c>
      <c r="D490" s="112" t="s">
        <v>379</v>
      </c>
      <c r="E490">
        <v>3571</v>
      </c>
      <c r="F490" s="112" t="s">
        <v>1240</v>
      </c>
      <c r="G490" s="112" t="s">
        <v>380</v>
      </c>
      <c r="H490" s="112" t="s">
        <v>446</v>
      </c>
      <c r="I490" s="112">
        <v>135</v>
      </c>
      <c r="J490" s="112"/>
    </row>
    <row r="491" spans="1:10">
      <c r="A491" s="112" t="s">
        <v>855</v>
      </c>
      <c r="B491" s="112" t="s">
        <v>377</v>
      </c>
      <c r="C491" s="112" t="s">
        <v>378</v>
      </c>
      <c r="D491" s="112" t="s">
        <v>379</v>
      </c>
      <c r="E491">
        <v>3600</v>
      </c>
      <c r="F491" s="112" t="s">
        <v>1241</v>
      </c>
      <c r="G491" s="112" t="s">
        <v>388</v>
      </c>
      <c r="H491" s="112" t="s">
        <v>446</v>
      </c>
      <c r="I491">
        <v>26</v>
      </c>
    </row>
    <row r="492" spans="1:10">
      <c r="A492" s="112" t="s">
        <v>855</v>
      </c>
      <c r="B492" s="112" t="s">
        <v>377</v>
      </c>
      <c r="C492" s="112" t="s">
        <v>378</v>
      </c>
      <c r="D492" s="112" t="s">
        <v>379</v>
      </c>
      <c r="E492">
        <v>3622</v>
      </c>
      <c r="F492" s="112" t="s">
        <v>1242</v>
      </c>
      <c r="G492" s="112" t="s">
        <v>392</v>
      </c>
      <c r="H492" s="112" t="s">
        <v>391</v>
      </c>
      <c r="I492" s="112">
        <v>43</v>
      </c>
      <c r="J492" s="112"/>
    </row>
    <row r="493" spans="1:10">
      <c r="A493" s="112" t="s">
        <v>855</v>
      </c>
      <c r="B493" s="112" t="s">
        <v>377</v>
      </c>
      <c r="C493" s="112" t="s">
        <v>378</v>
      </c>
      <c r="D493" s="112" t="s">
        <v>379</v>
      </c>
      <c r="E493">
        <v>3626</v>
      </c>
      <c r="F493" s="112" t="s">
        <v>1243</v>
      </c>
      <c r="G493" s="112" t="s">
        <v>380</v>
      </c>
      <c r="H493" s="112" t="s">
        <v>391</v>
      </c>
      <c r="I493" s="112" t="s">
        <v>397</v>
      </c>
      <c r="J493" s="112" t="s">
        <v>1244</v>
      </c>
    </row>
    <row r="494" spans="1:10">
      <c r="A494" s="112" t="s">
        <v>855</v>
      </c>
      <c r="B494" s="112" t="s">
        <v>377</v>
      </c>
      <c r="C494" s="112" t="s">
        <v>378</v>
      </c>
      <c r="D494" s="112" t="s">
        <v>383</v>
      </c>
      <c r="E494">
        <v>3741</v>
      </c>
      <c r="F494" s="112" t="s">
        <v>1245</v>
      </c>
      <c r="G494" s="112" t="s">
        <v>380</v>
      </c>
      <c r="H494" s="112" t="s">
        <v>391</v>
      </c>
      <c r="I494">
        <v>199</v>
      </c>
    </row>
    <row r="495" spans="1:10">
      <c r="A495" s="112" t="s">
        <v>855</v>
      </c>
      <c r="B495" s="112" t="s">
        <v>377</v>
      </c>
      <c r="C495" s="112" t="s">
        <v>378</v>
      </c>
      <c r="D495" s="112" t="s">
        <v>379</v>
      </c>
      <c r="E495">
        <v>3943</v>
      </c>
      <c r="F495" s="112" t="s">
        <v>869</v>
      </c>
      <c r="G495" s="112" t="s">
        <v>742</v>
      </c>
      <c r="H495" s="112" t="s">
        <v>448</v>
      </c>
      <c r="I495">
        <v>79</v>
      </c>
    </row>
    <row r="496" spans="1:10">
      <c r="A496" s="112" t="s">
        <v>855</v>
      </c>
      <c r="B496" s="112" t="s">
        <v>377</v>
      </c>
      <c r="C496" s="112" t="s">
        <v>378</v>
      </c>
      <c r="D496" s="112" t="s">
        <v>379</v>
      </c>
      <c r="E496">
        <v>4046</v>
      </c>
      <c r="F496" s="112" t="s">
        <v>870</v>
      </c>
      <c r="G496" s="112" t="s">
        <v>380</v>
      </c>
      <c r="H496" s="112" t="s">
        <v>393</v>
      </c>
      <c r="I496" s="112">
        <v>829</v>
      </c>
      <c r="J496" s="112"/>
    </row>
    <row r="497" spans="1:10">
      <c r="A497" s="112" t="s">
        <v>855</v>
      </c>
      <c r="B497" s="112" t="s">
        <v>377</v>
      </c>
      <c r="C497" s="112" t="s">
        <v>378</v>
      </c>
      <c r="D497" s="112" t="s">
        <v>383</v>
      </c>
      <c r="E497">
        <v>4080</v>
      </c>
      <c r="F497" s="112" t="s">
        <v>871</v>
      </c>
      <c r="G497" s="112" t="s">
        <v>384</v>
      </c>
      <c r="H497" s="112" t="s">
        <v>393</v>
      </c>
      <c r="I497">
        <v>316</v>
      </c>
    </row>
    <row r="498" spans="1:10">
      <c r="A498" s="112" t="s">
        <v>855</v>
      </c>
      <c r="B498" s="112" t="s">
        <v>377</v>
      </c>
      <c r="C498" s="112" t="s">
        <v>382</v>
      </c>
      <c r="D498" s="112" t="s">
        <v>383</v>
      </c>
      <c r="E498">
        <v>4447</v>
      </c>
      <c r="F498" s="112" t="s">
        <v>872</v>
      </c>
      <c r="G498" s="112" t="s">
        <v>742</v>
      </c>
      <c r="H498" s="112" t="s">
        <v>391</v>
      </c>
      <c r="I498">
        <v>25</v>
      </c>
    </row>
    <row r="499" spans="1:10">
      <c r="A499" s="112" t="s">
        <v>855</v>
      </c>
      <c r="B499" s="112" t="s">
        <v>377</v>
      </c>
      <c r="C499" s="112" t="s">
        <v>378</v>
      </c>
      <c r="D499" s="112" t="s">
        <v>379</v>
      </c>
      <c r="E499">
        <v>4548</v>
      </c>
      <c r="F499" s="112" t="s">
        <v>873</v>
      </c>
      <c r="G499" s="112" t="s">
        <v>380</v>
      </c>
      <c r="H499" s="112" t="s">
        <v>502</v>
      </c>
      <c r="I499" s="112">
        <v>715</v>
      </c>
      <c r="J499" s="112"/>
    </row>
    <row r="500" spans="1:10">
      <c r="A500" s="112" t="s">
        <v>855</v>
      </c>
      <c r="B500" s="112" t="s">
        <v>377</v>
      </c>
      <c r="C500" s="112" t="s">
        <v>378</v>
      </c>
      <c r="D500" s="112" t="s">
        <v>379</v>
      </c>
      <c r="E500">
        <v>5192</v>
      </c>
      <c r="F500" s="112" t="s">
        <v>874</v>
      </c>
      <c r="G500" s="112" t="s">
        <v>380</v>
      </c>
      <c r="H500" s="112" t="s">
        <v>875</v>
      </c>
      <c r="I500">
        <v>687</v>
      </c>
    </row>
    <row r="501" spans="1:10">
      <c r="A501" s="112" t="s">
        <v>855</v>
      </c>
      <c r="B501" s="112" t="s">
        <v>377</v>
      </c>
      <c r="C501" s="112" t="s">
        <v>378</v>
      </c>
      <c r="D501" s="112" t="s">
        <v>379</v>
      </c>
      <c r="E501">
        <v>5964</v>
      </c>
      <c r="F501" s="112" t="s">
        <v>876</v>
      </c>
      <c r="G501" s="112" t="s">
        <v>388</v>
      </c>
      <c r="H501" s="112" t="s">
        <v>395</v>
      </c>
      <c r="I501">
        <v>22</v>
      </c>
    </row>
    <row r="502" spans="1:10">
      <c r="A502" s="112" t="s">
        <v>855</v>
      </c>
      <c r="B502" s="112" t="s">
        <v>377</v>
      </c>
      <c r="C502" s="112" t="s">
        <v>378</v>
      </c>
      <c r="D502" s="112" t="s">
        <v>379</v>
      </c>
      <c r="E502">
        <v>5989</v>
      </c>
      <c r="F502" s="112" t="s">
        <v>877</v>
      </c>
      <c r="G502" s="112" t="s">
        <v>380</v>
      </c>
      <c r="H502" s="112" t="s">
        <v>395</v>
      </c>
      <c r="I502">
        <v>245</v>
      </c>
    </row>
    <row r="503" spans="1:10">
      <c r="A503" s="112" t="s">
        <v>855</v>
      </c>
      <c r="B503" s="112" t="s">
        <v>377</v>
      </c>
      <c r="C503" s="112" t="s">
        <v>378</v>
      </c>
      <c r="D503" s="112" t="s">
        <v>379</v>
      </c>
      <c r="E503">
        <v>6240</v>
      </c>
      <c r="F503" s="112" t="s">
        <v>878</v>
      </c>
      <c r="G503" s="112" t="s">
        <v>380</v>
      </c>
      <c r="H503" s="112" t="s">
        <v>401</v>
      </c>
      <c r="I503">
        <v>601</v>
      </c>
    </row>
    <row r="504" spans="1:10">
      <c r="A504" s="112" t="s">
        <v>855</v>
      </c>
      <c r="B504" s="112" t="s">
        <v>377</v>
      </c>
      <c r="C504" s="112" t="s">
        <v>387</v>
      </c>
      <c r="D504" s="112" t="s">
        <v>379</v>
      </c>
      <c r="E504">
        <v>6537</v>
      </c>
      <c r="F504" s="112" t="s">
        <v>879</v>
      </c>
      <c r="G504" s="112" t="s">
        <v>392</v>
      </c>
      <c r="H504" s="112" t="s">
        <v>385</v>
      </c>
      <c r="I504">
        <v>68</v>
      </c>
    </row>
    <row r="505" spans="1:10">
      <c r="A505" s="112" t="s">
        <v>855</v>
      </c>
      <c r="B505" s="112" t="s">
        <v>377</v>
      </c>
      <c r="C505" s="112" t="s">
        <v>389</v>
      </c>
      <c r="D505" s="112" t="s">
        <v>379</v>
      </c>
      <c r="E505">
        <v>6662</v>
      </c>
      <c r="F505" s="112" t="s">
        <v>1029</v>
      </c>
      <c r="G505" s="112" t="s">
        <v>384</v>
      </c>
      <c r="H505" s="112" t="s">
        <v>405</v>
      </c>
      <c r="I505">
        <v>43</v>
      </c>
    </row>
    <row r="506" spans="1:10">
      <c r="A506" s="112" t="s">
        <v>855</v>
      </c>
      <c r="B506" s="112" t="s">
        <v>377</v>
      </c>
      <c r="C506" s="112" t="s">
        <v>378</v>
      </c>
      <c r="D506" s="112" t="s">
        <v>379</v>
      </c>
      <c r="E506">
        <v>6832</v>
      </c>
      <c r="F506" s="112" t="s">
        <v>880</v>
      </c>
      <c r="G506" s="112" t="s">
        <v>388</v>
      </c>
      <c r="H506" s="112" t="s">
        <v>405</v>
      </c>
      <c r="I506">
        <v>301</v>
      </c>
    </row>
    <row r="507" spans="1:10">
      <c r="A507" s="112" t="s">
        <v>855</v>
      </c>
      <c r="B507" s="112" t="s">
        <v>377</v>
      </c>
      <c r="C507" s="112" t="s">
        <v>378</v>
      </c>
      <c r="D507" s="112" t="s">
        <v>379</v>
      </c>
      <c r="E507">
        <v>7057</v>
      </c>
      <c r="F507" s="112" t="s">
        <v>881</v>
      </c>
      <c r="G507" s="112" t="s">
        <v>384</v>
      </c>
      <c r="H507" s="112" t="s">
        <v>385</v>
      </c>
      <c r="I507">
        <v>40</v>
      </c>
    </row>
    <row r="508" spans="1:10">
      <c r="A508" s="112" t="s">
        <v>855</v>
      </c>
      <c r="B508" s="112" t="s">
        <v>377</v>
      </c>
      <c r="C508" s="112" t="s">
        <v>378</v>
      </c>
      <c r="D508" s="112" t="s">
        <v>383</v>
      </c>
      <c r="E508">
        <v>7164</v>
      </c>
      <c r="F508" s="112" t="s">
        <v>882</v>
      </c>
      <c r="G508" s="112" t="s">
        <v>380</v>
      </c>
      <c r="H508" s="112" t="s">
        <v>452</v>
      </c>
      <c r="I508" s="112" t="s">
        <v>620</v>
      </c>
      <c r="J508" s="112" t="s">
        <v>1246</v>
      </c>
    </row>
    <row r="509" spans="1:10">
      <c r="A509" s="112" t="s">
        <v>855</v>
      </c>
      <c r="B509" s="112" t="s">
        <v>377</v>
      </c>
      <c r="C509" s="112" t="s">
        <v>378</v>
      </c>
      <c r="D509" s="112" t="s">
        <v>379</v>
      </c>
      <c r="E509">
        <v>7230</v>
      </c>
      <c r="F509" s="112" t="s">
        <v>883</v>
      </c>
      <c r="G509" s="112" t="s">
        <v>380</v>
      </c>
      <c r="H509" s="112" t="s">
        <v>431</v>
      </c>
      <c r="I509" s="112" t="s">
        <v>435</v>
      </c>
      <c r="J509" s="112" t="s">
        <v>1247</v>
      </c>
    </row>
    <row r="510" spans="1:10">
      <c r="A510" s="112" t="s">
        <v>855</v>
      </c>
      <c r="B510" s="112" t="s">
        <v>377</v>
      </c>
      <c r="C510" s="112" t="s">
        <v>378</v>
      </c>
      <c r="D510" s="112" t="s">
        <v>379</v>
      </c>
      <c r="E510">
        <v>7259</v>
      </c>
      <c r="F510" s="112" t="s">
        <v>885</v>
      </c>
      <c r="G510" s="112" t="s">
        <v>380</v>
      </c>
      <c r="H510" s="112" t="s">
        <v>431</v>
      </c>
      <c r="I510" s="112" t="s">
        <v>886</v>
      </c>
      <c r="J510" s="112" t="s">
        <v>1248</v>
      </c>
    </row>
    <row r="511" spans="1:10">
      <c r="A511" s="112" t="s">
        <v>855</v>
      </c>
      <c r="B511" s="112" t="s">
        <v>377</v>
      </c>
      <c r="C511" s="112" t="s">
        <v>378</v>
      </c>
      <c r="D511" s="112" t="s">
        <v>383</v>
      </c>
      <c r="E511">
        <v>7481</v>
      </c>
      <c r="F511" s="112" t="s">
        <v>887</v>
      </c>
      <c r="G511" s="112" t="s">
        <v>380</v>
      </c>
      <c r="H511" s="112" t="s">
        <v>386</v>
      </c>
      <c r="I511">
        <v>126</v>
      </c>
    </row>
    <row r="512" spans="1:10">
      <c r="A512" s="112" t="s">
        <v>855</v>
      </c>
      <c r="B512" s="112" t="s">
        <v>377</v>
      </c>
      <c r="C512" s="112" t="s">
        <v>378</v>
      </c>
      <c r="D512" s="112" t="s">
        <v>379</v>
      </c>
      <c r="E512">
        <v>7702</v>
      </c>
      <c r="F512" s="112" t="s">
        <v>888</v>
      </c>
      <c r="G512" s="112" t="s">
        <v>380</v>
      </c>
      <c r="H512" s="112" t="s">
        <v>647</v>
      </c>
      <c r="I512">
        <v>190</v>
      </c>
    </row>
    <row r="513" spans="1:10">
      <c r="A513" s="112" t="s">
        <v>855</v>
      </c>
      <c r="B513" s="112" t="s">
        <v>377</v>
      </c>
      <c r="C513" s="112" t="s">
        <v>389</v>
      </c>
      <c r="D513" s="112" t="s">
        <v>379</v>
      </c>
      <c r="E513">
        <v>7813</v>
      </c>
      <c r="F513" s="112" t="s">
        <v>889</v>
      </c>
      <c r="G513" s="112" t="s">
        <v>392</v>
      </c>
      <c r="H513" s="112" t="s">
        <v>402</v>
      </c>
      <c r="I513">
        <v>51</v>
      </c>
    </row>
    <row r="514" spans="1:10">
      <c r="A514" s="112" t="s">
        <v>855</v>
      </c>
      <c r="B514" s="112" t="s">
        <v>377</v>
      </c>
      <c r="C514" s="112" t="s">
        <v>387</v>
      </c>
      <c r="D514" s="112" t="s">
        <v>379</v>
      </c>
      <c r="E514">
        <v>7963</v>
      </c>
      <c r="F514" s="112" t="s">
        <v>890</v>
      </c>
      <c r="G514" s="112" t="s">
        <v>384</v>
      </c>
      <c r="H514" s="112" t="s">
        <v>402</v>
      </c>
      <c r="I514">
        <v>68</v>
      </c>
    </row>
    <row r="515" spans="1:10">
      <c r="A515" s="112" t="s">
        <v>855</v>
      </c>
      <c r="B515" s="112" t="s">
        <v>377</v>
      </c>
      <c r="C515" s="112" t="s">
        <v>378</v>
      </c>
      <c r="D515" s="112" t="s">
        <v>379</v>
      </c>
      <c r="E515">
        <v>8138</v>
      </c>
      <c r="F515" s="112" t="s">
        <v>891</v>
      </c>
      <c r="G515" s="112" t="s">
        <v>388</v>
      </c>
      <c r="H515" s="112" t="s">
        <v>386</v>
      </c>
      <c r="I515">
        <v>43</v>
      </c>
    </row>
    <row r="516" spans="1:10">
      <c r="A516" s="112" t="s">
        <v>855</v>
      </c>
      <c r="B516" s="112" t="s">
        <v>377</v>
      </c>
      <c r="C516" s="112" t="s">
        <v>378</v>
      </c>
      <c r="D516" s="112" t="s">
        <v>379</v>
      </c>
      <c r="E516">
        <v>8153</v>
      </c>
      <c r="F516" s="112" t="s">
        <v>892</v>
      </c>
      <c r="G516" s="112" t="s">
        <v>380</v>
      </c>
      <c r="H516" s="112" t="s">
        <v>386</v>
      </c>
      <c r="I516">
        <v>978</v>
      </c>
    </row>
    <row r="517" spans="1:10">
      <c r="A517" s="112" t="s">
        <v>855</v>
      </c>
      <c r="B517" s="112" t="s">
        <v>377</v>
      </c>
      <c r="C517" s="112" t="s">
        <v>378</v>
      </c>
      <c r="D517" s="112" t="s">
        <v>379</v>
      </c>
      <c r="E517">
        <v>8226</v>
      </c>
      <c r="F517" s="112" t="s">
        <v>893</v>
      </c>
      <c r="G517" s="112" t="s">
        <v>388</v>
      </c>
      <c r="H517" s="112" t="s">
        <v>386</v>
      </c>
      <c r="I517">
        <v>30</v>
      </c>
    </row>
    <row r="518" spans="1:10">
      <c r="A518" s="112" t="s">
        <v>855</v>
      </c>
      <c r="B518" s="112" t="s">
        <v>377</v>
      </c>
      <c r="C518" s="112" t="s">
        <v>378</v>
      </c>
      <c r="D518" s="112" t="s">
        <v>379</v>
      </c>
      <c r="E518">
        <v>8281</v>
      </c>
      <c r="F518" s="112" t="s">
        <v>894</v>
      </c>
      <c r="G518" s="112" t="s">
        <v>380</v>
      </c>
      <c r="H518" s="112" t="s">
        <v>390</v>
      </c>
      <c r="I518">
        <v>629</v>
      </c>
    </row>
    <row r="519" spans="1:10">
      <c r="A519" s="112" t="s">
        <v>855</v>
      </c>
      <c r="B519" s="112" t="s">
        <v>377</v>
      </c>
      <c r="C519" s="112" t="s">
        <v>378</v>
      </c>
      <c r="D519" s="112" t="s">
        <v>379</v>
      </c>
      <c r="E519">
        <v>9001</v>
      </c>
      <c r="F519" s="112" t="s">
        <v>895</v>
      </c>
      <c r="G519" s="112" t="s">
        <v>380</v>
      </c>
      <c r="H519" s="112" t="s">
        <v>669</v>
      </c>
      <c r="I519" s="112" t="s">
        <v>649</v>
      </c>
      <c r="J519" s="112" t="s">
        <v>1249</v>
      </c>
    </row>
    <row r="520" spans="1:10">
      <c r="A520" s="112" t="s">
        <v>855</v>
      </c>
      <c r="B520" s="112" t="s">
        <v>377</v>
      </c>
      <c r="C520" s="112" t="s">
        <v>387</v>
      </c>
      <c r="D520" s="112" t="s">
        <v>383</v>
      </c>
      <c r="E520">
        <v>9284</v>
      </c>
      <c r="F520" s="112" t="s">
        <v>1032</v>
      </c>
      <c r="G520" s="112" t="s">
        <v>467</v>
      </c>
      <c r="H520" s="112" t="s">
        <v>468</v>
      </c>
      <c r="I520">
        <v>286</v>
      </c>
    </row>
    <row r="521" spans="1:10">
      <c r="A521" s="112" t="s">
        <v>855</v>
      </c>
      <c r="B521" s="112" t="s">
        <v>377</v>
      </c>
      <c r="C521" s="112" t="s">
        <v>378</v>
      </c>
      <c r="D521" s="112" t="s">
        <v>379</v>
      </c>
      <c r="E521">
        <v>9364</v>
      </c>
      <c r="F521" s="112" t="s">
        <v>896</v>
      </c>
      <c r="G521" s="112" t="s">
        <v>380</v>
      </c>
      <c r="H521" s="112" t="s">
        <v>897</v>
      </c>
      <c r="I521" s="112" t="s">
        <v>620</v>
      </c>
      <c r="J521" s="112" t="s">
        <v>1250</v>
      </c>
    </row>
    <row r="522" spans="1:10">
      <c r="A522" s="112" t="s">
        <v>855</v>
      </c>
      <c r="B522" s="112" t="s">
        <v>377</v>
      </c>
      <c r="C522" s="112" t="s">
        <v>378</v>
      </c>
      <c r="D522" s="112" t="s">
        <v>379</v>
      </c>
      <c r="E522">
        <v>9613</v>
      </c>
      <c r="F522" s="112" t="s">
        <v>898</v>
      </c>
      <c r="G522" s="112" t="s">
        <v>380</v>
      </c>
      <c r="H522" s="112" t="s">
        <v>391</v>
      </c>
      <c r="I522" s="112" t="s">
        <v>790</v>
      </c>
      <c r="J522" s="112" t="s">
        <v>1064</v>
      </c>
    </row>
    <row r="523" spans="1:10">
      <c r="A523" s="112" t="s">
        <v>855</v>
      </c>
      <c r="B523" s="112" t="s">
        <v>377</v>
      </c>
      <c r="C523" s="112" t="s">
        <v>378</v>
      </c>
      <c r="D523" s="112" t="s">
        <v>379</v>
      </c>
      <c r="E523">
        <v>9671</v>
      </c>
      <c r="F523" s="112" t="s">
        <v>899</v>
      </c>
      <c r="G523" s="112" t="s">
        <v>380</v>
      </c>
      <c r="H523" s="112" t="s">
        <v>385</v>
      </c>
      <c r="I523" s="112">
        <v>382</v>
      </c>
      <c r="J523" s="112"/>
    </row>
    <row r="524" spans="1:10">
      <c r="A524" s="112" t="s">
        <v>855</v>
      </c>
      <c r="B524" s="112" t="s">
        <v>377</v>
      </c>
      <c r="C524" s="112" t="s">
        <v>378</v>
      </c>
      <c r="D524" s="112" t="s">
        <v>379</v>
      </c>
      <c r="E524">
        <v>9887</v>
      </c>
      <c r="F524" s="112" t="s">
        <v>900</v>
      </c>
      <c r="G524" s="112" t="s">
        <v>380</v>
      </c>
      <c r="H524" s="112" t="s">
        <v>390</v>
      </c>
      <c r="I524" s="112">
        <v>871</v>
      </c>
      <c r="J524" s="112"/>
    </row>
    <row r="525" spans="1:10">
      <c r="A525" s="112" t="s">
        <v>855</v>
      </c>
      <c r="B525" s="112" t="s">
        <v>377</v>
      </c>
      <c r="C525" s="112" t="s">
        <v>378</v>
      </c>
      <c r="D525" s="112" t="s">
        <v>379</v>
      </c>
      <c r="E525">
        <v>9896</v>
      </c>
      <c r="F525" s="112" t="s">
        <v>901</v>
      </c>
      <c r="G525" s="112" t="s">
        <v>380</v>
      </c>
      <c r="H525" s="112" t="s">
        <v>386</v>
      </c>
      <c r="I525">
        <v>205</v>
      </c>
    </row>
    <row r="526" spans="1:10">
      <c r="A526" s="112" t="s">
        <v>902</v>
      </c>
      <c r="B526" s="112" t="s">
        <v>377</v>
      </c>
      <c r="C526" s="112" t="s">
        <v>378</v>
      </c>
      <c r="D526" s="112" t="s">
        <v>383</v>
      </c>
      <c r="E526">
        <v>1450</v>
      </c>
      <c r="F526" s="112" t="s">
        <v>903</v>
      </c>
      <c r="G526" s="112" t="s">
        <v>384</v>
      </c>
      <c r="H526" s="112" t="s">
        <v>414</v>
      </c>
      <c r="I526">
        <v>53</v>
      </c>
    </row>
    <row r="527" spans="1:10">
      <c r="A527" s="112" t="s">
        <v>902</v>
      </c>
      <c r="B527" s="112" t="s">
        <v>377</v>
      </c>
      <c r="C527" s="112" t="s">
        <v>378</v>
      </c>
      <c r="D527" s="112" t="s">
        <v>379</v>
      </c>
      <c r="E527">
        <v>1451</v>
      </c>
      <c r="F527" s="112" t="s">
        <v>904</v>
      </c>
      <c r="G527" s="112" t="s">
        <v>388</v>
      </c>
      <c r="H527" s="112" t="s">
        <v>414</v>
      </c>
      <c r="I527" s="112">
        <v>31</v>
      </c>
      <c r="J527" s="112"/>
    </row>
    <row r="528" spans="1:10">
      <c r="A528" s="112" t="s">
        <v>902</v>
      </c>
      <c r="B528" s="112" t="s">
        <v>377</v>
      </c>
      <c r="C528" s="112" t="s">
        <v>387</v>
      </c>
      <c r="D528" s="112" t="s">
        <v>379</v>
      </c>
      <c r="E528">
        <v>1605</v>
      </c>
      <c r="F528" s="112" t="s">
        <v>905</v>
      </c>
      <c r="G528" s="112" t="s">
        <v>380</v>
      </c>
      <c r="H528" s="112" t="s">
        <v>906</v>
      </c>
      <c r="I528" s="112" t="s">
        <v>907</v>
      </c>
      <c r="J528" s="112" t="s">
        <v>884</v>
      </c>
    </row>
    <row r="529" spans="1:10">
      <c r="A529" s="112" t="s">
        <v>902</v>
      </c>
      <c r="B529" s="112" t="s">
        <v>377</v>
      </c>
      <c r="C529" s="112" t="s">
        <v>378</v>
      </c>
      <c r="D529" s="112" t="s">
        <v>379</v>
      </c>
      <c r="E529">
        <v>1866</v>
      </c>
      <c r="F529" s="112" t="s">
        <v>908</v>
      </c>
      <c r="G529" s="112" t="s">
        <v>380</v>
      </c>
      <c r="H529" s="112" t="s">
        <v>414</v>
      </c>
      <c r="I529">
        <v>179</v>
      </c>
    </row>
    <row r="530" spans="1:10">
      <c r="A530" s="112" t="s">
        <v>902</v>
      </c>
      <c r="B530" s="112" t="s">
        <v>377</v>
      </c>
      <c r="C530" s="112" t="s">
        <v>387</v>
      </c>
      <c r="D530" s="112" t="s">
        <v>379</v>
      </c>
      <c r="E530">
        <v>1899</v>
      </c>
      <c r="F530" s="112" t="s">
        <v>909</v>
      </c>
      <c r="G530" s="112" t="s">
        <v>380</v>
      </c>
      <c r="H530" s="112" t="s">
        <v>414</v>
      </c>
      <c r="I530" s="112">
        <v>442</v>
      </c>
      <c r="J530" s="112"/>
    </row>
    <row r="531" spans="1:10">
      <c r="A531" s="112" t="s">
        <v>902</v>
      </c>
      <c r="B531" s="112" t="s">
        <v>377</v>
      </c>
      <c r="C531" s="112" t="s">
        <v>378</v>
      </c>
      <c r="D531" s="112" t="s">
        <v>379</v>
      </c>
      <c r="E531">
        <v>1952</v>
      </c>
      <c r="F531" s="112" t="s">
        <v>910</v>
      </c>
      <c r="G531" s="112" t="s">
        <v>380</v>
      </c>
      <c r="H531" s="112" t="s">
        <v>414</v>
      </c>
      <c r="I531">
        <v>543</v>
      </c>
    </row>
    <row r="532" spans="1:10">
      <c r="A532" s="112" t="s">
        <v>902</v>
      </c>
      <c r="B532" s="112" t="s">
        <v>377</v>
      </c>
      <c r="C532" s="112" t="s">
        <v>378</v>
      </c>
      <c r="D532" s="112" t="s">
        <v>379</v>
      </c>
      <c r="E532">
        <v>2134</v>
      </c>
      <c r="F532" s="112" t="s">
        <v>911</v>
      </c>
      <c r="G532" s="112" t="s">
        <v>384</v>
      </c>
      <c r="H532" s="112" t="s">
        <v>385</v>
      </c>
      <c r="I532">
        <v>45</v>
      </c>
    </row>
    <row r="533" spans="1:10">
      <c r="A533" s="112" t="s">
        <v>902</v>
      </c>
      <c r="B533" s="112" t="s">
        <v>377</v>
      </c>
      <c r="C533" s="112" t="s">
        <v>378</v>
      </c>
      <c r="D533" s="112" t="s">
        <v>379</v>
      </c>
      <c r="E533">
        <v>2831</v>
      </c>
      <c r="F533" s="112" t="s">
        <v>1251</v>
      </c>
      <c r="G533" s="112" t="s">
        <v>388</v>
      </c>
      <c r="H533" s="112" t="s">
        <v>381</v>
      </c>
      <c r="I533">
        <v>270</v>
      </c>
    </row>
    <row r="534" spans="1:10">
      <c r="A534" s="112" t="s">
        <v>902</v>
      </c>
      <c r="B534" s="112" t="s">
        <v>377</v>
      </c>
      <c r="C534" s="112" t="s">
        <v>382</v>
      </c>
      <c r="D534" s="112" t="s">
        <v>379</v>
      </c>
      <c r="E534">
        <v>2974</v>
      </c>
      <c r="F534" s="112" t="s">
        <v>912</v>
      </c>
      <c r="G534" s="112" t="s">
        <v>742</v>
      </c>
      <c r="H534" s="112" t="s">
        <v>406</v>
      </c>
      <c r="I534">
        <v>35</v>
      </c>
    </row>
    <row r="535" spans="1:10">
      <c r="A535" s="112" t="s">
        <v>902</v>
      </c>
      <c r="B535" s="112" t="s">
        <v>377</v>
      </c>
      <c r="C535" s="112" t="s">
        <v>378</v>
      </c>
      <c r="D535" s="112" t="s">
        <v>379</v>
      </c>
      <c r="E535">
        <v>2976</v>
      </c>
      <c r="F535" s="112" t="s">
        <v>913</v>
      </c>
      <c r="G535" s="112" t="s">
        <v>914</v>
      </c>
      <c r="H535" s="112" t="s">
        <v>406</v>
      </c>
      <c r="I535">
        <v>14</v>
      </c>
    </row>
    <row r="536" spans="1:10">
      <c r="A536" s="112" t="s">
        <v>902</v>
      </c>
      <c r="B536" s="112" t="s">
        <v>377</v>
      </c>
      <c r="C536" s="112" t="s">
        <v>378</v>
      </c>
      <c r="D536" s="112" t="s">
        <v>379</v>
      </c>
      <c r="E536">
        <v>3291</v>
      </c>
      <c r="F536" s="112" t="s">
        <v>1252</v>
      </c>
      <c r="G536" s="112" t="s">
        <v>380</v>
      </c>
      <c r="H536" s="112" t="s">
        <v>406</v>
      </c>
      <c r="I536" s="112" t="s">
        <v>397</v>
      </c>
      <c r="J536" s="112" t="s">
        <v>1253</v>
      </c>
    </row>
    <row r="537" spans="1:10">
      <c r="A537" s="112" t="s">
        <v>902</v>
      </c>
      <c r="B537" s="112" t="s">
        <v>377</v>
      </c>
      <c r="C537" s="112" t="s">
        <v>378</v>
      </c>
      <c r="D537" s="112" t="s">
        <v>379</v>
      </c>
      <c r="E537">
        <v>3372</v>
      </c>
      <c r="F537" s="112" t="s">
        <v>1254</v>
      </c>
      <c r="G537" s="112" t="s">
        <v>388</v>
      </c>
      <c r="H537" s="112" t="s">
        <v>390</v>
      </c>
      <c r="I537">
        <v>52</v>
      </c>
    </row>
    <row r="538" spans="1:10">
      <c r="A538" s="112" t="s">
        <v>902</v>
      </c>
      <c r="B538" s="112" t="s">
        <v>377</v>
      </c>
      <c r="C538" s="112" t="s">
        <v>387</v>
      </c>
      <c r="D538" s="112" t="s">
        <v>379</v>
      </c>
      <c r="E538">
        <v>3606</v>
      </c>
      <c r="F538" s="112" t="s">
        <v>915</v>
      </c>
      <c r="G538" s="112" t="s">
        <v>380</v>
      </c>
      <c r="H538" s="112" t="s">
        <v>446</v>
      </c>
      <c r="I538">
        <v>114</v>
      </c>
    </row>
    <row r="539" spans="1:10">
      <c r="A539" s="112" t="s">
        <v>902</v>
      </c>
      <c r="B539" s="112" t="s">
        <v>377</v>
      </c>
      <c r="C539" s="112" t="s">
        <v>378</v>
      </c>
      <c r="D539" s="112" t="s">
        <v>383</v>
      </c>
      <c r="E539">
        <v>3652</v>
      </c>
      <c r="F539" s="112" t="s">
        <v>1255</v>
      </c>
      <c r="G539" s="112" t="s">
        <v>392</v>
      </c>
      <c r="H539" s="112" t="s">
        <v>391</v>
      </c>
      <c r="I539">
        <v>132</v>
      </c>
    </row>
    <row r="540" spans="1:10">
      <c r="A540" s="112" t="s">
        <v>902</v>
      </c>
      <c r="B540" s="112" t="s">
        <v>377</v>
      </c>
      <c r="C540" s="112" t="s">
        <v>387</v>
      </c>
      <c r="D540" s="112" t="s">
        <v>383</v>
      </c>
      <c r="E540">
        <v>3719</v>
      </c>
      <c r="F540" s="112" t="s">
        <v>1256</v>
      </c>
      <c r="G540" s="112" t="s">
        <v>384</v>
      </c>
      <c r="H540" s="112" t="s">
        <v>391</v>
      </c>
      <c r="I540">
        <v>26</v>
      </c>
    </row>
    <row r="541" spans="1:10">
      <c r="A541" s="112" t="s">
        <v>902</v>
      </c>
      <c r="B541" s="112" t="s">
        <v>377</v>
      </c>
      <c r="C541" s="112" t="s">
        <v>389</v>
      </c>
      <c r="D541" s="112" t="s">
        <v>379</v>
      </c>
      <c r="E541">
        <v>3856</v>
      </c>
      <c r="F541" s="112" t="s">
        <v>916</v>
      </c>
      <c r="G541" s="112" t="s">
        <v>388</v>
      </c>
      <c r="H541" s="112" t="s">
        <v>405</v>
      </c>
      <c r="I541">
        <v>30</v>
      </c>
    </row>
    <row r="542" spans="1:10">
      <c r="A542" s="112" t="s">
        <v>902</v>
      </c>
      <c r="B542" s="112" t="s">
        <v>377</v>
      </c>
      <c r="C542" s="112" t="s">
        <v>378</v>
      </c>
      <c r="D542" s="112" t="s">
        <v>379</v>
      </c>
      <c r="E542">
        <v>3896</v>
      </c>
      <c r="F542" s="112" t="s">
        <v>917</v>
      </c>
      <c r="G542" s="112" t="s">
        <v>380</v>
      </c>
      <c r="H542" s="112" t="s">
        <v>448</v>
      </c>
      <c r="I542">
        <v>71</v>
      </c>
    </row>
    <row r="543" spans="1:10">
      <c r="A543" s="112" t="s">
        <v>902</v>
      </c>
      <c r="B543" s="112" t="s">
        <v>377</v>
      </c>
      <c r="C543" s="112" t="s">
        <v>387</v>
      </c>
      <c r="D543" s="112" t="s">
        <v>379</v>
      </c>
      <c r="E543">
        <v>3902</v>
      </c>
      <c r="F543" s="112" t="s">
        <v>918</v>
      </c>
      <c r="G543" s="112" t="s">
        <v>380</v>
      </c>
      <c r="H543" s="112" t="s">
        <v>391</v>
      </c>
      <c r="I543">
        <v>387</v>
      </c>
    </row>
    <row r="544" spans="1:10">
      <c r="A544" s="112" t="s">
        <v>902</v>
      </c>
      <c r="B544" s="112" t="s">
        <v>377</v>
      </c>
      <c r="C544" s="112" t="s">
        <v>378</v>
      </c>
      <c r="D544" s="112" t="s">
        <v>379</v>
      </c>
      <c r="E544">
        <v>3963</v>
      </c>
      <c r="F544" s="112" t="s">
        <v>919</v>
      </c>
      <c r="G544" s="112" t="s">
        <v>380</v>
      </c>
      <c r="H544" s="112" t="s">
        <v>391</v>
      </c>
      <c r="I544">
        <v>143</v>
      </c>
    </row>
    <row r="545" spans="1:10">
      <c r="A545" s="112" t="s">
        <v>902</v>
      </c>
      <c r="B545" s="112" t="s">
        <v>377</v>
      </c>
      <c r="C545" s="112" t="s">
        <v>387</v>
      </c>
      <c r="D545" s="112" t="s">
        <v>379</v>
      </c>
      <c r="E545">
        <v>4245</v>
      </c>
      <c r="F545" s="112" t="s">
        <v>920</v>
      </c>
      <c r="G545" s="112" t="s">
        <v>380</v>
      </c>
      <c r="H545" s="112" t="s">
        <v>393</v>
      </c>
      <c r="I545">
        <v>129</v>
      </c>
    </row>
    <row r="546" spans="1:10">
      <c r="A546" s="112" t="s">
        <v>902</v>
      </c>
      <c r="B546" s="112" t="s">
        <v>377</v>
      </c>
      <c r="C546" s="112" t="s">
        <v>387</v>
      </c>
      <c r="D546" s="112" t="s">
        <v>379</v>
      </c>
      <c r="E546">
        <v>4251</v>
      </c>
      <c r="F546" s="112" t="s">
        <v>921</v>
      </c>
      <c r="G546" s="112" t="s">
        <v>388</v>
      </c>
      <c r="H546" s="112" t="s">
        <v>393</v>
      </c>
      <c r="I546">
        <v>81</v>
      </c>
    </row>
    <row r="547" spans="1:10">
      <c r="A547" s="112" t="s">
        <v>902</v>
      </c>
      <c r="B547" s="112" t="s">
        <v>377</v>
      </c>
      <c r="C547" s="112" t="s">
        <v>378</v>
      </c>
      <c r="D547" s="112" t="s">
        <v>379</v>
      </c>
      <c r="E547">
        <v>4425</v>
      </c>
      <c r="F547" s="112" t="s">
        <v>922</v>
      </c>
      <c r="G547" s="112" t="s">
        <v>392</v>
      </c>
      <c r="H547" s="112" t="s">
        <v>391</v>
      </c>
      <c r="I547">
        <v>622</v>
      </c>
    </row>
    <row r="548" spans="1:10">
      <c r="A548" s="112" t="s">
        <v>902</v>
      </c>
      <c r="B548" s="112" t="s">
        <v>377</v>
      </c>
      <c r="C548" s="112" t="s">
        <v>378</v>
      </c>
      <c r="D548" s="112" t="s">
        <v>383</v>
      </c>
      <c r="E548">
        <v>4435</v>
      </c>
      <c r="F548" s="112" t="s">
        <v>923</v>
      </c>
      <c r="G548" s="112" t="s">
        <v>392</v>
      </c>
      <c r="H548" s="112" t="s">
        <v>391</v>
      </c>
      <c r="I548">
        <v>450</v>
      </c>
    </row>
    <row r="549" spans="1:10">
      <c r="A549" s="112" t="s">
        <v>902</v>
      </c>
      <c r="B549" s="112" t="s">
        <v>377</v>
      </c>
      <c r="C549" s="112" t="s">
        <v>378</v>
      </c>
      <c r="D549" s="112" t="s">
        <v>379</v>
      </c>
      <c r="E549">
        <v>4442</v>
      </c>
      <c r="F549" s="112" t="s">
        <v>924</v>
      </c>
      <c r="G549" s="112" t="s">
        <v>392</v>
      </c>
      <c r="H549" s="112" t="s">
        <v>391</v>
      </c>
      <c r="I549">
        <v>117</v>
      </c>
    </row>
    <row r="550" spans="1:10">
      <c r="A550" s="112" t="s">
        <v>902</v>
      </c>
      <c r="B550" s="112" t="s">
        <v>377</v>
      </c>
      <c r="C550" s="112" t="s">
        <v>387</v>
      </c>
      <c r="D550" s="112" t="s">
        <v>383</v>
      </c>
      <c r="E550">
        <v>4448</v>
      </c>
      <c r="F550" s="112" t="s">
        <v>925</v>
      </c>
      <c r="G550" s="112" t="s">
        <v>392</v>
      </c>
      <c r="H550" s="112" t="s">
        <v>391</v>
      </c>
      <c r="I550">
        <v>422</v>
      </c>
    </row>
    <row r="551" spans="1:10">
      <c r="A551" s="112" t="s">
        <v>902</v>
      </c>
      <c r="B551" s="112" t="s">
        <v>377</v>
      </c>
      <c r="C551" s="112" t="s">
        <v>387</v>
      </c>
      <c r="D551" s="112" t="s">
        <v>379</v>
      </c>
      <c r="E551">
        <v>4449</v>
      </c>
      <c r="F551" s="112" t="s">
        <v>926</v>
      </c>
      <c r="G551" s="112" t="s">
        <v>392</v>
      </c>
      <c r="H551" s="112" t="s">
        <v>391</v>
      </c>
      <c r="I551">
        <v>457</v>
      </c>
    </row>
    <row r="552" spans="1:10">
      <c r="A552" s="112" t="s">
        <v>902</v>
      </c>
      <c r="B552" s="112" t="s">
        <v>377</v>
      </c>
      <c r="C552" s="112" t="s">
        <v>387</v>
      </c>
      <c r="D552" s="112" t="s">
        <v>383</v>
      </c>
      <c r="E552">
        <v>4450</v>
      </c>
      <c r="F552" s="112" t="s">
        <v>927</v>
      </c>
      <c r="G552" s="112" t="s">
        <v>392</v>
      </c>
      <c r="H552" s="112" t="s">
        <v>391</v>
      </c>
      <c r="I552">
        <v>59</v>
      </c>
    </row>
    <row r="553" spans="1:10">
      <c r="A553" s="112" t="s">
        <v>902</v>
      </c>
      <c r="B553" s="112" t="s">
        <v>377</v>
      </c>
      <c r="C553" s="112" t="s">
        <v>382</v>
      </c>
      <c r="D553" s="112" t="s">
        <v>379</v>
      </c>
      <c r="E553">
        <v>4475</v>
      </c>
      <c r="F553" s="112" t="s">
        <v>928</v>
      </c>
      <c r="G553" s="112" t="s">
        <v>392</v>
      </c>
      <c r="H553" s="112" t="s">
        <v>391</v>
      </c>
      <c r="I553">
        <v>269</v>
      </c>
    </row>
    <row r="554" spans="1:10">
      <c r="A554" s="112" t="s">
        <v>902</v>
      </c>
      <c r="B554" s="112" t="s">
        <v>377</v>
      </c>
      <c r="C554" s="112" t="s">
        <v>387</v>
      </c>
      <c r="D554" s="112" t="s">
        <v>383</v>
      </c>
      <c r="E554">
        <v>4476</v>
      </c>
      <c r="F554" s="112" t="s">
        <v>929</v>
      </c>
      <c r="G554" s="112" t="s">
        <v>392</v>
      </c>
      <c r="H554" s="112" t="s">
        <v>391</v>
      </c>
      <c r="I554">
        <v>101</v>
      </c>
    </row>
    <row r="555" spans="1:10">
      <c r="A555" s="112" t="s">
        <v>902</v>
      </c>
      <c r="B555" s="112" t="s">
        <v>377</v>
      </c>
      <c r="C555" s="112" t="s">
        <v>387</v>
      </c>
      <c r="D555" s="112" t="s">
        <v>379</v>
      </c>
      <c r="E555">
        <v>4477</v>
      </c>
      <c r="F555" s="112" t="s">
        <v>930</v>
      </c>
      <c r="G555" s="112" t="s">
        <v>392</v>
      </c>
      <c r="H555" s="112" t="s">
        <v>391</v>
      </c>
      <c r="I555">
        <v>393</v>
      </c>
    </row>
    <row r="556" spans="1:10">
      <c r="A556" s="112" t="s">
        <v>902</v>
      </c>
      <c r="B556" s="112" t="s">
        <v>377</v>
      </c>
      <c r="C556" s="112" t="s">
        <v>387</v>
      </c>
      <c r="D556" s="112" t="s">
        <v>379</v>
      </c>
      <c r="E556">
        <v>4631</v>
      </c>
      <c r="F556" s="112" t="s">
        <v>931</v>
      </c>
      <c r="G556" s="112" t="s">
        <v>380</v>
      </c>
      <c r="H556" s="112" t="s">
        <v>393</v>
      </c>
      <c r="I556" s="112" t="s">
        <v>403</v>
      </c>
      <c r="J556" s="112" t="s">
        <v>1257</v>
      </c>
    </row>
    <row r="557" spans="1:10">
      <c r="A557" s="112" t="s">
        <v>902</v>
      </c>
      <c r="B557" s="112" t="s">
        <v>377</v>
      </c>
      <c r="C557" s="112" t="s">
        <v>378</v>
      </c>
      <c r="D557" s="112" t="s">
        <v>379</v>
      </c>
      <c r="E557">
        <v>4691</v>
      </c>
      <c r="F557" s="112" t="s">
        <v>932</v>
      </c>
      <c r="G557" s="112" t="s">
        <v>388</v>
      </c>
      <c r="H557" s="112" t="s">
        <v>385</v>
      </c>
      <c r="I557">
        <v>167</v>
      </c>
    </row>
    <row r="558" spans="1:10">
      <c r="A558" s="112" t="s">
        <v>902</v>
      </c>
      <c r="B558" s="112" t="s">
        <v>377</v>
      </c>
      <c r="C558" s="112" t="s">
        <v>389</v>
      </c>
      <c r="D558" s="112" t="s">
        <v>379</v>
      </c>
      <c r="E558">
        <v>4845</v>
      </c>
      <c r="F558" s="112" t="s">
        <v>933</v>
      </c>
      <c r="G558" s="112" t="s">
        <v>380</v>
      </c>
      <c r="H558" s="112" t="s">
        <v>391</v>
      </c>
      <c r="I558">
        <v>136</v>
      </c>
    </row>
    <row r="559" spans="1:10">
      <c r="A559" s="112" t="s">
        <v>902</v>
      </c>
      <c r="B559" s="112" t="s">
        <v>377</v>
      </c>
      <c r="C559" s="112" t="s">
        <v>378</v>
      </c>
      <c r="D559" s="112" t="s">
        <v>379</v>
      </c>
      <c r="E559">
        <v>6082</v>
      </c>
      <c r="F559" s="112" t="s">
        <v>934</v>
      </c>
      <c r="G559" s="112" t="s">
        <v>380</v>
      </c>
      <c r="H559" s="112" t="s">
        <v>385</v>
      </c>
      <c r="I559">
        <v>218</v>
      </c>
    </row>
    <row r="560" spans="1:10">
      <c r="A560" s="112" t="s">
        <v>902</v>
      </c>
      <c r="B560" s="112" t="s">
        <v>377</v>
      </c>
      <c r="C560" s="112" t="s">
        <v>378</v>
      </c>
      <c r="D560" s="112" t="s">
        <v>379</v>
      </c>
      <c r="E560">
        <v>6408</v>
      </c>
      <c r="F560" s="112" t="s">
        <v>935</v>
      </c>
      <c r="G560" s="112" t="s">
        <v>384</v>
      </c>
      <c r="H560" s="112" t="s">
        <v>401</v>
      </c>
      <c r="I560">
        <v>48</v>
      </c>
    </row>
    <row r="561" spans="1:9">
      <c r="A561" s="112" t="s">
        <v>902</v>
      </c>
      <c r="B561" s="112" t="s">
        <v>377</v>
      </c>
      <c r="C561" s="112" t="s">
        <v>378</v>
      </c>
      <c r="D561" s="112" t="s">
        <v>379</v>
      </c>
      <c r="E561">
        <v>6424</v>
      </c>
      <c r="F561" s="112" t="s">
        <v>936</v>
      </c>
      <c r="G561" s="112" t="s">
        <v>384</v>
      </c>
      <c r="H561" s="112" t="s">
        <v>401</v>
      </c>
      <c r="I561">
        <v>61</v>
      </c>
    </row>
    <row r="562" spans="1:9">
      <c r="A562" s="112" t="s">
        <v>902</v>
      </c>
      <c r="B562" s="112" t="s">
        <v>377</v>
      </c>
      <c r="C562" s="112" t="s">
        <v>378</v>
      </c>
      <c r="D562" s="112" t="s">
        <v>379</v>
      </c>
      <c r="E562">
        <v>6517</v>
      </c>
      <c r="F562" s="112" t="s">
        <v>937</v>
      </c>
      <c r="G562" s="112" t="s">
        <v>380</v>
      </c>
      <c r="H562" s="112" t="s">
        <v>405</v>
      </c>
      <c r="I562">
        <v>507</v>
      </c>
    </row>
    <row r="563" spans="1:9">
      <c r="A563" s="112" t="s">
        <v>902</v>
      </c>
      <c r="B563" s="112" t="s">
        <v>377</v>
      </c>
      <c r="C563" s="112" t="s">
        <v>378</v>
      </c>
      <c r="D563" s="112" t="s">
        <v>379</v>
      </c>
      <c r="E563">
        <v>6574</v>
      </c>
      <c r="F563" s="112" t="s">
        <v>938</v>
      </c>
      <c r="G563" s="112" t="s">
        <v>392</v>
      </c>
      <c r="H563" s="112" t="s">
        <v>385</v>
      </c>
      <c r="I563">
        <v>32</v>
      </c>
    </row>
    <row r="564" spans="1:9">
      <c r="A564" s="112" t="s">
        <v>902</v>
      </c>
      <c r="B564" s="112" t="s">
        <v>377</v>
      </c>
      <c r="C564" s="112" t="s">
        <v>389</v>
      </c>
      <c r="D564" s="112" t="s">
        <v>383</v>
      </c>
      <c r="E564">
        <v>6597</v>
      </c>
      <c r="F564" s="112" t="s">
        <v>939</v>
      </c>
      <c r="G564" s="112" t="s">
        <v>392</v>
      </c>
      <c r="H564" s="112" t="s">
        <v>405</v>
      </c>
      <c r="I564">
        <v>78</v>
      </c>
    </row>
    <row r="565" spans="1:9">
      <c r="A565" s="112" t="s">
        <v>902</v>
      </c>
      <c r="B565" s="112" t="s">
        <v>377</v>
      </c>
      <c r="C565" s="112" t="s">
        <v>378</v>
      </c>
      <c r="D565" s="112" t="s">
        <v>379</v>
      </c>
      <c r="E565">
        <v>6706</v>
      </c>
      <c r="F565" s="112" t="s">
        <v>940</v>
      </c>
      <c r="G565" s="112" t="s">
        <v>380</v>
      </c>
      <c r="H565" s="112" t="s">
        <v>405</v>
      </c>
      <c r="I565">
        <v>446</v>
      </c>
    </row>
    <row r="566" spans="1:9">
      <c r="A566" s="112" t="s">
        <v>902</v>
      </c>
      <c r="B566" s="112" t="s">
        <v>377</v>
      </c>
      <c r="C566" s="112" t="s">
        <v>378</v>
      </c>
      <c r="D566" s="112" t="s">
        <v>379</v>
      </c>
      <c r="E566">
        <v>6819</v>
      </c>
      <c r="F566" s="112" t="s">
        <v>941</v>
      </c>
      <c r="G566" s="112" t="s">
        <v>384</v>
      </c>
      <c r="H566" s="112" t="s">
        <v>385</v>
      </c>
      <c r="I566">
        <v>36</v>
      </c>
    </row>
    <row r="567" spans="1:9">
      <c r="A567" s="112" t="s">
        <v>902</v>
      </c>
      <c r="B567" s="112" t="s">
        <v>377</v>
      </c>
      <c r="C567" s="112" t="s">
        <v>387</v>
      </c>
      <c r="D567" s="112" t="s">
        <v>379</v>
      </c>
      <c r="E567">
        <v>6870</v>
      </c>
      <c r="F567" s="112" t="s">
        <v>942</v>
      </c>
      <c r="G567" s="112" t="s">
        <v>388</v>
      </c>
      <c r="H567" s="112" t="s">
        <v>405</v>
      </c>
      <c r="I567">
        <v>90</v>
      </c>
    </row>
    <row r="568" spans="1:9">
      <c r="A568" s="112" t="s">
        <v>902</v>
      </c>
      <c r="B568" s="112" t="s">
        <v>377</v>
      </c>
      <c r="C568" s="112" t="s">
        <v>378</v>
      </c>
      <c r="D568" s="112" t="s">
        <v>379</v>
      </c>
      <c r="E568">
        <v>7059</v>
      </c>
      <c r="F568" s="112" t="s">
        <v>1258</v>
      </c>
      <c r="G568" s="112" t="s">
        <v>392</v>
      </c>
      <c r="H568" s="112" t="s">
        <v>385</v>
      </c>
      <c r="I568">
        <v>141</v>
      </c>
    </row>
    <row r="569" spans="1:9">
      <c r="A569" s="112" t="s">
        <v>902</v>
      </c>
      <c r="B569" s="112" t="s">
        <v>377</v>
      </c>
      <c r="C569" s="112" t="s">
        <v>378</v>
      </c>
      <c r="D569" s="112" t="s">
        <v>379</v>
      </c>
      <c r="E569">
        <v>7060</v>
      </c>
      <c r="F569" s="112" t="s">
        <v>943</v>
      </c>
      <c r="G569" s="112" t="s">
        <v>392</v>
      </c>
      <c r="H569" s="112" t="s">
        <v>385</v>
      </c>
      <c r="I569">
        <v>176</v>
      </c>
    </row>
    <row r="570" spans="1:9">
      <c r="A570" s="112" t="s">
        <v>902</v>
      </c>
      <c r="B570" s="112" t="s">
        <v>377</v>
      </c>
      <c r="C570" s="112" t="s">
        <v>389</v>
      </c>
      <c r="D570" s="112" t="s">
        <v>379</v>
      </c>
      <c r="E570">
        <v>7063</v>
      </c>
      <c r="F570" s="112" t="s">
        <v>944</v>
      </c>
      <c r="G570" s="112" t="s">
        <v>392</v>
      </c>
      <c r="H570" s="112" t="s">
        <v>385</v>
      </c>
      <c r="I570">
        <v>67</v>
      </c>
    </row>
    <row r="571" spans="1:9">
      <c r="A571" s="112" t="s">
        <v>902</v>
      </c>
      <c r="B571" s="112" t="s">
        <v>377</v>
      </c>
      <c r="C571" s="112" t="s">
        <v>378</v>
      </c>
      <c r="D571" s="112" t="s">
        <v>379</v>
      </c>
      <c r="E571">
        <v>7067</v>
      </c>
      <c r="F571" s="112" t="s">
        <v>945</v>
      </c>
      <c r="G571" s="112" t="s">
        <v>392</v>
      </c>
      <c r="H571" s="112" t="s">
        <v>385</v>
      </c>
      <c r="I571">
        <v>37</v>
      </c>
    </row>
    <row r="572" spans="1:9">
      <c r="A572" s="112" t="s">
        <v>902</v>
      </c>
      <c r="B572" s="112" t="s">
        <v>377</v>
      </c>
      <c r="C572" s="112" t="s">
        <v>382</v>
      </c>
      <c r="D572" s="112" t="s">
        <v>383</v>
      </c>
      <c r="E572">
        <v>7072</v>
      </c>
      <c r="F572" s="112" t="s">
        <v>946</v>
      </c>
      <c r="G572" s="112" t="s">
        <v>392</v>
      </c>
      <c r="H572" s="112" t="s">
        <v>385</v>
      </c>
      <c r="I572">
        <v>78</v>
      </c>
    </row>
    <row r="573" spans="1:9">
      <c r="A573" s="112" t="s">
        <v>902</v>
      </c>
      <c r="B573" s="112" t="s">
        <v>377</v>
      </c>
      <c r="C573" s="112" t="s">
        <v>378</v>
      </c>
      <c r="D573" s="112" t="s">
        <v>379</v>
      </c>
      <c r="E573">
        <v>7239</v>
      </c>
      <c r="F573" s="112" t="s">
        <v>947</v>
      </c>
      <c r="G573" s="112" t="s">
        <v>380</v>
      </c>
      <c r="H573" s="112" t="s">
        <v>431</v>
      </c>
      <c r="I573">
        <v>513</v>
      </c>
    </row>
    <row r="574" spans="1:9">
      <c r="A574" s="112" t="s">
        <v>902</v>
      </c>
      <c r="B574" s="112" t="s">
        <v>377</v>
      </c>
      <c r="C574" s="112" t="s">
        <v>378</v>
      </c>
      <c r="D574" s="112" t="s">
        <v>379</v>
      </c>
      <c r="E574">
        <v>7242</v>
      </c>
      <c r="F574" s="112" t="s">
        <v>948</v>
      </c>
      <c r="G574" s="112" t="s">
        <v>380</v>
      </c>
      <c r="H574" s="112" t="s">
        <v>431</v>
      </c>
      <c r="I574">
        <v>855</v>
      </c>
    </row>
    <row r="575" spans="1:9">
      <c r="A575" s="112" t="s">
        <v>902</v>
      </c>
      <c r="B575" s="112" t="s">
        <v>377</v>
      </c>
      <c r="C575" s="112" t="s">
        <v>389</v>
      </c>
      <c r="D575" s="112" t="s">
        <v>379</v>
      </c>
      <c r="E575">
        <v>7325</v>
      </c>
      <c r="F575" s="112" t="s">
        <v>1034</v>
      </c>
      <c r="G575" s="112" t="s">
        <v>392</v>
      </c>
      <c r="H575" s="112" t="s">
        <v>1035</v>
      </c>
      <c r="I575">
        <v>116</v>
      </c>
    </row>
    <row r="576" spans="1:9">
      <c r="A576" s="112" t="s">
        <v>902</v>
      </c>
      <c r="B576" s="112" t="s">
        <v>377</v>
      </c>
      <c r="C576" s="112" t="s">
        <v>378</v>
      </c>
      <c r="D576" s="112" t="s">
        <v>379</v>
      </c>
      <c r="E576">
        <v>7593</v>
      </c>
      <c r="F576" s="112" t="s">
        <v>1259</v>
      </c>
      <c r="G576" s="112" t="s">
        <v>380</v>
      </c>
      <c r="H576" s="112" t="s">
        <v>390</v>
      </c>
      <c r="I576">
        <v>566</v>
      </c>
    </row>
    <row r="577" spans="1:10">
      <c r="A577" s="112" t="s">
        <v>902</v>
      </c>
      <c r="B577" s="112" t="s">
        <v>377</v>
      </c>
      <c r="C577" s="112" t="s">
        <v>389</v>
      </c>
      <c r="D577" s="112" t="s">
        <v>383</v>
      </c>
      <c r="E577">
        <v>7674</v>
      </c>
      <c r="F577" s="112" t="s">
        <v>949</v>
      </c>
      <c r="G577" s="112" t="s">
        <v>392</v>
      </c>
      <c r="H577" s="112" t="s">
        <v>390</v>
      </c>
      <c r="I577">
        <v>74</v>
      </c>
    </row>
    <row r="578" spans="1:10">
      <c r="A578" s="112" t="s">
        <v>902</v>
      </c>
      <c r="B578" s="112" t="s">
        <v>377</v>
      </c>
      <c r="C578" s="112" t="s">
        <v>382</v>
      </c>
      <c r="D578" s="112" t="s">
        <v>383</v>
      </c>
      <c r="E578">
        <v>7676</v>
      </c>
      <c r="F578" s="112" t="s">
        <v>950</v>
      </c>
      <c r="G578" s="112" t="s">
        <v>392</v>
      </c>
      <c r="H578" s="112" t="s">
        <v>390</v>
      </c>
      <c r="I578">
        <v>45</v>
      </c>
    </row>
    <row r="579" spans="1:10">
      <c r="A579" s="112" t="s">
        <v>902</v>
      </c>
      <c r="B579" s="112" t="s">
        <v>377</v>
      </c>
      <c r="C579" s="112" t="s">
        <v>378</v>
      </c>
      <c r="D579" s="112" t="s">
        <v>379</v>
      </c>
      <c r="E579">
        <v>7677</v>
      </c>
      <c r="F579" s="112" t="s">
        <v>951</v>
      </c>
      <c r="G579" s="112" t="s">
        <v>388</v>
      </c>
      <c r="H579" s="112" t="s">
        <v>386</v>
      </c>
      <c r="I579">
        <v>52</v>
      </c>
    </row>
    <row r="580" spans="1:10">
      <c r="A580" s="112" t="s">
        <v>902</v>
      </c>
      <c r="B580" s="112" t="s">
        <v>377</v>
      </c>
      <c r="C580" s="112" t="s">
        <v>382</v>
      </c>
      <c r="D580" s="112" t="s">
        <v>379</v>
      </c>
      <c r="E580">
        <v>7681</v>
      </c>
      <c r="F580" s="112" t="s">
        <v>952</v>
      </c>
      <c r="G580" s="112" t="s">
        <v>388</v>
      </c>
      <c r="H580" s="112" t="s">
        <v>386</v>
      </c>
      <c r="I580">
        <v>66</v>
      </c>
    </row>
    <row r="581" spans="1:10">
      <c r="A581" s="112" t="s">
        <v>902</v>
      </c>
      <c r="B581" s="112" t="s">
        <v>377</v>
      </c>
      <c r="C581" s="112" t="s">
        <v>378</v>
      </c>
      <c r="D581" s="112" t="s">
        <v>379</v>
      </c>
      <c r="E581">
        <v>7749</v>
      </c>
      <c r="F581" s="112" t="s">
        <v>953</v>
      </c>
      <c r="G581" s="112" t="s">
        <v>384</v>
      </c>
      <c r="H581" s="112" t="s">
        <v>647</v>
      </c>
      <c r="I581">
        <v>661</v>
      </c>
    </row>
    <row r="582" spans="1:10">
      <c r="A582" s="112" t="s">
        <v>902</v>
      </c>
      <c r="B582" s="112" t="s">
        <v>377</v>
      </c>
      <c r="C582" s="112" t="s">
        <v>382</v>
      </c>
      <c r="D582" s="112" t="s">
        <v>383</v>
      </c>
      <c r="E582">
        <v>7800</v>
      </c>
      <c r="F582" s="112" t="s">
        <v>954</v>
      </c>
      <c r="G582" s="112" t="s">
        <v>384</v>
      </c>
      <c r="H582" s="112" t="s">
        <v>402</v>
      </c>
      <c r="I582">
        <v>33</v>
      </c>
    </row>
    <row r="583" spans="1:10">
      <c r="A583" s="112" t="s">
        <v>902</v>
      </c>
      <c r="B583" s="112" t="s">
        <v>377</v>
      </c>
      <c r="C583" s="112" t="s">
        <v>378</v>
      </c>
      <c r="D583" s="112" t="s">
        <v>379</v>
      </c>
      <c r="E583">
        <v>8152</v>
      </c>
      <c r="F583" s="112" t="s">
        <v>955</v>
      </c>
      <c r="G583" s="112" t="s">
        <v>388</v>
      </c>
      <c r="H583" s="112" t="s">
        <v>386</v>
      </c>
      <c r="I583">
        <v>35</v>
      </c>
    </row>
    <row r="584" spans="1:10">
      <c r="A584" s="112" t="s">
        <v>902</v>
      </c>
      <c r="B584" s="112" t="s">
        <v>377</v>
      </c>
      <c r="C584" s="112" t="s">
        <v>389</v>
      </c>
      <c r="D584" s="112" t="s">
        <v>379</v>
      </c>
      <c r="E584">
        <v>8928</v>
      </c>
      <c r="F584" s="112" t="s">
        <v>1036</v>
      </c>
      <c r="G584" s="112" t="s">
        <v>380</v>
      </c>
      <c r="H584" s="112" t="s">
        <v>406</v>
      </c>
      <c r="I584">
        <v>194</v>
      </c>
    </row>
    <row r="585" spans="1:10">
      <c r="A585" s="112" t="s">
        <v>902</v>
      </c>
      <c r="B585" s="112" t="s">
        <v>377</v>
      </c>
      <c r="C585" s="112" t="s">
        <v>387</v>
      </c>
      <c r="D585" s="112" t="s">
        <v>379</v>
      </c>
      <c r="E585">
        <v>9672</v>
      </c>
      <c r="F585" s="112" t="s">
        <v>956</v>
      </c>
      <c r="G585" s="112" t="s">
        <v>380</v>
      </c>
      <c r="H585" s="112" t="s">
        <v>385</v>
      </c>
      <c r="I585">
        <v>998</v>
      </c>
    </row>
    <row r="586" spans="1:10">
      <c r="A586" s="112" t="s">
        <v>1260</v>
      </c>
      <c r="B586" s="112" t="s">
        <v>377</v>
      </c>
      <c r="C586" s="112" t="s">
        <v>378</v>
      </c>
      <c r="D586" s="112" t="s">
        <v>379</v>
      </c>
      <c r="E586">
        <v>2910</v>
      </c>
      <c r="F586" s="112" t="s">
        <v>398</v>
      </c>
      <c r="G586" s="112" t="s">
        <v>380</v>
      </c>
      <c r="H586" s="112" t="s">
        <v>381</v>
      </c>
      <c r="I586">
        <v>407</v>
      </c>
    </row>
    <row r="587" spans="1:10">
      <c r="A587" s="112" t="s">
        <v>1260</v>
      </c>
      <c r="B587" s="112" t="s">
        <v>377</v>
      </c>
      <c r="C587" s="112" t="s">
        <v>378</v>
      </c>
      <c r="D587" s="112" t="s">
        <v>379</v>
      </c>
      <c r="E587">
        <v>3770</v>
      </c>
      <c r="F587" s="112" t="s">
        <v>399</v>
      </c>
      <c r="G587" s="112" t="s">
        <v>380</v>
      </c>
      <c r="H587" s="112" t="s">
        <v>391</v>
      </c>
      <c r="I587">
        <v>56</v>
      </c>
    </row>
    <row r="588" spans="1:10">
      <c r="A588" s="112" t="s">
        <v>957</v>
      </c>
      <c r="B588" s="112" t="s">
        <v>377</v>
      </c>
      <c r="C588" s="112" t="s">
        <v>387</v>
      </c>
      <c r="D588" s="112" t="s">
        <v>383</v>
      </c>
      <c r="E588">
        <v>3282</v>
      </c>
      <c r="F588" s="112" t="s">
        <v>958</v>
      </c>
      <c r="G588" s="112" t="s">
        <v>467</v>
      </c>
      <c r="H588" s="112" t="s">
        <v>468</v>
      </c>
      <c r="I588" s="112" t="s">
        <v>403</v>
      </c>
      <c r="J588" s="112" t="s">
        <v>1005</v>
      </c>
    </row>
    <row r="589" spans="1:10">
      <c r="A589" s="112" t="s">
        <v>957</v>
      </c>
      <c r="B589" s="112" t="s">
        <v>377</v>
      </c>
      <c r="C589" s="112" t="s">
        <v>387</v>
      </c>
      <c r="D589" s="112" t="s">
        <v>383</v>
      </c>
      <c r="E589">
        <v>3463</v>
      </c>
      <c r="F589" s="112" t="s">
        <v>959</v>
      </c>
      <c r="G589" s="112" t="s">
        <v>467</v>
      </c>
      <c r="H589" s="112" t="s">
        <v>468</v>
      </c>
      <c r="I589">
        <v>338</v>
      </c>
    </row>
    <row r="590" spans="1:10">
      <c r="A590" s="112" t="s">
        <v>960</v>
      </c>
      <c r="B590" s="112" t="s">
        <v>377</v>
      </c>
      <c r="C590" s="112" t="s">
        <v>387</v>
      </c>
      <c r="D590" s="112" t="s">
        <v>383</v>
      </c>
      <c r="E590">
        <v>3281</v>
      </c>
      <c r="F590" s="112" t="s">
        <v>961</v>
      </c>
      <c r="G590" s="112" t="s">
        <v>467</v>
      </c>
      <c r="H590" s="112" t="s">
        <v>468</v>
      </c>
      <c r="I590" s="112" t="s">
        <v>397</v>
      </c>
      <c r="J590" s="112" t="s">
        <v>825</v>
      </c>
    </row>
    <row r="591" spans="1:10">
      <c r="A591" s="112" t="s">
        <v>960</v>
      </c>
      <c r="B591" s="112" t="s">
        <v>377</v>
      </c>
      <c r="C591" s="112" t="s">
        <v>387</v>
      </c>
      <c r="D591" s="112" t="s">
        <v>383</v>
      </c>
      <c r="E591">
        <v>3466</v>
      </c>
      <c r="F591" s="112" t="s">
        <v>962</v>
      </c>
      <c r="G591" s="112" t="s">
        <v>467</v>
      </c>
      <c r="H591" s="112" t="s">
        <v>468</v>
      </c>
      <c r="I591" s="112" t="s">
        <v>403</v>
      </c>
      <c r="J591" s="112" t="s">
        <v>1261</v>
      </c>
    </row>
    <row r="592" spans="1:10">
      <c r="A592" s="112" t="s">
        <v>963</v>
      </c>
      <c r="B592" s="112" t="s">
        <v>377</v>
      </c>
      <c r="C592" s="112" t="s">
        <v>378</v>
      </c>
      <c r="D592" s="112" t="s">
        <v>379</v>
      </c>
      <c r="E592">
        <v>2354</v>
      </c>
      <c r="F592" s="112" t="s">
        <v>964</v>
      </c>
      <c r="G592" s="112" t="s">
        <v>388</v>
      </c>
      <c r="H592" s="112" t="s">
        <v>391</v>
      </c>
      <c r="I592">
        <v>103</v>
      </c>
    </row>
    <row r="593" spans="1:10">
      <c r="A593" s="112" t="s">
        <v>963</v>
      </c>
      <c r="B593" s="112" t="s">
        <v>377</v>
      </c>
      <c r="C593" s="112" t="s">
        <v>389</v>
      </c>
      <c r="D593" s="112" t="s">
        <v>379</v>
      </c>
      <c r="E593">
        <v>3160</v>
      </c>
      <c r="F593" s="112" t="s">
        <v>965</v>
      </c>
      <c r="G593" s="112" t="s">
        <v>380</v>
      </c>
      <c r="H593" s="112" t="s">
        <v>386</v>
      </c>
      <c r="I593">
        <v>91</v>
      </c>
    </row>
    <row r="594" spans="1:10">
      <c r="A594" s="112" t="s">
        <v>963</v>
      </c>
      <c r="B594" s="112" t="s">
        <v>377</v>
      </c>
      <c r="C594" s="112" t="s">
        <v>378</v>
      </c>
      <c r="D594" s="112" t="s">
        <v>379</v>
      </c>
      <c r="E594">
        <v>7630</v>
      </c>
      <c r="F594" s="112" t="s">
        <v>966</v>
      </c>
      <c r="G594" s="112" t="s">
        <v>380</v>
      </c>
      <c r="H594" s="112" t="s">
        <v>390</v>
      </c>
      <c r="I594" s="112" t="s">
        <v>435</v>
      </c>
      <c r="J594" s="112" t="s">
        <v>1262</v>
      </c>
    </row>
    <row r="595" spans="1:10">
      <c r="A595" s="112" t="s">
        <v>963</v>
      </c>
      <c r="B595" s="112" t="s">
        <v>377</v>
      </c>
      <c r="C595" s="112" t="s">
        <v>389</v>
      </c>
      <c r="D595" s="112" t="s">
        <v>383</v>
      </c>
      <c r="E595">
        <v>8155</v>
      </c>
      <c r="F595" s="112" t="s">
        <v>967</v>
      </c>
      <c r="G595" s="112" t="s">
        <v>380</v>
      </c>
      <c r="H595" s="112" t="s">
        <v>395</v>
      </c>
      <c r="I595">
        <v>709</v>
      </c>
    </row>
    <row r="596" spans="1:10">
      <c r="A596" s="112" t="s">
        <v>963</v>
      </c>
      <c r="B596" s="112" t="s">
        <v>377</v>
      </c>
      <c r="C596" s="112" t="s">
        <v>378</v>
      </c>
      <c r="D596" s="112" t="s">
        <v>379</v>
      </c>
      <c r="E596">
        <v>8217</v>
      </c>
      <c r="F596" s="112" t="s">
        <v>968</v>
      </c>
      <c r="G596" s="112" t="s">
        <v>380</v>
      </c>
      <c r="H596" s="112" t="s">
        <v>390</v>
      </c>
      <c r="I596">
        <v>637</v>
      </c>
    </row>
    <row r="597" spans="1:10">
      <c r="A597" s="112" t="s">
        <v>970</v>
      </c>
      <c r="B597" s="112" t="s">
        <v>377</v>
      </c>
      <c r="C597" s="112" t="s">
        <v>378</v>
      </c>
      <c r="D597" s="112" t="s">
        <v>379</v>
      </c>
      <c r="E597">
        <v>6757</v>
      </c>
      <c r="F597" s="112" t="s">
        <v>971</v>
      </c>
      <c r="G597" s="112" t="s">
        <v>384</v>
      </c>
      <c r="H597" s="112" t="s">
        <v>405</v>
      </c>
      <c r="I597">
        <v>127</v>
      </c>
    </row>
    <row r="598" spans="1:10">
      <c r="A598" s="112" t="s">
        <v>972</v>
      </c>
      <c r="B598" s="112" t="s">
        <v>377</v>
      </c>
      <c r="C598" s="112" t="s">
        <v>389</v>
      </c>
      <c r="D598" s="112" t="s">
        <v>379</v>
      </c>
      <c r="E598">
        <v>6905</v>
      </c>
      <c r="F598" s="112" t="s">
        <v>973</v>
      </c>
      <c r="G598" s="112" t="s">
        <v>380</v>
      </c>
      <c r="H598" s="112" t="s">
        <v>405</v>
      </c>
      <c r="I598">
        <v>444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表紙-</vt:lpstr>
      <vt:lpstr>建玉管理</vt:lpstr>
      <vt:lpstr>取引履歴</vt:lpstr>
      <vt:lpstr>資産状況</vt:lpstr>
      <vt:lpstr>損益分析</vt:lpstr>
      <vt:lpstr>監視</vt:lpstr>
      <vt:lpstr>シミュレーション</vt:lpstr>
      <vt:lpstr>Search Result</vt:lpstr>
      <vt:lpstr>Search Result (2)</vt:lpstr>
      <vt:lpstr>グラフ</vt:lpstr>
      <vt:lpstr>個別計算</vt:lpstr>
      <vt:lpstr>日経サヤ計算</vt:lpstr>
      <vt:lpstr>code</vt:lpstr>
      <vt:lpstr>元データ</vt:lpstr>
      <vt:lpstr>改訂欄</vt:lpstr>
      <vt:lpstr>Fee_Refer</vt:lpstr>
      <vt:lpstr>Faiue</vt:lpstr>
      <vt:lpstr>Fiscal_date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2019-12-13T13:44:25Z</dcterms:modified>
</cp:coreProperties>
</file>