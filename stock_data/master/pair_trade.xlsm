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  <sheet name="Faiue" sheetId="18" r:id="rId15"/>
  </sheets>
  <functionGroups/>
  <definedNames>
    <definedName name="_xlnm._FilterDatabase" localSheetId="2" hidden="1">取引履歴!$B$3:$AC$23</definedName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P13" i="2"/>
  <c r="M13"/>
  <c r="J13"/>
  <c r="Q12"/>
  <c r="P12"/>
  <c r="M12"/>
  <c r="J12"/>
  <c r="C12"/>
  <c r="AC22" i="13"/>
  <c r="AB22"/>
  <c r="AA22"/>
  <c r="P11" i="2"/>
  <c r="M11"/>
  <c r="J11"/>
  <c r="P10"/>
  <c r="Q10" s="1"/>
  <c r="M10"/>
  <c r="J10"/>
  <c r="C10"/>
  <c r="C22" i="13"/>
  <c r="J22"/>
  <c r="M22"/>
  <c r="P22" s="1"/>
  <c r="J23"/>
  <c r="M23"/>
  <c r="P23" s="1"/>
  <c r="M9" i="2"/>
  <c r="P9" s="1"/>
  <c r="Q9" s="1"/>
  <c r="J9"/>
  <c r="P8"/>
  <c r="Q8" s="1"/>
  <c r="M8"/>
  <c r="J8"/>
  <c r="C8"/>
  <c r="C20" i="13"/>
  <c r="J20"/>
  <c r="M20"/>
  <c r="P20" s="1"/>
  <c r="J21"/>
  <c r="M21"/>
  <c r="P21" s="1"/>
  <c r="M7" i="2"/>
  <c r="P7" s="1"/>
  <c r="J7"/>
  <c r="M6"/>
  <c r="P6" s="1"/>
  <c r="J6"/>
  <c r="C6"/>
  <c r="M5"/>
  <c r="P5" s="1"/>
  <c r="Q5" s="1"/>
  <c r="J5"/>
  <c r="M4"/>
  <c r="P4" s="1"/>
  <c r="J4"/>
  <c r="C4"/>
  <c r="AB18" i="13"/>
  <c r="AA18"/>
  <c r="P19"/>
  <c r="M19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P11"/>
  <c r="M11"/>
  <c r="J11"/>
  <c r="P10"/>
  <c r="M10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U4" s="1"/>
  <c r="V4" s="1"/>
  <c r="R12" l="1"/>
  <c r="S12" s="1"/>
  <c r="Q13"/>
  <c r="U12"/>
  <c r="V12" s="1"/>
  <c r="Q19" i="13"/>
  <c r="Q23"/>
  <c r="Q15"/>
  <c r="Q20"/>
  <c r="Q21"/>
  <c r="Q11" i="2"/>
  <c r="U10"/>
  <c r="V10" s="1"/>
  <c r="R10"/>
  <c r="S10" s="1"/>
  <c r="R22" i="13"/>
  <c r="S22" s="1"/>
  <c r="Q22"/>
  <c r="Q18"/>
  <c r="V22"/>
  <c r="R8" i="2"/>
  <c r="S8" s="1"/>
  <c r="U8"/>
  <c r="V8" s="1"/>
  <c r="Q7"/>
  <c r="R16" i="13"/>
  <c r="Q16"/>
  <c r="Q11"/>
  <c r="Q13"/>
  <c r="R20"/>
  <c r="Q9"/>
  <c r="U20"/>
  <c r="Q6" i="2"/>
  <c r="R6"/>
  <c r="S6" s="1"/>
  <c r="U6"/>
  <c r="V6" s="1"/>
  <c r="Q4"/>
  <c r="R4"/>
  <c r="S4" s="1"/>
  <c r="R18" i="13"/>
  <c r="Q14"/>
  <c r="R14"/>
  <c r="R12"/>
  <c r="Q12"/>
  <c r="Q10"/>
  <c r="R8"/>
  <c r="S8" s="1"/>
  <c r="R10"/>
  <c r="J2" i="2"/>
  <c r="R6" i="13"/>
  <c r="R4"/>
  <c r="S20" l="1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S2" i="2"/>
  <c r="R2"/>
</calcChain>
</file>

<file path=xl/sharedStrings.xml><?xml version="1.0" encoding="utf-8"?>
<sst xmlns="http://schemas.openxmlformats.org/spreadsheetml/2006/main" count="2336" uniqueCount="496">
  <si>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</si>
  <si>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</si>
  <si>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</si>
  <si>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</si>
  <si>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</si>
  <si>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</si>
  <si>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</si>
  <si>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</si>
  <si>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</si>
  <si>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</si>
  <si>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</si>
  <si>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</si>
  <si>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</si>
  <si>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</si>
  <si>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</si>
  <si>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</si>
  <si>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</si>
  <si>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</si>
  <si>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</si>
  <si>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</si>
  <si>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</si>
  <si>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</si>
  <si>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</si>
  <si>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</si>
  <si>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</si>
  <si>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</si>
  <si>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</si>
  <si>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</si>
  <si>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</si>
  <si>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</si>
  <si>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</si>
  <si>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</si>
  <si>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</si>
  <si>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</si>
  <si>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</si>
  <si>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</si>
  <si>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</si>
  <si>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</si>
  <si>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</si>
  <si>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</si>
  <si>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</si>
  <si>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</si>
  <si>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</si>
  <si>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</si>
  <si>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</si>
  <si>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</si>
  <si>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</si>
  <si>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</si>
  <si>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</si>
  <si>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</si>
  <si>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</si>
  <si>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コンコルディア・フィナンシャルグループ</t>
  </si>
  <si>
    <t>三井住友トラスト・ホールディングス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</si>
  <si>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</si>
  <si>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</si>
  <si>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</si>
  <si>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</si>
  <si>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</si>
  <si>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</si>
  <si>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</si>
  <si>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</si>
  <si>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</si>
  <si>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</si>
  <si>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</si>
  <si>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</si>
  <si>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</si>
  <si>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</si>
  <si>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</si>
  <si>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</si>
  <si>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</si>
  <si>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</si>
  <si>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</si>
  <si>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</si>
  <si>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</si>
  <si>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</si>
  <si>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</si>
  <si>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</si>
  <si>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</si>
  <si>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</si>
  <si>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</si>
  <si>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</si>
  <si>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</si>
  <si>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</si>
  <si>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</si>
  <si>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</si>
  <si>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</si>
  <si>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</si>
  <si>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</si>
  <si>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</si>
  <si>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</si>
  <si>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</si>
  <si>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カネカ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</si>
  <si>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</si>
  <si>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</si>
  <si>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</si>
  <si>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</si>
  <si>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</si>
  <si>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</si>
  <si>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</si>
  <si>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</si>
  <si>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</si>
  <si>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</si>
  <si>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</si>
  <si>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</si>
  <si>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</si>
  <si>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</si>
  <si>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</si>
  <si>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関電工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</si>
  <si>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</si>
  <si>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</si>
  <si>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</si>
  <si>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</si>
  <si>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</si>
  <si>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</si>
  <si>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</si>
  <si>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</si>
  <si>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</si>
  <si>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</si>
  <si>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</si>
  <si>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</si>
  <si>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</si>
  <si>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</si>
  <si>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</si>
  <si>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</si>
  <si>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ジェイ　エフ　イー　ホールディングス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</si>
  <si>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</si>
  <si>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</si>
  <si>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</si>
  <si>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</si>
  <si>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</si>
  <si>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</si>
  <si>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</si>
  <si>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ＩＨＩ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</si>
  <si>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</si>
  <si>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</si>
  <si>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</si>
  <si>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</si>
  <si>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</si>
  <si>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</si>
  <si>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</si>
  <si>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</si>
  <si>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</si>
  <si>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</si>
  <si>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</si>
  <si>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</si>
  <si>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</si>
  <si>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</si>
  <si>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</si>
  <si>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</si>
  <si>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</si>
  <si>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</si>
  <si>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</si>
  <si>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証券、商品先物取引業</t>
  </si>
  <si>
    <t>住友化学</t>
  </si>
  <si>
    <t>本田技研工業</t>
  </si>
  <si>
    <t>八十二銀行</t>
  </si>
  <si>
    <t>伊予銀行</t>
  </si>
  <si>
    <t>陸運業</t>
  </si>
  <si>
    <t>サービス業</t>
  </si>
  <si>
    <t>エイチ・ツー・オー　リテイリング</t>
  </si>
  <si>
    <t>みずほフィナンシャルグループ</t>
  </si>
  <si>
    <t>西松建設</t>
  </si>
  <si>
    <t>デンカ</t>
  </si>
  <si>
    <t>アドバンテスト</t>
  </si>
  <si>
    <t>安川電機</t>
  </si>
  <si>
    <t>オムロン</t>
  </si>
  <si>
    <t>パイロットコーポレーション</t>
  </si>
  <si>
    <t>クラレ</t>
  </si>
  <si>
    <t>ＦＵＪＩ</t>
  </si>
  <si>
    <t>七十七銀行</t>
  </si>
  <si>
    <t>北陸電力</t>
  </si>
  <si>
    <t>電気・ガス業</t>
  </si>
  <si>
    <t>トヨタ紡織</t>
  </si>
  <si>
    <t>ＪＸＴＧホールディングス</t>
  </si>
  <si>
    <t>石油・石炭製品</t>
  </si>
  <si>
    <t>ニッコンホールディングス</t>
  </si>
  <si>
    <t>日鉄物産</t>
  </si>
  <si>
    <t>住友ゴム工業</t>
  </si>
  <si>
    <t>ゴム製品</t>
  </si>
  <si>
    <t>日本電気硝子</t>
  </si>
  <si>
    <t>日揮</t>
  </si>
  <si>
    <t>住友電気工業</t>
  </si>
  <si>
    <t>非鉄金属</t>
  </si>
  <si>
    <t>日本ペイントホールディングス</t>
  </si>
  <si>
    <t>ジェイテクト</t>
  </si>
  <si>
    <t>きんでん</t>
  </si>
  <si>
    <t>ゆうちょ銀行</t>
  </si>
  <si>
    <t>いすゞ自動車</t>
  </si>
  <si>
    <t>ＤＩＣ</t>
  </si>
  <si>
    <t>ＮＴＮ</t>
  </si>
  <si>
    <t>あい　ホールディングス</t>
  </si>
  <si>
    <t>Ｔ＆Ｄホールディングス</t>
  </si>
  <si>
    <t>三井住友フィナンシャルグループ</t>
  </si>
  <si>
    <t>キヤノン</t>
  </si>
  <si>
    <t>医薬品</t>
  </si>
  <si>
    <t>かんぽ生命保険</t>
  </si>
  <si>
    <t>日本精工</t>
  </si>
  <si>
    <t>日東電工</t>
  </si>
  <si>
    <t>東洋インキＳＣホールディングス</t>
  </si>
  <si>
    <t>久光製薬</t>
  </si>
  <si>
    <t>第四北越フィナンシャルグループ</t>
  </si>
  <si>
    <t>マツダ</t>
  </si>
  <si>
    <t>丸一鋼管</t>
  </si>
  <si>
    <t>繊維製品</t>
  </si>
  <si>
    <t>九電工</t>
  </si>
  <si>
    <t>太平洋セメント</t>
  </si>
  <si>
    <t>あおぞら銀行</t>
  </si>
  <si>
    <t>三菱ＵＦＪフィナンシャル・グループ</t>
  </si>
  <si>
    <t>東北電力</t>
  </si>
  <si>
    <t>四国電力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</si>
  <si>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</si>
  <si>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</si>
  <si>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</si>
  <si>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選択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</si>
  <si>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</si>
  <si>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</si>
  <si>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</si>
  <si>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</si>
  <si>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</si>
  <si>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</si>
  <si>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</si>
  <si>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</si>
  <si>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</si>
  <si>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</si>
  <si>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</si>
  <si>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</si>
  <si>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</si>
  <si>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</si>
  <si>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</si>
  <si>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</si>
  <si>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</si>
  <si>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</si>
  <si>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</si>
  <si>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</si>
  <si>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</si>
  <si>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</si>
  <si>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</si>
  <si>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</si>
  <si>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</si>
  <si>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</si>
  <si>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</si>
  <si>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</si>
  <si>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</si>
  <si>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</si>
  <si>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</si>
  <si>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</si>
  <si>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</si>
  <si>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</si>
  <si>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</si>
  <si>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</si>
  <si>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</si>
  <si>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</si>
  <si>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</si>
  <si>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</si>
  <si>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</si>
  <si>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</si>
  <si>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</si>
  <si>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</si>
  <si>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</si>
  <si>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</si>
  <si>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</si>
  <si>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</si>
  <si>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</si>
  <si>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</si>
  <si>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</si>
  <si>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</si>
  <si>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</si>
  <si>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</si>
  <si>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</si>
  <si>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</si>
  <si>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</si>
  <si>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</si>
  <si>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</si>
  <si>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</si>
  <si>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</si>
  <si>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</si>
  <si>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</si>
  <si>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</si>
  <si>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</si>
  <si>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</si>
  <si>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</si>
  <si>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</si>
  <si>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</si>
  <si>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</si>
  <si>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</si>
  <si>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</si>
  <si>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</si>
  <si>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</si>
  <si>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</si>
  <si>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</si>
  <si>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</si>
  <si>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</si>
  <si>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</si>
  <si>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</si>
  <si>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</si>
  <si>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</si>
  <si>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</si>
  <si>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</si>
  <si>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</si>
  <si>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買方金利</t>
  </si>
  <si>
    <t>（年率）</t>
  </si>
  <si>
    <t>通常</t>
  </si>
  <si>
    <t>：2.80％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</si>
  <si>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</si>
  <si>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</si>
  <si>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</si>
  <si>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</si>
  <si>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</si>
  <si>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</si>
  <si>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</si>
  <si>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</si>
  <si>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</si>
  <si>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</si>
  <si>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</si>
  <si>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</si>
  <si>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</si>
  <si>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</si>
  <si>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</si>
  <si>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</si>
  <si>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</si>
  <si>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</si>
  <si>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</si>
  <si>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</si>
  <si>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</si>
  <si>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</si>
  <si>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</si>
  <si>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</si>
  <si>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</si>
  <si>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</si>
  <si>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</si>
  <si>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</si>
  <si>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</si>
  <si>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</si>
  <si>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</si>
  <si>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</si>
  <si>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</si>
  <si>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</si>
  <si>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</si>
  <si>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</si>
  <si>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</si>
  <si>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</si>
  <si>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</si>
  <si>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</si>
  <si>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</si>
  <si>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</si>
  <si>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</si>
  <si>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DATE</t>
  </si>
  <si>
    <t>saya_divide</t>
  </si>
  <si>
    <t>saya_divide_mean</t>
  </si>
  <si>
    <t>saya_divide_std</t>
  </si>
  <si>
    <t>saya_divide_sigma</t>
  </si>
  <si>
    <t>deviation_rate(%)</t>
  </si>
  <si>
    <t>RAW DATA</t>
    <phoneticPr fontId="1" type="noConversion"/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</si>
  <si>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</si>
  <si>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</si>
  <si>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</si>
  <si>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</si>
  <si>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</si>
  <si>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</si>
  <si>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</si>
  <si>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</si>
  <si>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</si>
  <si>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</si>
  <si>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</si>
  <si>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</si>
  <si>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</si>
  <si>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</si>
  <si>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</si>
  <si>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</si>
  <si>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</si>
  <si>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</si>
  <si>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</si>
  <si>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</si>
  <si>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</si>
  <si>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</si>
  <si>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</si>
  <si>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</si>
  <si>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</si>
  <si>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</si>
  <si>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</si>
  <si>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</si>
  <si>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</si>
  <si>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</si>
  <si>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</si>
  <si>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</si>
  <si>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</si>
  <si>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</si>
  <si>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日立キャピタル</t>
  </si>
  <si>
    <t>その他金融業</t>
  </si>
  <si>
    <t>東洋紡</t>
  </si>
  <si>
    <t>クリエイトＳＤホールディングス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</si>
  <si>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</si>
  <si>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</si>
  <si>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</si>
  <si>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</si>
  <si>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</si>
  <si>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</si>
  <si>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</si>
  <si>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クリエイト・レストランツ・ホールディングス</t>
  </si>
  <si>
    <t>イオン</t>
  </si>
  <si>
    <t>日本軽金属ホールディングス</t>
  </si>
  <si>
    <t>SYM_A</t>
  </si>
  <si>
    <t>アズビル</t>
  </si>
  <si>
    <t>日産自動車</t>
  </si>
  <si>
    <t>イオンフィナンシャルサービス</t>
  </si>
  <si>
    <t>牧野フライス製作所</t>
  </si>
  <si>
    <t>大成建設</t>
  </si>
  <si>
    <t>田辺三菱製薬</t>
  </si>
  <si>
    <t>新光電気工業</t>
  </si>
  <si>
    <t>ＮＥＣネッツエスアイ</t>
  </si>
  <si>
    <t>ビックカメラ</t>
  </si>
  <si>
    <t>帝人</t>
  </si>
  <si>
    <t>三菱ＵＦＪリース</t>
  </si>
  <si>
    <t>前田建設工業</t>
  </si>
  <si>
    <t>三菱ケミカルホールディングス</t>
  </si>
  <si>
    <t>ウシオ電機</t>
  </si>
  <si>
    <t>グローリー</t>
  </si>
  <si>
    <t>不二越</t>
  </si>
  <si>
    <t>三菱電機</t>
  </si>
  <si>
    <t>イオンディライト</t>
  </si>
  <si>
    <t>ＡＤＥＫＡ</t>
  </si>
  <si>
    <t>ヤオコー</t>
  </si>
  <si>
    <t>ディップ</t>
  </si>
  <si>
    <t>ＳＣＲＥＥＮホールディングス</t>
  </si>
  <si>
    <t>バローホールディングス</t>
  </si>
  <si>
    <t>興銀リース</t>
  </si>
  <si>
    <t>日本製粉</t>
  </si>
  <si>
    <t>日本触媒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</si>
  <si>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</si>
  <si>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</si>
  <si>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</si>
  <si>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</si>
  <si>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</si>
  <si>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豊田自動織機</t>
  </si>
  <si>
    <t>日本電子</t>
  </si>
  <si>
    <t>三井金属鉱業</t>
  </si>
  <si>
    <t>オークマ</t>
  </si>
  <si>
    <t>相鉄ホールディングス</t>
  </si>
  <si>
    <t>積水化学工業</t>
  </si>
  <si>
    <t>リンナイ</t>
  </si>
  <si>
    <t>イビデン</t>
  </si>
  <si>
    <t>塩野義製薬</t>
  </si>
  <si>
    <t>5/3/9</t>
  </si>
  <si>
    <t>現物</t>
    <phoneticPr fontId="1" type="noConversion"/>
  </si>
  <si>
    <t>現物</t>
    <phoneticPr fontId="1" type="noConversion"/>
  </si>
  <si>
    <t>小糸製作所</t>
  </si>
  <si>
    <t>スクウェア・エニックス・ホールディングス</t>
  </si>
  <si>
    <t>エス・エム・エス</t>
  </si>
  <si>
    <t>クミアイ化学工業</t>
  </si>
  <si>
    <t>マルハニチロ</t>
  </si>
  <si>
    <t>水産・農林業</t>
  </si>
  <si>
    <t>カチタス</t>
  </si>
  <si>
    <t>豊田合成</t>
  </si>
  <si>
    <t>東京応化工業</t>
  </si>
  <si>
    <t>トヨタ自動車</t>
  </si>
  <si>
    <t>東ソー</t>
  </si>
  <si>
    <t>日本製鉄</t>
  </si>
  <si>
    <t>ジーエス・ユアサ　コーポレーション</t>
  </si>
  <si>
    <t>長谷工コーポレーション</t>
  </si>
  <si>
    <t>クレディセゾン</t>
  </si>
  <si>
    <t>荏原製作所</t>
  </si>
  <si>
    <t>キッコーマン</t>
  </si>
  <si>
    <t>堀場製作所</t>
  </si>
  <si>
    <t>太陽誘電</t>
  </si>
  <si>
    <t>富士通ゼネラル</t>
  </si>
  <si>
    <t>富士通</t>
  </si>
  <si>
    <t>ＴＨＫ</t>
  </si>
  <si>
    <t>三菱商事</t>
  </si>
  <si>
    <t>4/2/9</t>
  </si>
  <si>
    <t>6/11/3</t>
  </si>
  <si>
    <t>4/7/4</t>
  </si>
  <si>
    <t>2/5/3</t>
  </si>
  <si>
    <t>4/3/9</t>
  </si>
  <si>
    <t>4/4/6</t>
  </si>
  <si>
    <t>1/5/8</t>
  </si>
  <si>
    <t>0/2/13</t>
  </si>
  <si>
    <t>1/6/5</t>
  </si>
  <si>
    <t>7/8/4</t>
  </si>
  <si>
    <t>0/4/10</t>
  </si>
  <si>
    <t>3/6/9</t>
  </si>
  <si>
    <t>4/7/5</t>
  </si>
  <si>
    <t>4/5/13</t>
  </si>
  <si>
    <t>6/5/7</t>
  </si>
  <si>
    <t>1/7/7</t>
  </si>
  <si>
    <t>2/6/8</t>
  </si>
  <si>
    <t>3/5/5</t>
  </si>
  <si>
    <t>3/4/9</t>
  </si>
  <si>
    <t>5/6/5</t>
  </si>
  <si>
    <t>2/2/10</t>
  </si>
  <si>
    <t>3/3/6</t>
  </si>
  <si>
    <t>2/2/8</t>
  </si>
  <si>
    <t>OPEN_1973</t>
  </si>
  <si>
    <t>CLOSE_1973</t>
  </si>
  <si>
    <t>OPEN_3635</t>
  </si>
  <si>
    <t>CLOSE_3635</t>
  </si>
  <si>
    <t>1973_3635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</si>
</sst>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38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sz val="11"/>
      <color rgb="FFFF0000"/>
      <name val="Tahoma"/>
      <family val="2"/>
      <charset val="134"/>
    </font>
    <font>
      <sz val="11"/>
      <color rgb="FF006100"/>
      <name val="宋体"/>
      <family val="2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37" fillId="24" borderId="0" applyNumberFormat="0" applyBorder="0" applyAlignment="0" applyProtection="0">
      <alignment vertical="center"/>
    </xf>
  </cellStyleXfs>
  <cellXfs count="23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1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7" fillId="24" borderId="0" xfId="2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32" fillId="0" borderId="0" xfId="0" applyFont="1" applyAlignment="1">
      <alignment horizontal="center" vertical="center"/>
    </xf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14" fontId="11" fillId="10" borderId="5" xfId="0" applyNumberFormat="1" applyFont="1" applyFill="1" applyBorder="1" applyAlignment="1">
      <alignment horizontal="center" vertical="center"/>
    </xf>
  </cellXfs>
  <cellStyles count="3">
    <cellStyle name="好" xfId="2" builtinId="26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29"/>
          <c:y val="0.32811630502905287"/>
          <c:w val="0.65364151343755306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149538304"/>
        <c:axId val="149539840"/>
      </c:lineChart>
      <c:catAx>
        <c:axId val="149538304"/>
        <c:scaling>
          <c:orientation val="minMax"/>
        </c:scaling>
        <c:axPos val="b"/>
        <c:numFmt formatCode="General" sourceLinked="1"/>
        <c:tickLblPos val="nextTo"/>
        <c:crossAx val="149539840"/>
        <c:crosses val="autoZero"/>
        <c:auto val="1"/>
        <c:lblAlgn val="ctr"/>
        <c:lblOffset val="100"/>
      </c:catAx>
      <c:valAx>
        <c:axId val="149539840"/>
        <c:scaling>
          <c:orientation val="minMax"/>
        </c:scaling>
        <c:axPos val="l"/>
        <c:majorGridlines/>
        <c:numFmt formatCode="General" sourceLinked="1"/>
        <c:tickLblPos val="nextTo"/>
        <c:crossAx val="149538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436E-2"/>
          <c:y val="8.1284574217614369E-2"/>
          <c:w val="0.90558616623761046"/>
          <c:h val="0.79678930149331961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1.37917485265225</c:v>
                </c:pt>
                <c:pt idx="1">
                  <c:v>1.3643471462079699</c:v>
                </c:pt>
                <c:pt idx="2">
                  <c:v>1.3650546021840799</c:v>
                </c:pt>
                <c:pt idx="3">
                  <c:v>1.3423212192262599</c:v>
                </c:pt>
                <c:pt idx="4">
                  <c:v>1.3383339913146399</c:v>
                </c:pt>
                <c:pt idx="5">
                  <c:v>1.31369426751592</c:v>
                </c:pt>
                <c:pt idx="6">
                  <c:v>1.3141153081510899</c:v>
                </c:pt>
                <c:pt idx="7">
                  <c:v>1.32580261593341</c:v>
                </c:pt>
                <c:pt idx="8">
                  <c:v>1.3305654408857199</c:v>
                </c:pt>
                <c:pt idx="9">
                  <c:v>1.35593220338983</c:v>
                </c:pt>
                <c:pt idx="10">
                  <c:v>1.3823411905713101</c:v>
                </c:pt>
                <c:pt idx="11">
                  <c:v>1.3739545997610501</c:v>
                </c:pt>
                <c:pt idx="12">
                  <c:v>1.3285492629945601</c:v>
                </c:pt>
                <c:pt idx="13">
                  <c:v>1.3511390416339299</c:v>
                </c:pt>
                <c:pt idx="14">
                  <c:v>1.3692614770459</c:v>
                </c:pt>
                <c:pt idx="15">
                  <c:v>1.3061797752808899</c:v>
                </c:pt>
                <c:pt idx="16">
                  <c:v>1.25403877221324</c:v>
                </c:pt>
                <c:pt idx="17">
                  <c:v>1.27611634575993</c:v>
                </c:pt>
                <c:pt idx="18">
                  <c:v>1.2794543199669199</c:v>
                </c:pt>
                <c:pt idx="19">
                  <c:v>1.27129206481096</c:v>
                </c:pt>
                <c:pt idx="20">
                  <c:v>1.2934282126412699</c:v>
                </c:pt>
                <c:pt idx="21">
                  <c:v>1.2726897689768899</c:v>
                </c:pt>
                <c:pt idx="22">
                  <c:v>1.28151260504201</c:v>
                </c:pt>
                <c:pt idx="23">
                  <c:v>1.28924236082042</c:v>
                </c:pt>
                <c:pt idx="24">
                  <c:v>1.30527210884353</c:v>
                </c:pt>
                <c:pt idx="25">
                  <c:v>1.30343671416596</c:v>
                </c:pt>
                <c:pt idx="26">
                  <c:v>1.3106382978723401</c:v>
                </c:pt>
                <c:pt idx="27">
                  <c:v>1.2889637742207201</c:v>
                </c:pt>
                <c:pt idx="28">
                  <c:v>1.31389945078158</c:v>
                </c:pt>
                <c:pt idx="29">
                  <c:v>1.3337684943429</c:v>
                </c:pt>
                <c:pt idx="30">
                  <c:v>1.32925229558373</c:v>
                </c:pt>
                <c:pt idx="31">
                  <c:v>1.32320563628357</c:v>
                </c:pt>
                <c:pt idx="32">
                  <c:v>1.3249113475177301</c:v>
                </c:pt>
                <c:pt idx="33">
                  <c:v>1.2985204525674401</c:v>
                </c:pt>
                <c:pt idx="34">
                  <c:v>1.26893287435456</c:v>
                </c:pt>
                <c:pt idx="35">
                  <c:v>1.2488282914358699</c:v>
                </c:pt>
                <c:pt idx="36">
                  <c:v>1.27369769427839</c:v>
                </c:pt>
                <c:pt idx="37">
                  <c:v>1.2770414707139801</c:v>
                </c:pt>
                <c:pt idx="38">
                  <c:v>1.27117194183062</c:v>
                </c:pt>
                <c:pt idx="39">
                  <c:v>1.2749569707401001</c:v>
                </c:pt>
                <c:pt idx="40">
                  <c:v>1.30459518599562</c:v>
                </c:pt>
                <c:pt idx="41">
                  <c:v>1.3014291901255901</c:v>
                </c:pt>
                <c:pt idx="42">
                  <c:v>1.2933097031457601</c:v>
                </c:pt>
                <c:pt idx="43">
                  <c:v>1.2734929078014099</c:v>
                </c:pt>
                <c:pt idx="44">
                  <c:v>1.256151142355</c:v>
                </c:pt>
                <c:pt idx="45">
                  <c:v>1.2426502852128101</c:v>
                </c:pt>
                <c:pt idx="46">
                  <c:v>1.2460035523978601</c:v>
                </c:pt>
                <c:pt idx="47">
                  <c:v>1.2592093441150001</c:v>
                </c:pt>
                <c:pt idx="48">
                  <c:v>1.2402283706631501</c:v>
                </c:pt>
                <c:pt idx="49">
                  <c:v>1.26313426133812</c:v>
                </c:pt>
                <c:pt idx="50">
                  <c:v>1.28294223826714</c:v>
                </c:pt>
                <c:pt idx="51">
                  <c:v>1.2987918215613301</c:v>
                </c:pt>
                <c:pt idx="52">
                  <c:v>1.2779053743683899</c:v>
                </c:pt>
                <c:pt idx="53">
                  <c:v>1.2796688132474701</c:v>
                </c:pt>
                <c:pt idx="54">
                  <c:v>1.2516914749661701</c:v>
                </c:pt>
                <c:pt idx="55">
                  <c:v>1.2464367816091899</c:v>
                </c:pt>
                <c:pt idx="56">
                  <c:v>1.23435358611238</c:v>
                </c:pt>
                <c:pt idx="57">
                  <c:v>1.2521779000458499</c:v>
                </c:pt>
                <c:pt idx="58">
                  <c:v>1.2611317254174299</c:v>
                </c:pt>
                <c:pt idx="59">
                  <c:v>1.27432808155699</c:v>
                </c:pt>
                <c:pt idx="60">
                  <c:v>1.3031309297912701</c:v>
                </c:pt>
                <c:pt idx="61">
                  <c:v>1.2974624060150299</c:v>
                </c:pt>
                <c:pt idx="62">
                  <c:v>1.29596622889305</c:v>
                </c:pt>
                <c:pt idx="63">
                  <c:v>1.31877100336053</c:v>
                </c:pt>
                <c:pt idx="64">
                  <c:v>1.2795801526717501</c:v>
                </c:pt>
                <c:pt idx="65">
                  <c:v>1.28140214216163</c:v>
                </c:pt>
                <c:pt idx="66">
                  <c:v>1.2910338069573699</c:v>
                </c:pt>
                <c:pt idx="67">
                  <c:v>1.2686131386861299</c:v>
                </c:pt>
                <c:pt idx="68">
                  <c:v>1.26470588235294</c:v>
                </c:pt>
                <c:pt idx="69">
                  <c:v>1.2621595330739299</c:v>
                </c:pt>
                <c:pt idx="70">
                  <c:v>1.24083011583011</c:v>
                </c:pt>
                <c:pt idx="71">
                  <c:v>1.26019417475728</c:v>
                </c:pt>
                <c:pt idx="72">
                  <c:v>1.2154280338664101</c:v>
                </c:pt>
                <c:pt idx="73">
                  <c:v>1.2919254658385</c:v>
                </c:pt>
                <c:pt idx="74">
                  <c:v>1.32163187855787</c:v>
                </c:pt>
                <c:pt idx="75">
                  <c:v>1.34681255946717</c:v>
                </c:pt>
                <c:pt idx="76">
                  <c:v>1.30824544582933</c:v>
                </c:pt>
                <c:pt idx="77">
                  <c:v>1.3165467625899201</c:v>
                </c:pt>
                <c:pt idx="78">
                  <c:v>1.33753637245392</c:v>
                </c:pt>
                <c:pt idx="79">
                  <c:v>1.3115069812229101</c:v>
                </c:pt>
                <c:pt idx="80">
                  <c:v>1.32553606237816</c:v>
                </c:pt>
                <c:pt idx="81">
                  <c:v>1.3148956817079001</c:v>
                </c:pt>
                <c:pt idx="82">
                  <c:v>1.3190123456790099</c:v>
                </c:pt>
                <c:pt idx="83">
                  <c:v>1.3539156626505999</c:v>
                </c:pt>
                <c:pt idx="84">
                  <c:v>1.3631284916201101</c:v>
                </c:pt>
                <c:pt idx="85">
                  <c:v>1.36576846307385</c:v>
                </c:pt>
                <c:pt idx="86">
                  <c:v>1.36597428288822</c:v>
                </c:pt>
                <c:pt idx="87">
                  <c:v>1.35205078125</c:v>
                </c:pt>
                <c:pt idx="88">
                  <c:v>1.3636803874092001</c:v>
                </c:pt>
                <c:pt idx="89">
                  <c:v>1.3773955773955699</c:v>
                </c:pt>
                <c:pt idx="90">
                  <c:v>1.3903530581800001</c:v>
                </c:pt>
                <c:pt idx="91">
                  <c:v>1.39360639360639</c:v>
                </c:pt>
                <c:pt idx="92">
                  <c:v>1.38658777120315</c:v>
                </c:pt>
                <c:pt idx="93">
                  <c:v>1.37974683544303</c:v>
                </c:pt>
                <c:pt idx="94">
                  <c:v>1.3701711491442501</c:v>
                </c:pt>
                <c:pt idx="95">
                  <c:v>1.35345243843553</c:v>
                </c:pt>
                <c:pt idx="96">
                  <c:v>1.3503614457831301</c:v>
                </c:pt>
                <c:pt idx="97">
                  <c:v>1.37107231920199</c:v>
                </c:pt>
                <c:pt idx="98">
                  <c:v>1.40414769853313</c:v>
                </c:pt>
                <c:pt idx="99">
                  <c:v>1.4221311475409799</c:v>
                </c:pt>
                <c:pt idx="100">
                  <c:v>1.42690355329949</c:v>
                </c:pt>
                <c:pt idx="101">
                  <c:v>1.4308240081383501</c:v>
                </c:pt>
                <c:pt idx="102">
                  <c:v>1.43893714869698</c:v>
                </c:pt>
                <c:pt idx="103">
                  <c:v>1.4658859470468399</c:v>
                </c:pt>
                <c:pt idx="104">
                  <c:v>1.48286445012787</c:v>
                </c:pt>
                <c:pt idx="105">
                  <c:v>1.42972699696663</c:v>
                </c:pt>
                <c:pt idx="106">
                  <c:v>1.4199698946312</c:v>
                </c:pt>
                <c:pt idx="107">
                  <c:v>1.4054726368159201</c:v>
                </c:pt>
                <c:pt idx="108">
                  <c:v>1.40329835082458</c:v>
                </c:pt>
                <c:pt idx="109">
                  <c:v>1.3888070692194401</c:v>
                </c:pt>
                <c:pt idx="110">
                  <c:v>1.37040666340029</c:v>
                </c:pt>
                <c:pt idx="111">
                  <c:v>1.3675171736997001</c:v>
                </c:pt>
                <c:pt idx="112">
                  <c:v>1.37917289486796</c:v>
                </c:pt>
                <c:pt idx="113">
                  <c:v>1.36508728179551</c:v>
                </c:pt>
                <c:pt idx="114">
                  <c:v>1.36084549572219</c:v>
                </c:pt>
                <c:pt idx="115">
                  <c:v>1.37233489339573</c:v>
                </c:pt>
                <c:pt idx="116">
                  <c:v>1.3358433734939701</c:v>
                </c:pt>
                <c:pt idx="117">
                  <c:v>1.38049519959575</c:v>
                </c:pt>
                <c:pt idx="118">
                  <c:v>1.3837675350701399</c:v>
                </c:pt>
                <c:pt idx="119">
                  <c:v>1.3992968357609199</c:v>
                </c:pt>
                <c:pt idx="120">
                  <c:v>1.41196834817012</c:v>
                </c:pt>
                <c:pt idx="121">
                  <c:v>1.4265664160400999</c:v>
                </c:pt>
                <c:pt idx="122">
                  <c:v>1.41779110444777</c:v>
                </c:pt>
                <c:pt idx="123">
                  <c:v>1.4043499752842299</c:v>
                </c:pt>
                <c:pt idx="124">
                  <c:v>1.42943548387096</c:v>
                </c:pt>
                <c:pt idx="125">
                  <c:v>1.42089402310396</c:v>
                </c:pt>
                <c:pt idx="126">
                  <c:v>1.4015984015984</c:v>
                </c:pt>
                <c:pt idx="127">
                  <c:v>1.4091365461847301</c:v>
                </c:pt>
                <c:pt idx="128">
                  <c:v>1.3955033214103201</c:v>
                </c:pt>
                <c:pt idx="129">
                  <c:v>1.4273058884835801</c:v>
                </c:pt>
                <c:pt idx="130">
                  <c:v>1.4648985959438301</c:v>
                </c:pt>
                <c:pt idx="131">
                  <c:v>1.4</c:v>
                </c:pt>
                <c:pt idx="132">
                  <c:v>1.40894901144641</c:v>
                </c:pt>
                <c:pt idx="133">
                  <c:v>1.4199790794978999</c:v>
                </c:pt>
                <c:pt idx="134">
                  <c:v>1.37326732673267</c:v>
                </c:pt>
                <c:pt idx="135">
                  <c:v>1.35421805624075</c:v>
                </c:pt>
                <c:pt idx="136">
                  <c:v>1.3239366963402499</c:v>
                </c:pt>
                <c:pt idx="137">
                  <c:v>1.28830548926014</c:v>
                </c:pt>
                <c:pt idx="138">
                  <c:v>1.2830459770114899</c:v>
                </c:pt>
                <c:pt idx="139">
                  <c:v>1.29681467181467</c:v>
                </c:pt>
                <c:pt idx="140">
                  <c:v>1.29656507014997</c:v>
                </c:pt>
                <c:pt idx="141">
                  <c:v>1.2913843175217801</c:v>
                </c:pt>
                <c:pt idx="142">
                  <c:v>1.2994626282364401</c:v>
                </c:pt>
                <c:pt idx="143">
                  <c:v>1.29942693409742</c:v>
                </c:pt>
                <c:pt idx="144">
                  <c:v>1.31075888568683</c:v>
                </c:pt>
                <c:pt idx="145">
                  <c:v>1.31255992329817</c:v>
                </c:pt>
                <c:pt idx="146">
                  <c:v>1.30720851475568</c:v>
                </c:pt>
                <c:pt idx="147">
                  <c:v>1.3251953125</c:v>
                </c:pt>
                <c:pt idx="148">
                  <c:v>1.3482758620689601</c:v>
                </c:pt>
                <c:pt idx="149">
                  <c:v>1.3354554358471999</c:v>
                </c:pt>
                <c:pt idx="150">
                  <c:v>1.3320425943852801</c:v>
                </c:pt>
                <c:pt idx="151">
                  <c:v>1.3215667311411901</c:v>
                </c:pt>
                <c:pt idx="152">
                  <c:v>1.3225181598062901</c:v>
                </c:pt>
                <c:pt idx="153">
                  <c:v>1.3186180422264799</c:v>
                </c:pt>
                <c:pt idx="154">
                  <c:v>1.31377303588748</c:v>
                </c:pt>
                <c:pt idx="155">
                  <c:v>1.2970532319391599</c:v>
                </c:pt>
                <c:pt idx="156">
                  <c:v>1.2535145267104</c:v>
                </c:pt>
                <c:pt idx="157">
                  <c:v>1.2877836793819399</c:v>
                </c:pt>
                <c:pt idx="158">
                  <c:v>1.3068783068783001</c:v>
                </c:pt>
                <c:pt idx="159">
                  <c:v>1.2589118198874201</c:v>
                </c:pt>
                <c:pt idx="160">
                  <c:v>1.26026074360212</c:v>
                </c:pt>
                <c:pt idx="161">
                  <c:v>1.27242366412213</c:v>
                </c:pt>
                <c:pt idx="162">
                  <c:v>1.3245869776482</c:v>
                </c:pt>
                <c:pt idx="163">
                  <c:v>1.31231527093596</c:v>
                </c:pt>
                <c:pt idx="164">
                  <c:v>1.3158415841584099</c:v>
                </c:pt>
                <c:pt idx="165">
                  <c:v>1.30485338725985</c:v>
                </c:pt>
                <c:pt idx="166">
                  <c:v>1.31362467866323</c:v>
                </c:pt>
                <c:pt idx="167">
                  <c:v>1.31107738998482</c:v>
                </c:pt>
                <c:pt idx="168">
                  <c:v>1.3426680244399101</c:v>
                </c:pt>
                <c:pt idx="169">
                  <c:v>1.35382231404958</c:v>
                </c:pt>
                <c:pt idx="170">
                  <c:v>1.34194214876033</c:v>
                </c:pt>
                <c:pt idx="171">
                  <c:v>1.3748103186646401</c:v>
                </c:pt>
                <c:pt idx="172">
                  <c:v>1.3819655521783101</c:v>
                </c:pt>
                <c:pt idx="173">
                  <c:v>1.40335707019328</c:v>
                </c:pt>
                <c:pt idx="174">
                  <c:v>1.3655207280080801</c:v>
                </c:pt>
                <c:pt idx="175">
                  <c:v>1.3532691332995399</c:v>
                </c:pt>
                <c:pt idx="176">
                  <c:v>1.35137844611528</c:v>
                </c:pt>
                <c:pt idx="177">
                  <c:v>1.3687179487179399</c:v>
                </c:pt>
                <c:pt idx="178">
                  <c:v>1.3682291666666599</c:v>
                </c:pt>
                <c:pt idx="179">
                  <c:v>1.3537906137184099</c:v>
                </c:pt>
                <c:pt idx="180">
                  <c:v>1.3633952254641899</c:v>
                </c:pt>
                <c:pt idx="181">
                  <c:v>1.3645998940116499</c:v>
                </c:pt>
                <c:pt idx="182">
                  <c:v>1.3712898003237901</c:v>
                </c:pt>
                <c:pt idx="183">
                  <c:v>1.31734317343173</c:v>
                </c:pt>
                <c:pt idx="184">
                  <c:v>1.3501082251082199</c:v>
                </c:pt>
                <c:pt idx="185">
                  <c:v>1.3492927094668099</c:v>
                </c:pt>
                <c:pt idx="186">
                  <c:v>1.3577235772357701</c:v>
                </c:pt>
                <c:pt idx="187">
                  <c:v>1.3147751605995699</c:v>
                </c:pt>
                <c:pt idx="188">
                  <c:v>1.3696969696969601</c:v>
                </c:pt>
                <c:pt idx="189">
                  <c:v>1.4056338028169</c:v>
                </c:pt>
                <c:pt idx="190">
                  <c:v>1.3778877887788701</c:v>
                </c:pt>
                <c:pt idx="191">
                  <c:v>1.3836956521739101</c:v>
                </c:pt>
                <c:pt idx="192">
                  <c:v>1.3546137339055699</c:v>
                </c:pt>
                <c:pt idx="193">
                  <c:v>1.4003232758620601</c:v>
                </c:pt>
                <c:pt idx="194">
                  <c:v>1.3846153846153799</c:v>
                </c:pt>
                <c:pt idx="195">
                  <c:v>1.31778265642151</c:v>
                </c:pt>
                <c:pt idx="196">
                  <c:v>1.2483258928571399</c:v>
                </c:pt>
                <c:pt idx="197">
                  <c:v>1.2723735408560299</c:v>
                </c:pt>
                <c:pt idx="198">
                  <c:v>1.2350081037277101</c:v>
                </c:pt>
                <c:pt idx="199">
                  <c:v>1.23646112600536</c:v>
                </c:pt>
                <c:pt idx="200">
                  <c:v>1.3052164261931101</c:v>
                </c:pt>
                <c:pt idx="201">
                  <c:v>1.28970427163198</c:v>
                </c:pt>
                <c:pt idx="202">
                  <c:v>1.29315960912052</c:v>
                </c:pt>
                <c:pt idx="203">
                  <c:v>1.27398720682302</c:v>
                </c:pt>
                <c:pt idx="204">
                  <c:v>1.2721956406166901</c:v>
                </c:pt>
                <c:pt idx="205">
                  <c:v>1.2767094017094001</c:v>
                </c:pt>
                <c:pt idx="206">
                  <c:v>1.27556512378902</c:v>
                </c:pt>
                <c:pt idx="207">
                  <c:v>1.28709677419354</c:v>
                </c:pt>
                <c:pt idx="208">
                  <c:v>1.3086886130599</c:v>
                </c:pt>
                <c:pt idx="209">
                  <c:v>1.3409710856519299</c:v>
                </c:pt>
                <c:pt idx="210">
                  <c:v>1.31721572794899</c:v>
                </c:pt>
                <c:pt idx="211">
                  <c:v>1.31411951348492</c:v>
                </c:pt>
                <c:pt idx="212">
                  <c:v>1.32299465240641</c:v>
                </c:pt>
                <c:pt idx="213">
                  <c:v>1.3158774373258999</c:v>
                </c:pt>
                <c:pt idx="214">
                  <c:v>1.3441629955947101</c:v>
                </c:pt>
                <c:pt idx="215">
                  <c:v>1.32215503023639</c:v>
                </c:pt>
                <c:pt idx="216">
                  <c:v>1.3423054417788101</c:v>
                </c:pt>
                <c:pt idx="217">
                  <c:v>1.3329334133173301</c:v>
                </c:pt>
                <c:pt idx="218">
                  <c:v>1.302043070127</c:v>
                </c:pt>
                <c:pt idx="219">
                  <c:v>1.3001066098081</c:v>
                </c:pt>
                <c:pt idx="220">
                  <c:v>1.3176532769556</c:v>
                </c:pt>
                <c:pt idx="221">
                  <c:v>1.26795005202913</c:v>
                </c:pt>
                <c:pt idx="222">
                  <c:v>1.2521739130434699</c:v>
                </c:pt>
                <c:pt idx="223">
                  <c:v>1.2917536534446701</c:v>
                </c:pt>
                <c:pt idx="224">
                  <c:v>1.3027763226820299</c:v>
                </c:pt>
                <c:pt idx="225">
                  <c:v>1.2932410856838701</c:v>
                </c:pt>
                <c:pt idx="226">
                  <c:v>1.30794341675734</c:v>
                </c:pt>
                <c:pt idx="227">
                  <c:v>1.32703723691311</c:v>
                </c:pt>
                <c:pt idx="228">
                  <c:v>1.3162034609333999</c:v>
                </c:pt>
                <c:pt idx="229">
                  <c:v>1.3262599469495999</c:v>
                </c:pt>
                <c:pt idx="230">
                  <c:v>1.3207744636315999</c:v>
                </c:pt>
                <c:pt idx="231">
                  <c:v>1.3280590717299501</c:v>
                </c:pt>
                <c:pt idx="232">
                  <c:v>1.3387605042016799</c:v>
                </c:pt>
                <c:pt idx="233">
                  <c:v>1.34182590233545</c:v>
                </c:pt>
                <c:pt idx="234">
                  <c:v>1.40384615384615</c:v>
                </c:pt>
                <c:pt idx="235">
                  <c:v>1.44362606232294</c:v>
                </c:pt>
                <c:pt idx="236">
                  <c:v>1.46463484761357</c:v>
                </c:pt>
                <c:pt idx="237">
                  <c:v>1.5092869982025101</c:v>
                </c:pt>
                <c:pt idx="238">
                  <c:v>1.48329355608591</c:v>
                </c:pt>
                <c:pt idx="239">
                  <c:v>1.48161543098251</c:v>
                </c:pt>
                <c:pt idx="240">
                  <c:v>1.4688057040998199</c:v>
                </c:pt>
                <c:pt idx="241">
                  <c:v>1.4593190998268799</c:v>
                </c:pt>
                <c:pt idx="242">
                  <c:v>1.44061962134251</c:v>
                </c:pt>
                <c:pt idx="243">
                  <c:v>1.4397487150199799</c:v>
                </c:pt>
                <c:pt idx="244">
                  <c:v>1.42692750287687</c:v>
                </c:pt>
                <c:pt idx="245">
                  <c:v>1.4262202043132799</c:v>
                </c:pt>
                <c:pt idx="246">
                  <c:v>1.4215469613259599</c:v>
                </c:pt>
                <c:pt idx="247">
                  <c:v>1.3947078280044101</c:v>
                </c:pt>
                <c:pt idx="248">
                  <c:v>1.3737864077669899</c:v>
                </c:pt>
                <c:pt idx="249">
                  <c:v>1.38870614035087</c:v>
                </c:pt>
                <c:pt idx="250">
                  <c:v>1.3681318681318599</c:v>
                </c:pt>
                <c:pt idx="251">
                  <c:v>1.3669222343921099</c:v>
                </c:pt>
                <c:pt idx="252">
                  <c:v>1.3826086956521699</c:v>
                </c:pt>
                <c:pt idx="253">
                  <c:v>1.4124449339206999</c:v>
                </c:pt>
                <c:pt idx="254">
                  <c:v>1.3761878144214601</c:v>
                </c:pt>
                <c:pt idx="255">
                  <c:v>1.3747203579418299</c:v>
                </c:pt>
                <c:pt idx="256">
                  <c:v>1.3411896745230001</c:v>
                </c:pt>
                <c:pt idx="257">
                  <c:v>1.2764900662251599</c:v>
                </c:pt>
                <c:pt idx="258">
                  <c:v>1.29592959295929</c:v>
                </c:pt>
                <c:pt idx="259">
                  <c:v>1.2854881266490701</c:v>
                </c:pt>
                <c:pt idx="260">
                  <c:v>1.25992588671254</c:v>
                </c:pt>
                <c:pt idx="261">
                  <c:v>1.2361835245046899</c:v>
                </c:pt>
                <c:pt idx="262">
                  <c:v>1.22900365153886</c:v>
                </c:pt>
                <c:pt idx="263">
                  <c:v>1.24921793534932</c:v>
                </c:pt>
                <c:pt idx="264">
                  <c:v>1.2601036269429999</c:v>
                </c:pt>
                <c:pt idx="265">
                  <c:v>1.2895442359249301</c:v>
                </c:pt>
                <c:pt idx="266">
                  <c:v>1.3040871934604901</c:v>
                </c:pt>
                <c:pt idx="267">
                  <c:v>1.3128038897893</c:v>
                </c:pt>
                <c:pt idx="268">
                  <c:v>1.32543103448275</c:v>
                </c:pt>
                <c:pt idx="269">
                  <c:v>1.3145369891360501</c:v>
                </c:pt>
                <c:pt idx="270">
                  <c:v>1.32904222451081</c:v>
                </c:pt>
                <c:pt idx="271">
                  <c:v>1.3255340793489301</c:v>
                </c:pt>
                <c:pt idx="272">
                  <c:v>1.3309462915601</c:v>
                </c:pt>
                <c:pt idx="273">
                  <c:v>1.33610389610389</c:v>
                </c:pt>
                <c:pt idx="274">
                  <c:v>1.3160860655737701</c:v>
                </c:pt>
                <c:pt idx="275">
                  <c:v>1.31488065007618</c:v>
                </c:pt>
                <c:pt idx="276">
                  <c:v>1.34800409416581</c:v>
                </c:pt>
                <c:pt idx="277">
                  <c:v>1.3679050567595401</c:v>
                </c:pt>
                <c:pt idx="278">
                  <c:v>1.3648024628014299</c:v>
                </c:pt>
                <c:pt idx="279">
                  <c:v>1.34570411794611</c:v>
                </c:pt>
                <c:pt idx="280">
                  <c:v>1.3364149974319399</c:v>
                </c:pt>
                <c:pt idx="281">
                  <c:v>1.36036036036036</c:v>
                </c:pt>
                <c:pt idx="282">
                  <c:v>1.37797776601376</c:v>
                </c:pt>
                <c:pt idx="283">
                  <c:v>1.34329951948745</c:v>
                </c:pt>
                <c:pt idx="284">
                  <c:v>1.39627805145046</c:v>
                </c:pt>
                <c:pt idx="285">
                  <c:v>1.41371681415929</c:v>
                </c:pt>
                <c:pt idx="286">
                  <c:v>1.3930540242557801</c:v>
                </c:pt>
                <c:pt idx="287">
                  <c:v>1.4185918591859099</c:v>
                </c:pt>
                <c:pt idx="288">
                  <c:v>1.4266004415011</c:v>
                </c:pt>
                <c:pt idx="289">
                  <c:v>1.4028384279475901</c:v>
                </c:pt>
                <c:pt idx="290">
                  <c:v>1.3711507293354901</c:v>
                </c:pt>
                <c:pt idx="291">
                  <c:v>1.3841201716738101</c:v>
                </c:pt>
                <c:pt idx="292">
                  <c:v>1.3620873269435501</c:v>
                </c:pt>
                <c:pt idx="293">
                  <c:v>1.3671625929861799</c:v>
                </c:pt>
                <c:pt idx="294">
                  <c:v>1.37592397043294</c:v>
                </c:pt>
                <c:pt idx="295">
                  <c:v>1.3676703645007899</c:v>
                </c:pt>
                <c:pt idx="296">
                  <c:v>1.36522198731501</c:v>
                </c:pt>
                <c:pt idx="297">
                  <c:v>1.36363636363636</c:v>
                </c:pt>
                <c:pt idx="298">
                  <c:v>1.35438413361169</c:v>
                </c:pt>
                <c:pt idx="299">
                  <c:v>1.36589229144667</c:v>
                </c:pt>
                <c:pt idx="300">
                  <c:v>1.3794954374664501</c:v>
                </c:pt>
                <c:pt idx="301">
                  <c:v>1.3959117805271599</c:v>
                </c:pt>
                <c:pt idx="302">
                  <c:v>1.33368813198509</c:v>
                </c:pt>
                <c:pt idx="303">
                  <c:v>1.3567251461988299</c:v>
                </c:pt>
                <c:pt idx="304">
                  <c:v>1.3466386554621801</c:v>
                </c:pt>
                <c:pt idx="305">
                  <c:v>1.3783927621075001</c:v>
                </c:pt>
                <c:pt idx="306">
                  <c:v>1.3607924921793499</c:v>
                </c:pt>
                <c:pt idx="307">
                  <c:v>1.30090270812437</c:v>
                </c:pt>
                <c:pt idx="308">
                  <c:v>1.2761044176706799</c:v>
                </c:pt>
                <c:pt idx="309">
                  <c:v>1.29681274900398</c:v>
                </c:pt>
                <c:pt idx="310">
                  <c:v>1.2817460317460301</c:v>
                </c:pt>
                <c:pt idx="311">
                  <c:v>1.2649950835791499</c:v>
                </c:pt>
                <c:pt idx="312">
                  <c:v>1.2597847358121299</c:v>
                </c:pt>
                <c:pt idx="313">
                  <c:v>1.2606730286288199</c:v>
                </c:pt>
                <c:pt idx="314">
                  <c:v>1.3194014447884399</c:v>
                </c:pt>
                <c:pt idx="315">
                  <c:v>1.2824543610547601</c:v>
                </c:pt>
                <c:pt idx="316">
                  <c:v>1.2971311475409799</c:v>
                </c:pt>
                <c:pt idx="317">
                  <c:v>1.40828092243186</c:v>
                </c:pt>
                <c:pt idx="318">
                  <c:v>1.3397005678884799</c:v>
                </c:pt>
                <c:pt idx="319">
                  <c:v>1.3041729512317699</c:v>
                </c:pt>
                <c:pt idx="320">
                  <c:v>1.29382470119521</c:v>
                </c:pt>
                <c:pt idx="321">
                  <c:v>1.24458661417322</c:v>
                </c:pt>
                <c:pt idx="322">
                  <c:v>1.23706259241005</c:v>
                </c:pt>
                <c:pt idx="323">
                  <c:v>1.33003844041735</c:v>
                </c:pt>
                <c:pt idx="324">
                  <c:v>1.3181318681318599</c:v>
                </c:pt>
                <c:pt idx="325">
                  <c:v>1.34467373117679</c:v>
                </c:pt>
                <c:pt idx="326">
                  <c:v>1.3353624792473699</c:v>
                </c:pt>
                <c:pt idx="327">
                  <c:v>1.3338898163605999</c:v>
                </c:pt>
                <c:pt idx="328">
                  <c:v>1.3540478905359099</c:v>
                </c:pt>
                <c:pt idx="329">
                  <c:v>1.3752900232018499</c:v>
                </c:pt>
                <c:pt idx="330">
                  <c:v>1.3753598157743201</c:v>
                </c:pt>
                <c:pt idx="331">
                  <c:v>1.38359329867128</c:v>
                </c:pt>
                <c:pt idx="332">
                  <c:v>1.36363636363636</c:v>
                </c:pt>
                <c:pt idx="333">
                  <c:v>1.35958904109589</c:v>
                </c:pt>
                <c:pt idx="334">
                  <c:v>1.3809798270893301</c:v>
                </c:pt>
                <c:pt idx="335">
                  <c:v>1.3497481813094501</c:v>
                </c:pt>
                <c:pt idx="336">
                  <c:v>1.34608891389983</c:v>
                </c:pt>
                <c:pt idx="337">
                  <c:v>1.3569436698271</c:v>
                </c:pt>
                <c:pt idx="338">
                  <c:v>1.3735537190082601</c:v>
                </c:pt>
                <c:pt idx="339">
                  <c:v>1.3667400881057199</c:v>
                </c:pt>
                <c:pt idx="340">
                  <c:v>1.37120794263651</c:v>
                </c:pt>
                <c:pt idx="341">
                  <c:v>1.3657996679579401</c:v>
                </c:pt>
                <c:pt idx="342">
                  <c:v>1.3243243243243199</c:v>
                </c:pt>
                <c:pt idx="343">
                  <c:v>1.31690514043455</c:v>
                </c:pt>
                <c:pt idx="344">
                  <c:v>1.34130434782608</c:v>
                </c:pt>
                <c:pt idx="345">
                  <c:v>1.3660812294182201</c:v>
                </c:pt>
                <c:pt idx="346">
                  <c:v>1.3632876712328701</c:v>
                </c:pt>
                <c:pt idx="347">
                  <c:v>1.3536388140161699</c:v>
                </c:pt>
                <c:pt idx="348">
                  <c:v>1.35664335664335</c:v>
                </c:pt>
                <c:pt idx="349">
                  <c:v>1.35950854700854</c:v>
                </c:pt>
                <c:pt idx="350">
                  <c:v>1.3839526117393599</c:v>
                </c:pt>
                <c:pt idx="351">
                  <c:v>1.37453383058071</c:v>
                </c:pt>
                <c:pt idx="352">
                  <c:v>1.3877333333333299</c:v>
                </c:pt>
                <c:pt idx="353">
                  <c:v>1.3814102564102499</c:v>
                </c:pt>
                <c:pt idx="354">
                  <c:v>1.3995715050883699</c:v>
                </c:pt>
                <c:pt idx="355">
                  <c:v>1.37579957356076</c:v>
                </c:pt>
                <c:pt idx="356">
                  <c:v>1.3813829787234</c:v>
                </c:pt>
                <c:pt idx="357">
                  <c:v>1.3520000000000001</c:v>
                </c:pt>
                <c:pt idx="358">
                  <c:v>1.3694581280788101</c:v>
                </c:pt>
                <c:pt idx="359">
                  <c:v>1.36633663366336</c:v>
                </c:pt>
                <c:pt idx="360">
                  <c:v>1.37228714524207</c:v>
                </c:pt>
                <c:pt idx="361">
                  <c:v>1.38457300275482</c:v>
                </c:pt>
                <c:pt idx="362">
                  <c:v>1.38946791003839</c:v>
                </c:pt>
                <c:pt idx="363">
                  <c:v>1.4037714919578399</c:v>
                </c:pt>
                <c:pt idx="364">
                  <c:v>1.39944444444444</c:v>
                </c:pt>
                <c:pt idx="365">
                  <c:v>1.3877551020408101</c:v>
                </c:pt>
                <c:pt idx="366">
                  <c:v>1.40404592673592</c:v>
                </c:pt>
                <c:pt idx="367">
                  <c:v>1.42700329308452</c:v>
                </c:pt>
                <c:pt idx="368">
                  <c:v>1.4426048565121401</c:v>
                </c:pt>
                <c:pt idx="369">
                  <c:v>1.47859922178988</c:v>
                </c:pt>
                <c:pt idx="370">
                  <c:v>1.4869661674986101</c:v>
                </c:pt>
                <c:pt idx="371">
                  <c:v>1.48571428571428</c:v>
                </c:pt>
                <c:pt idx="372">
                  <c:v>1.49264305177111</c:v>
                </c:pt>
                <c:pt idx="373">
                  <c:v>1.48439181916038</c:v>
                </c:pt>
                <c:pt idx="374">
                  <c:v>1.48758099352051</c:v>
                </c:pt>
                <c:pt idx="375">
                  <c:v>1.5051771117166199</c:v>
                </c:pt>
                <c:pt idx="376">
                  <c:v>1.4400837257980099</c:v>
                </c:pt>
                <c:pt idx="377">
                  <c:v>1.4162754303599301</c:v>
                </c:pt>
                <c:pt idx="378">
                  <c:v>1.4851222104144499</c:v>
                </c:pt>
                <c:pt idx="379">
                  <c:v>1.51326475365457</c:v>
                </c:pt>
                <c:pt idx="380">
                  <c:v>1.52337938363443</c:v>
                </c:pt>
                <c:pt idx="381">
                  <c:v>1.62654668166479</c:v>
                </c:pt>
                <c:pt idx="382">
                  <c:v>1.6713881019829999</c:v>
                </c:pt>
                <c:pt idx="383">
                  <c:v>1.63255033557046</c:v>
                </c:pt>
                <c:pt idx="384">
                  <c:v>1.61551528878822</c:v>
                </c:pt>
                <c:pt idx="385">
                  <c:v>1.6076447442383299</c:v>
                </c:pt>
                <c:pt idx="386">
                  <c:v>1.6186203028603401</c:v>
                </c:pt>
                <c:pt idx="387">
                  <c:v>1.58856502242152</c:v>
                </c:pt>
                <c:pt idx="388">
                  <c:v>1.5919637804187801</c:v>
                </c:pt>
                <c:pt idx="389">
                  <c:v>1.5866141732283401</c:v>
                </c:pt>
                <c:pt idx="390">
                  <c:v>1.58352402745995</c:v>
                </c:pt>
                <c:pt idx="391">
                  <c:v>1.58679567444507</c:v>
                </c:pt>
                <c:pt idx="392">
                  <c:v>1.5787671232876701</c:v>
                </c:pt>
                <c:pt idx="393">
                  <c:v>1.5794497473329501</c:v>
                </c:pt>
                <c:pt idx="394">
                  <c:v>1.58975801913337</c:v>
                </c:pt>
                <c:pt idx="395">
                  <c:v>1.5626410835214399</c:v>
                </c:pt>
                <c:pt idx="396">
                  <c:v>1.55537006121313</c:v>
                </c:pt>
                <c:pt idx="397">
                  <c:v>1.57438478747203</c:v>
                </c:pt>
                <c:pt idx="398">
                  <c:v>1.55812641083521</c:v>
                </c:pt>
                <c:pt idx="399">
                  <c:v>1.5732265446224201</c:v>
                </c:pt>
                <c:pt idx="400">
                  <c:v>1.60103926096997</c:v>
                </c:pt>
                <c:pt idx="401">
                  <c:v>1.6243323442136499</c:v>
                </c:pt>
                <c:pt idx="402">
                  <c:v>1.60047003525264</c:v>
                </c:pt>
                <c:pt idx="403">
                  <c:v>1.5809199318568901</c:v>
                </c:pt>
                <c:pt idx="404">
                  <c:v>1.58733880422039</c:v>
                </c:pt>
                <c:pt idx="405">
                  <c:v>1.57134570765661</c:v>
                </c:pt>
                <c:pt idx="406">
                  <c:v>1.5890722822993699</c:v>
                </c:pt>
                <c:pt idx="407">
                  <c:v>1.5506435366536</c:v>
                </c:pt>
                <c:pt idx="408">
                  <c:v>1.5740950226244299</c:v>
                </c:pt>
                <c:pt idx="409">
                  <c:v>1.55838406198118</c:v>
                </c:pt>
                <c:pt idx="410">
                  <c:v>1.5532967032967</c:v>
                </c:pt>
                <c:pt idx="411">
                  <c:v>1.5599559955995499</c:v>
                </c:pt>
                <c:pt idx="412">
                  <c:v>1.56728665207877</c:v>
                </c:pt>
                <c:pt idx="413">
                  <c:v>1.6011173184357499</c:v>
                </c:pt>
                <c:pt idx="414">
                  <c:v>1.5860724233983201</c:v>
                </c:pt>
                <c:pt idx="415">
                  <c:v>1.5866141732283401</c:v>
                </c:pt>
                <c:pt idx="416">
                  <c:v>1.58118701007838</c:v>
                </c:pt>
                <c:pt idx="417">
                  <c:v>1.6110484780157801</c:v>
                </c:pt>
                <c:pt idx="418">
                  <c:v>1.6072247706422</c:v>
                </c:pt>
                <c:pt idx="419">
                  <c:v>1.6075085324231999</c:v>
                </c:pt>
                <c:pt idx="420">
                  <c:v>1.5663716814159201</c:v>
                </c:pt>
                <c:pt idx="421">
                  <c:v>1.5228013029315901</c:v>
                </c:pt>
                <c:pt idx="422">
                  <c:v>1.50371944739638</c:v>
                </c:pt>
                <c:pt idx="423">
                  <c:v>1.49387972325705</c:v>
                </c:pt>
                <c:pt idx="424">
                  <c:v>1.4847999999999999</c:v>
                </c:pt>
                <c:pt idx="425">
                  <c:v>1.49088960342979</c:v>
                </c:pt>
                <c:pt idx="426">
                  <c:v>1.4712460063897701</c:v>
                </c:pt>
                <c:pt idx="427">
                  <c:v>1.4611260053619299</c:v>
                </c:pt>
                <c:pt idx="428">
                  <c:v>1.43763326226012</c:v>
                </c:pt>
                <c:pt idx="429">
                  <c:v>1.4284158954817601</c:v>
                </c:pt>
                <c:pt idx="430">
                  <c:v>1.44938820912124</c:v>
                </c:pt>
                <c:pt idx="431">
                  <c:v>1.4336818932305999</c:v>
                </c:pt>
                <c:pt idx="432">
                  <c:v>1.47194719471947</c:v>
                </c:pt>
                <c:pt idx="433">
                  <c:v>1.4658721560129999</c:v>
                </c:pt>
                <c:pt idx="434">
                  <c:v>1.4419098143236</c:v>
                </c:pt>
                <c:pt idx="435">
                  <c:v>1.4456289978678001</c:v>
                </c:pt>
                <c:pt idx="436">
                  <c:v>1.4503451938396099</c:v>
                </c:pt>
                <c:pt idx="437">
                  <c:v>1.4519182859990001</c:v>
                </c:pt>
                <c:pt idx="438">
                  <c:v>1.4684287812041099</c:v>
                </c:pt>
                <c:pt idx="439">
                  <c:v>1.4727184934814099</c:v>
                </c:pt>
                <c:pt idx="440">
                  <c:v>1.45029821073558</c:v>
                </c:pt>
                <c:pt idx="441">
                  <c:v>1.5134865134865101</c:v>
                </c:pt>
                <c:pt idx="442">
                  <c:v>1.4282238442822299</c:v>
                </c:pt>
                <c:pt idx="443">
                  <c:v>1.42350119904076</c:v>
                </c:pt>
                <c:pt idx="444">
                  <c:v>1.4586357039187201</c:v>
                </c:pt>
                <c:pt idx="445">
                  <c:v>1.43848731450454</c:v>
                </c:pt>
                <c:pt idx="446">
                  <c:v>1.4536280634310399</c:v>
                </c:pt>
                <c:pt idx="447">
                  <c:v>1.4318181818181801</c:v>
                </c:pt>
                <c:pt idx="448">
                  <c:v>1.4459459459459401</c:v>
                </c:pt>
                <c:pt idx="449">
                  <c:v>1.4247104247104201</c:v>
                </c:pt>
                <c:pt idx="450">
                  <c:v>1.4147398843930601</c:v>
                </c:pt>
                <c:pt idx="451">
                  <c:v>1.4113712374581899</c:v>
                </c:pt>
                <c:pt idx="452">
                  <c:v>1.4525904203323501</c:v>
                </c:pt>
                <c:pt idx="453">
                  <c:v>1.4859437751004001</c:v>
                </c:pt>
                <c:pt idx="454">
                  <c:v>1.48962450592885</c:v>
                </c:pt>
                <c:pt idx="455">
                  <c:v>1.48379052369077</c:v>
                </c:pt>
                <c:pt idx="456">
                  <c:v>1.4832248372558801</c:v>
                </c:pt>
                <c:pt idx="457">
                  <c:v>1.52890025575447</c:v>
                </c:pt>
                <c:pt idx="458">
                  <c:v>1.5356214248569899</c:v>
                </c:pt>
                <c:pt idx="459">
                  <c:v>1.56299420137058</c:v>
                </c:pt>
                <c:pt idx="460">
                  <c:v>1.53705636743215</c:v>
                </c:pt>
                <c:pt idx="461">
                  <c:v>1.53894080996884</c:v>
                </c:pt>
                <c:pt idx="462">
                  <c:v>1.53710430721328</c:v>
                </c:pt>
                <c:pt idx="463">
                  <c:v>1.5359917141377499</c:v>
                </c:pt>
                <c:pt idx="464">
                  <c:v>1.5210688591983501</c:v>
                </c:pt>
                <c:pt idx="465">
                  <c:v>1.4806401652039201</c:v>
                </c:pt>
                <c:pt idx="466">
                  <c:v>1.4786680541102999</c:v>
                </c:pt>
                <c:pt idx="467">
                  <c:v>1.4725672877846701</c:v>
                </c:pt>
                <c:pt idx="468">
                  <c:v>1.46670108415074</c:v>
                </c:pt>
                <c:pt idx="469">
                  <c:v>1.5</c:v>
                </c:pt>
                <c:pt idx="470">
                  <c:v>1.5358649789029499</c:v>
                </c:pt>
                <c:pt idx="471">
                  <c:v>1.5086887835703</c:v>
                </c:pt>
                <c:pt idx="472">
                  <c:v>1.5058139534883701</c:v>
                </c:pt>
                <c:pt idx="473">
                  <c:v>1.5139400315623299</c:v>
                </c:pt>
                <c:pt idx="474">
                  <c:v>1.5225464190981399</c:v>
                </c:pt>
                <c:pt idx="475">
                  <c:v>1.5599571734475299</c:v>
                </c:pt>
                <c:pt idx="476">
                  <c:v>1.53749315818281</c:v>
                </c:pt>
                <c:pt idx="477">
                  <c:v>1.546346782988</c:v>
                </c:pt>
                <c:pt idx="478">
                  <c:v>1.5175531914893601</c:v>
                </c:pt>
                <c:pt idx="479">
                  <c:v>1.52548607461902</c:v>
                </c:pt>
                <c:pt idx="480">
                  <c:v>1.5234131113423499</c:v>
                </c:pt>
                <c:pt idx="481">
                  <c:v>1.51985370950888</c:v>
                </c:pt>
                <c:pt idx="482">
                  <c:v>1.51166489925768</c:v>
                </c:pt>
                <c:pt idx="483">
                  <c:v>1.51366982124079</c:v>
                </c:pt>
                <c:pt idx="484">
                  <c:v>1.5464743589743499</c:v>
                </c:pt>
                <c:pt idx="485">
                  <c:v>1.5476694915254201</c:v>
                </c:pt>
                <c:pt idx="486">
                  <c:v>1.54243542435424</c:v>
                </c:pt>
                <c:pt idx="487">
                  <c:v>1.5422198619224601</c:v>
                </c:pt>
                <c:pt idx="488">
                  <c:v>1.51311647429171</c:v>
                </c:pt>
                <c:pt idx="489">
                  <c:v>1.5188877229800599</c:v>
                </c:pt>
                <c:pt idx="490">
                  <c:v>1.5050291159343501</c:v>
                </c:pt>
                <c:pt idx="491">
                  <c:v>1.5054207537429001</c:v>
                </c:pt>
                <c:pt idx="492">
                  <c:v>1.5255286230015399</c:v>
                </c:pt>
                <c:pt idx="493">
                  <c:v>1.51243023845763</c:v>
                </c:pt>
                <c:pt idx="494">
                  <c:v>1.5050403225806399</c:v>
                </c:pt>
                <c:pt idx="495">
                  <c:v>1.57561962569549</c:v>
                </c:pt>
                <c:pt idx="496">
                  <c:v>1.5965092402464001</c:v>
                </c:pt>
                <c:pt idx="497">
                  <c:v>1.6317767042404701</c:v>
                </c:pt>
                <c:pt idx="498">
                  <c:v>1.6020191285865999</c:v>
                </c:pt>
                <c:pt idx="499">
                  <c:v>1.55285412262156</c:v>
                </c:pt>
                <c:pt idx="500">
                  <c:v>1.50240256273358</c:v>
                </c:pt>
                <c:pt idx="501">
                  <c:v>1.4341043571812799</c:v>
                </c:pt>
                <c:pt idx="502">
                  <c:v>1.43349488422186</c:v>
                </c:pt>
                <c:pt idx="503">
                  <c:v>1.3880440482433101</c:v>
                </c:pt>
                <c:pt idx="504">
                  <c:v>1.39589905362776</c:v>
                </c:pt>
                <c:pt idx="505">
                  <c:v>1.3945578231292499</c:v>
                </c:pt>
                <c:pt idx="506">
                  <c:v>1.3894792773644999</c:v>
                </c:pt>
                <c:pt idx="507">
                  <c:v>1.38903672166045</c:v>
                </c:pt>
                <c:pt idx="508">
                  <c:v>1.36642027455121</c:v>
                </c:pt>
                <c:pt idx="509">
                  <c:v>1.3633980073413701</c:v>
                </c:pt>
                <c:pt idx="510">
                  <c:v>1.3561357702349801</c:v>
                </c:pt>
                <c:pt idx="511">
                  <c:v>1.35725348477026</c:v>
                </c:pt>
                <c:pt idx="512">
                  <c:v>1.34313725490196</c:v>
                </c:pt>
                <c:pt idx="513">
                  <c:v>1.3369341563785999</c:v>
                </c:pt>
                <c:pt idx="514">
                  <c:v>1.32904222451081</c:v>
                </c:pt>
                <c:pt idx="515">
                  <c:v>1.34228187919463</c:v>
                </c:pt>
                <c:pt idx="516">
                  <c:v>1.3410374935798599</c:v>
                </c:pt>
                <c:pt idx="517">
                  <c:v>1.3596311475409799</c:v>
                </c:pt>
                <c:pt idx="518">
                  <c:v>1.38880248833592</c:v>
                </c:pt>
                <c:pt idx="519">
                  <c:v>1.37302798982188</c:v>
                </c:pt>
                <c:pt idx="520">
                  <c:v>1.3758389261744901</c:v>
                </c:pt>
                <c:pt idx="521">
                  <c:v>1.36363636363636</c:v>
                </c:pt>
                <c:pt idx="522">
                  <c:v>1.3554647599591401</c:v>
                </c:pt>
                <c:pt idx="523">
                  <c:v>1.3669482576557499</c:v>
                </c:pt>
                <c:pt idx="524">
                  <c:v>1.3761131482451501</c:v>
                </c:pt>
                <c:pt idx="525">
                  <c:v>1.3929712460063799</c:v>
                </c:pt>
                <c:pt idx="526">
                  <c:v>1.3791295228106899</c:v>
                </c:pt>
                <c:pt idx="527">
                  <c:v>1.3831134564643699</c:v>
                </c:pt>
                <c:pt idx="528">
                  <c:v>1.4004237288135499</c:v>
                </c:pt>
                <c:pt idx="529">
                  <c:v>1.4240338803599699</c:v>
                </c:pt>
                <c:pt idx="530">
                  <c:v>1.38906414300736</c:v>
                </c:pt>
                <c:pt idx="531">
                  <c:v>1.38400423728813</c:v>
                </c:pt>
                <c:pt idx="532">
                  <c:v>1.3827549947423701</c:v>
                </c:pt>
                <c:pt idx="533">
                  <c:v>1.3654955427372799</c:v>
                </c:pt>
                <c:pt idx="534">
                  <c:v>1.3960554371002101</c:v>
                </c:pt>
                <c:pt idx="535">
                  <c:v>1.3758713136729199</c:v>
                </c:pt>
                <c:pt idx="536">
                  <c:v>1.36305048335123</c:v>
                </c:pt>
                <c:pt idx="537">
                  <c:v>1.33688699360341</c:v>
                </c:pt>
                <c:pt idx="538">
                  <c:v>1.34493840385645</c:v>
                </c:pt>
                <c:pt idx="539">
                  <c:v>1.3246618106139401</c:v>
                </c:pt>
                <c:pt idx="540">
                  <c:v>1.3082329317268999</c:v>
                </c:pt>
                <c:pt idx="541">
                  <c:v>1.31538461538461</c:v>
                </c:pt>
                <c:pt idx="542">
                  <c:v>1.3281893004115199</c:v>
                </c:pt>
                <c:pt idx="543">
                  <c:v>1.3051451859398799</c:v>
                </c:pt>
                <c:pt idx="544">
                  <c:v>1.2847082494969799</c:v>
                </c:pt>
                <c:pt idx="545">
                  <c:v>1.29486527707168</c:v>
                </c:pt>
                <c:pt idx="546">
                  <c:v>1.27062374245472</c:v>
                </c:pt>
                <c:pt idx="547">
                  <c:v>1.2618090452261299</c:v>
                </c:pt>
                <c:pt idx="548">
                  <c:v>1.2631048387096699</c:v>
                </c:pt>
                <c:pt idx="549">
                  <c:v>1.2616161616161601</c:v>
                </c:pt>
                <c:pt idx="550">
                  <c:v>1.26377551020408</c:v>
                </c:pt>
                <c:pt idx="551">
                  <c:v>1.2589061716006</c:v>
                </c:pt>
                <c:pt idx="552">
                  <c:v>1.25139099645928</c:v>
                </c:pt>
                <c:pt idx="553">
                  <c:v>1.2599186164801599</c:v>
                </c:pt>
                <c:pt idx="554">
                  <c:v>1.25651507409299</c:v>
                </c:pt>
                <c:pt idx="555">
                  <c:v>1.2534211860111499</c:v>
                </c:pt>
                <c:pt idx="556">
                  <c:v>1.26191696565863</c:v>
                </c:pt>
                <c:pt idx="557">
                  <c:v>1.25201612903225</c:v>
                </c:pt>
                <c:pt idx="558">
                  <c:v>1.2768595041322299</c:v>
                </c:pt>
                <c:pt idx="559">
                  <c:v>1.2697266632284601</c:v>
                </c:pt>
                <c:pt idx="560">
                  <c:v>1.25308641975308</c:v>
                </c:pt>
                <c:pt idx="561">
                  <c:v>1.2550544323483599</c:v>
                </c:pt>
                <c:pt idx="562">
                  <c:v>1.2451847995835501</c:v>
                </c:pt>
                <c:pt idx="563">
                  <c:v>1.26775381378222</c:v>
                </c:pt>
                <c:pt idx="564">
                  <c:v>1.35318924617817</c:v>
                </c:pt>
                <c:pt idx="565">
                  <c:v>1.35211267605633</c:v>
                </c:pt>
                <c:pt idx="566">
                  <c:v>1.3691168693812701</c:v>
                </c:pt>
                <c:pt idx="567">
                  <c:v>1.3827956989247301</c:v>
                </c:pt>
                <c:pt idx="568">
                  <c:v>1.4262926292629201</c:v>
                </c:pt>
                <c:pt idx="569">
                  <c:v>1.4323578133627799</c:v>
                </c:pt>
                <c:pt idx="570">
                  <c:v>1.4241926655719701</c:v>
                </c:pt>
                <c:pt idx="571">
                  <c:v>1.4224890829694301</c:v>
                </c:pt>
                <c:pt idx="572">
                  <c:v>1.44070601213458</c:v>
                </c:pt>
                <c:pt idx="573">
                  <c:v>1.42706600110926</c:v>
                </c:pt>
                <c:pt idx="574">
                  <c:v>1.42793544796883</c:v>
                </c:pt>
                <c:pt idx="575">
                  <c:v>1.3976897689768899</c:v>
                </c:pt>
                <c:pt idx="576">
                  <c:v>1.3996728462377299</c:v>
                </c:pt>
                <c:pt idx="577">
                  <c:v>1.3796909492273699</c:v>
                </c:pt>
                <c:pt idx="578">
                  <c:v>1.3827298050139201</c:v>
                </c:pt>
                <c:pt idx="579">
                  <c:v>1.3951300498063</c:v>
                </c:pt>
                <c:pt idx="580">
                  <c:v>1.38300220750551</c:v>
                </c:pt>
                <c:pt idx="581">
                  <c:v>1.3674033149171201</c:v>
                </c:pt>
                <c:pt idx="582">
                  <c:v>1.3387270765911501</c:v>
                </c:pt>
                <c:pt idx="583">
                  <c:v>1.3139472267097401</c:v>
                </c:pt>
                <c:pt idx="584">
                  <c:v>1.3154506437768201</c:v>
                </c:pt>
                <c:pt idx="585">
                  <c:v>1.3258855585831</c:v>
                </c:pt>
                <c:pt idx="586">
                  <c:v>1.2867570385818501</c:v>
                </c:pt>
                <c:pt idx="587">
                  <c:v>1.31772751183587</c:v>
                </c:pt>
                <c:pt idx="588">
                  <c:v>1.3250528541226201</c:v>
                </c:pt>
                <c:pt idx="589">
                  <c:v>1.31683168316831</c:v>
                </c:pt>
                <c:pt idx="590">
                  <c:v>1.2983995869901901</c:v>
                </c:pt>
                <c:pt idx="591">
                  <c:v>1.27396569122098</c:v>
                </c:pt>
                <c:pt idx="592">
                  <c:v>1.2921119592875301</c:v>
                </c:pt>
                <c:pt idx="593">
                  <c:v>1.28379772961816</c:v>
                </c:pt>
                <c:pt idx="594">
                  <c:v>1.29463364293085</c:v>
                </c:pt>
                <c:pt idx="595">
                  <c:v>1.3020344287949901</c:v>
                </c:pt>
                <c:pt idx="596">
                  <c:v>1.2921810699588401</c:v>
                </c:pt>
                <c:pt idx="597">
                  <c:v>1.2870984191738899</c:v>
                </c:pt>
                <c:pt idx="598">
                  <c:v>1.2633451957295301</c:v>
                </c:pt>
                <c:pt idx="599">
                  <c:v>1.2614840989399201</c:v>
                </c:pt>
                <c:pt idx="600">
                  <c:v>1.24701195219123</c:v>
                </c:pt>
                <c:pt idx="601">
                  <c:v>1.2598385469222999</c:v>
                </c:pt>
                <c:pt idx="602">
                  <c:v>1.2790346907993899</c:v>
                </c:pt>
                <c:pt idx="603">
                  <c:v>1.3025296850800201</c:v>
                </c:pt>
                <c:pt idx="604">
                  <c:v>1.2853457172342599</c:v>
                </c:pt>
                <c:pt idx="605">
                  <c:v>1.2804370447450499</c:v>
                </c:pt>
                <c:pt idx="606">
                  <c:v>1.2641509433962199</c:v>
                </c:pt>
                <c:pt idx="607">
                  <c:v>1.28237791932059</c:v>
                </c:pt>
                <c:pt idx="608">
                  <c:v>1.29054410987849</c:v>
                </c:pt>
                <c:pt idx="609">
                  <c:v>1.3412913727618001</c:v>
                </c:pt>
                <c:pt idx="610">
                  <c:v>1.32770821992378</c:v>
                </c:pt>
                <c:pt idx="611">
                  <c:v>1.32311062431544</c:v>
                </c:pt>
                <c:pt idx="612">
                  <c:v>1.3293347873500501</c:v>
                </c:pt>
                <c:pt idx="613">
                  <c:v>1.3473451327433601</c:v>
                </c:pt>
                <c:pt idx="614">
                  <c:v>1.3371647509578499</c:v>
                </c:pt>
                <c:pt idx="615">
                  <c:v>1.34573304157549</c:v>
                </c:pt>
                <c:pt idx="616">
                  <c:v>1.34237655995659</c:v>
                </c:pt>
                <c:pt idx="617">
                  <c:v>1.32029994643813</c:v>
                </c:pt>
                <c:pt idx="618">
                  <c:v>1.3114058355437599</c:v>
                </c:pt>
                <c:pt idx="619">
                  <c:v>1.3277717976318599</c:v>
                </c:pt>
                <c:pt idx="620">
                  <c:v>1.3010286951813701</c:v>
                </c:pt>
                <c:pt idx="621">
                  <c:v>1.3055254604550299</c:v>
                </c:pt>
                <c:pt idx="622">
                  <c:v>1.30773391022174</c:v>
                </c:pt>
                <c:pt idx="623">
                  <c:v>1.2460233297985099</c:v>
                </c:pt>
                <c:pt idx="624">
                  <c:v>1.2328042328042299</c:v>
                </c:pt>
                <c:pt idx="625">
                  <c:v>1.23685608072225</c:v>
                </c:pt>
                <c:pt idx="626">
                  <c:v>1.1436811746198201</c:v>
                </c:pt>
                <c:pt idx="627">
                  <c:v>1.1833156216790599</c:v>
                </c:pt>
                <c:pt idx="628">
                  <c:v>1.1711229946524</c:v>
                </c:pt>
                <c:pt idx="629">
                  <c:v>1.14909478168264</c:v>
                </c:pt>
                <c:pt idx="630">
                  <c:v>1.1420150053590501</c:v>
                </c:pt>
                <c:pt idx="631">
                  <c:v>1.1408526713437599</c:v>
                </c:pt>
                <c:pt idx="632">
                  <c:v>1.1305274374001</c:v>
                </c:pt>
                <c:pt idx="633">
                  <c:v>1.1821748878923699</c:v>
                </c:pt>
                <c:pt idx="634">
                  <c:v>1.1813587871982001</c:v>
                </c:pt>
                <c:pt idx="635">
                  <c:v>1.1842403628117899</c:v>
                </c:pt>
                <c:pt idx="636">
                  <c:v>1.1699056079955501</c:v>
                </c:pt>
                <c:pt idx="637">
                  <c:v>1.17751808569838</c:v>
                </c:pt>
                <c:pt idx="638">
                  <c:v>1.1648531011969501</c:v>
                </c:pt>
                <c:pt idx="639">
                  <c:v>1.1721890277023299</c:v>
                </c:pt>
                <c:pt idx="640">
                  <c:v>1.18121911037891</c:v>
                </c:pt>
                <c:pt idx="641">
                  <c:v>1.18865805727119</c:v>
                </c:pt>
                <c:pt idx="642">
                  <c:v>1.1744060475161899</c:v>
                </c:pt>
                <c:pt idx="643">
                  <c:v>1.20758928571428</c:v>
                </c:pt>
                <c:pt idx="644">
                  <c:v>1.1909190371991201</c:v>
                </c:pt>
                <c:pt idx="645">
                  <c:v>1.2226007950028299</c:v>
                </c:pt>
                <c:pt idx="646">
                  <c:v>1.2150477259966299</c:v>
                </c:pt>
                <c:pt idx="647">
                  <c:v>1.2110803324099699</c:v>
                </c:pt>
                <c:pt idx="648">
                  <c:v>1.2024838012958901</c:v>
                </c:pt>
                <c:pt idx="649">
                  <c:v>1.20165289256198</c:v>
                </c:pt>
                <c:pt idx="650">
                  <c:v>1.20480611687602</c:v>
                </c:pt>
                <c:pt idx="651">
                  <c:v>1.1622924477771801</c:v>
                </c:pt>
                <c:pt idx="652">
                  <c:v>1.15449290593799</c:v>
                </c:pt>
                <c:pt idx="653">
                  <c:v>1.14943123061013</c:v>
                </c:pt>
                <c:pt idx="654">
                  <c:v>1.16421825813221</c:v>
                </c:pt>
                <c:pt idx="655">
                  <c:v>1.1602933473022501</c:v>
                </c:pt>
                <c:pt idx="656">
                  <c:v>1.17451084082496</c:v>
                </c:pt>
                <c:pt idx="657">
                  <c:v>1.1713985278654</c:v>
                </c:pt>
                <c:pt idx="658">
                  <c:v>1.1831134564643799</c:v>
                </c:pt>
                <c:pt idx="659">
                  <c:v>1.1611721611721599</c:v>
                </c:pt>
                <c:pt idx="660">
                  <c:v>1.1649048625792799</c:v>
                </c:pt>
                <c:pt idx="661">
                  <c:v>1.1593435680254101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1.3683308097423603</c:v>
                </c:pt>
                <c:pt idx="1">
                  <c:v>1.3662742531410792</c:v>
                </c:pt>
                <c:pt idx="2">
                  <c:v>1.3637274581440435</c:v>
                </c:pt>
                <c:pt idx="3">
                  <c:v>1.3612939081132858</c:v>
                </c:pt>
                <c:pt idx="4">
                  <c:v>1.3610532655125667</c:v>
                </c:pt>
                <c:pt idx="5">
                  <c:v>1.3600057044244465</c:v>
                </c:pt>
                <c:pt idx="6">
                  <c:v>1.3604211127753598</c:v>
                </c:pt>
                <c:pt idx="7">
                  <c:v>1.3604453074071892</c:v>
                </c:pt>
                <c:pt idx="8">
                  <c:v>1.3601927321204528</c:v>
                </c:pt>
                <c:pt idx="9">
                  <c:v>1.3614143047664087</c:v>
                </c:pt>
                <c:pt idx="10">
                  <c:v>1.3618823821460189</c:v>
                </c:pt>
                <c:pt idx="11">
                  <c:v>1.3606141658652391</c:v>
                </c:pt>
                <c:pt idx="12">
                  <c:v>1.3600222278815419</c:v>
                </c:pt>
                <c:pt idx="13">
                  <c:v>1.3612183670499065</c:v>
                </c:pt>
                <c:pt idx="14">
                  <c:v>1.3620139596333993</c:v>
                </c:pt>
                <c:pt idx="15">
                  <c:v>1.3626244223298993</c:v>
                </c:pt>
                <c:pt idx="16">
                  <c:v>1.36719840765042</c:v>
                </c:pt>
                <c:pt idx="17">
                  <c:v>1.3719731276961393</c:v>
                </c:pt>
                <c:pt idx="18">
                  <c:v>1.3761128139315431</c:v>
                </c:pt>
                <c:pt idx="19">
                  <c:v>1.3795886904447705</c:v>
                </c:pt>
                <c:pt idx="20">
                  <c:v>1.3823156320473193</c:v>
                </c:pt>
                <c:pt idx="21">
                  <c:v>1.3840225021786252</c:v>
                </c:pt>
                <c:pt idx="22">
                  <c:v>1.385588649767741</c:v>
                </c:pt>
                <c:pt idx="23">
                  <c:v>1.3881548695034602</c:v>
                </c:pt>
                <c:pt idx="24">
                  <c:v>1.3927406157030067</c:v>
                </c:pt>
                <c:pt idx="25">
                  <c:v>1.3983446346214345</c:v>
                </c:pt>
                <c:pt idx="26">
                  <c:v>1.404073038196672</c:v>
                </c:pt>
                <c:pt idx="27">
                  <c:v>1.4097406816722711</c:v>
                </c:pt>
                <c:pt idx="28">
                  <c:v>1.4159432532359051</c:v>
                </c:pt>
                <c:pt idx="29">
                  <c:v>1.4238258659736958</c:v>
                </c:pt>
                <c:pt idx="30">
                  <c:v>1.4323884561403477</c:v>
                </c:pt>
                <c:pt idx="31">
                  <c:v>1.4366097010004037</c:v>
                </c:pt>
                <c:pt idx="32">
                  <c:v>1.4402245044470725</c:v>
                </c:pt>
                <c:pt idx="33">
                  <c:v>1.4429395161172747</c:v>
                </c:pt>
                <c:pt idx="34">
                  <c:v>1.4457514931239077</c:v>
                </c:pt>
                <c:pt idx="35">
                  <c:v>1.4477628772782474</c:v>
                </c:pt>
                <c:pt idx="36">
                  <c:v>1.4487288771496116</c:v>
                </c:pt>
                <c:pt idx="37">
                  <c:v>1.4498536090053091</c:v>
                </c:pt>
                <c:pt idx="38">
                  <c:v>1.4513467540835372</c:v>
                </c:pt>
                <c:pt idx="39">
                  <c:v>1.4522692189343192</c:v>
                </c:pt>
                <c:pt idx="40">
                  <c:v>1.4530597540814141</c:v>
                </c:pt>
                <c:pt idx="41">
                  <c:v>1.4542477041629294</c:v>
                </c:pt>
                <c:pt idx="42">
                  <c:v>1.4545502595072159</c:v>
                </c:pt>
                <c:pt idx="43">
                  <c:v>1.4559654267402344</c:v>
                </c:pt>
                <c:pt idx="44">
                  <c:v>1.4573048488023703</c:v>
                </c:pt>
                <c:pt idx="45">
                  <c:v>1.4588846692302884</c:v>
                </c:pt>
                <c:pt idx="46">
                  <c:v>1.4605708201523291</c:v>
                </c:pt>
                <c:pt idx="47">
                  <c:v>1.4628823819133787</c:v>
                </c:pt>
                <c:pt idx="48">
                  <c:v>1.4649093639403881</c:v>
                </c:pt>
                <c:pt idx="49">
                  <c:v>1.4657038118067489</c:v>
                </c:pt>
                <c:pt idx="50">
                  <c:v>1.4680763141230815</c:v>
                </c:pt>
                <c:pt idx="51">
                  <c:v>1.4702597428562387</c:v>
                </c:pt>
                <c:pt idx="52">
                  <c:v>1.4717383592057447</c:v>
                </c:pt>
                <c:pt idx="53">
                  <c:v>1.4731578042421143</c:v>
                </c:pt>
                <c:pt idx="54">
                  <c:v>1.4740275045011826</c:v>
                </c:pt>
                <c:pt idx="55">
                  <c:v>1.4753365312484372</c:v>
                </c:pt>
                <c:pt idx="56">
                  <c:v>1.4782608094179983</c:v>
                </c:pt>
                <c:pt idx="57">
                  <c:v>1.4774495650473161</c:v>
                </c:pt>
                <c:pt idx="58">
                  <c:v>1.4774209474579807</c:v>
                </c:pt>
                <c:pt idx="59">
                  <c:v>1.4779368019605836</c:v>
                </c:pt>
                <c:pt idx="60">
                  <c:v>1.4773844602252333</c:v>
                </c:pt>
                <c:pt idx="61">
                  <c:v>1.4771815305107936</c:v>
                </c:pt>
                <c:pt idx="62">
                  <c:v>1.4768387636074749</c:v>
                </c:pt>
                <c:pt idx="63">
                  <c:v>1.477007002070408</c:v>
                </c:pt>
                <c:pt idx="64">
                  <c:v>1.477629528020181</c:v>
                </c:pt>
                <c:pt idx="65">
                  <c:v>1.4772271119162412</c:v>
                </c:pt>
                <c:pt idx="66">
                  <c:v>1.4768742403585076</c:v>
                </c:pt>
                <c:pt idx="67">
                  <c:v>1.4768664071577879</c:v>
                </c:pt>
                <c:pt idx="68">
                  <c:v>1.4760611191309361</c:v>
                </c:pt>
                <c:pt idx="69">
                  <c:v>1.475097405736044</c:v>
                </c:pt>
                <c:pt idx="70">
                  <c:v>1.473809712162065</c:v>
                </c:pt>
                <c:pt idx="71">
                  <c:v>1.4714527521752798</c:v>
                </c:pt>
                <c:pt idx="72">
                  <c:v>1.4700030271096125</c:v>
                </c:pt>
                <c:pt idx="73">
                  <c:v>1.4655618979893852</c:v>
                </c:pt>
                <c:pt idx="74">
                  <c:v>1.4647088944825515</c:v>
                </c:pt>
                <c:pt idx="75">
                  <c:v>1.464558389083922</c:v>
                </c:pt>
                <c:pt idx="76">
                  <c:v>1.4646276327950345</c:v>
                </c:pt>
                <c:pt idx="77">
                  <c:v>1.4643786659851297</c:v>
                </c:pt>
                <c:pt idx="78">
                  <c:v>1.464281819309152</c:v>
                </c:pt>
                <c:pt idx="79">
                  <c:v>1.4644944576826249</c:v>
                </c:pt>
                <c:pt idx="80">
                  <c:v>1.4644492955841346</c:v>
                </c:pt>
                <c:pt idx="81">
                  <c:v>1.4650314104034812</c:v>
                </c:pt>
                <c:pt idx="82">
                  <c:v>1.4671480267332981</c:v>
                </c:pt>
                <c:pt idx="83">
                  <c:v>1.4678570223531335</c:v>
                </c:pt>
                <c:pt idx="84">
                  <c:v>1.4682094248056989</c:v>
                </c:pt>
                <c:pt idx="85">
                  <c:v>1.4699564272021699</c:v>
                </c:pt>
                <c:pt idx="86">
                  <c:v>1.4714495174501743</c:v>
                </c:pt>
                <c:pt idx="87">
                  <c:v>1.4723607858165573</c:v>
                </c:pt>
                <c:pt idx="88">
                  <c:v>1.4723502869683496</c:v>
                </c:pt>
                <c:pt idx="89">
                  <c:v>1.4723223729416828</c:v>
                </c:pt>
                <c:pt idx="90">
                  <c:v>1.4720022509477841</c:v>
                </c:pt>
                <c:pt idx="91">
                  <c:v>1.4714722301806835</c:v>
                </c:pt>
                <c:pt idx="92">
                  <c:v>1.4706979890306737</c:v>
                </c:pt>
                <c:pt idx="93">
                  <c:v>1.4701029466491844</c:v>
                </c:pt>
                <c:pt idx="94">
                  <c:v>1.4695754712347515</c:v>
                </c:pt>
                <c:pt idx="95">
                  <c:v>1.4693338496144941</c:v>
                </c:pt>
                <c:pt idx="96">
                  <c:v>1.4692421694383266</c:v>
                </c:pt>
                <c:pt idx="97">
                  <c:v>1.4696116038920382</c:v>
                </c:pt>
                <c:pt idx="98">
                  <c:v>1.4698481513864872</c:v>
                </c:pt>
                <c:pt idx="99">
                  <c:v>1.4698206304864871</c:v>
                </c:pt>
                <c:pt idx="100">
                  <c:v>1.4681063141229378</c:v>
                </c:pt>
                <c:pt idx="101">
                  <c:v>1.4659677306319321</c:v>
                </c:pt>
                <c:pt idx="102">
                  <c:v>1.4635659303024005</c:v>
                </c:pt>
                <c:pt idx="103">
                  <c:v>1.4609427263405979</c:v>
                </c:pt>
                <c:pt idx="104">
                  <c:v>1.4565210623961502</c:v>
                </c:pt>
                <c:pt idx="105">
                  <c:v>1.4503293663134087</c:v>
                </c:pt>
                <c:pt idx="106">
                  <c:v>1.447821075740487</c:v>
                </c:pt>
                <c:pt idx="107">
                  <c:v>1.4458137941815505</c:v>
                </c:pt>
                <c:pt idx="108">
                  <c:v>1.4446300322312968</c:v>
                </c:pt>
                <c:pt idx="109">
                  <c:v>1.4429706207423463</c:v>
                </c:pt>
                <c:pt idx="110">
                  <c:v>1.4420023468241054</c:v>
                </c:pt>
                <c:pt idx="111">
                  <c:v>1.441584515293737</c:v>
                </c:pt>
                <c:pt idx="112">
                  <c:v>1.441373936070826</c:v>
                </c:pt>
                <c:pt idx="113">
                  <c:v>1.4405481175891164</c:v>
                </c:pt>
                <c:pt idx="114">
                  <c:v>1.4406621791324554</c:v>
                </c:pt>
                <c:pt idx="115">
                  <c:v>1.4421637552969759</c:v>
                </c:pt>
                <c:pt idx="116">
                  <c:v>1.4423226986133604</c:v>
                </c:pt>
                <c:pt idx="117">
                  <c:v>1.443266077826233</c:v>
                </c:pt>
                <c:pt idx="118">
                  <c:v>1.4426440812578389</c:v>
                </c:pt>
                <c:pt idx="119">
                  <c:v>1.4432715239658933</c:v>
                </c:pt>
                <c:pt idx="120">
                  <c:v>1.4427160485272124</c:v>
                </c:pt>
                <c:pt idx="121">
                  <c:v>1.4405486134395018</c:v>
                </c:pt>
                <c:pt idx="122">
                  <c:v>1.439043514606428</c:v>
                </c:pt>
                <c:pt idx="123">
                  <c:v>1.4370058183973577</c:v>
                </c:pt>
                <c:pt idx="124">
                  <c:v>1.4368463688641215</c:v>
                </c:pt>
                <c:pt idx="125">
                  <c:v>1.4349579543368918</c:v>
                </c:pt>
                <c:pt idx="126">
                  <c:v>1.431761995901552</c:v>
                </c:pt>
                <c:pt idx="127">
                  <c:v>1.4296503095258046</c:v>
                </c:pt>
                <c:pt idx="128">
                  <c:v>1.4269942331032415</c:v>
                </c:pt>
                <c:pt idx="129">
                  <c:v>1.4252315779974676</c:v>
                </c:pt>
                <c:pt idx="130">
                  <c:v>1.4214729775228525</c:v>
                </c:pt>
                <c:pt idx="131">
                  <c:v>1.4142149262165651</c:v>
                </c:pt>
                <c:pt idx="132">
                  <c:v>1.4116880103177325</c:v>
                </c:pt>
                <c:pt idx="133">
                  <c:v>1.4082935907328633</c:v>
                </c:pt>
                <c:pt idx="134">
                  <c:v>1.4038667488445475</c:v>
                </c:pt>
                <c:pt idx="135">
                  <c:v>1.4026957915949489</c:v>
                </c:pt>
                <c:pt idx="136">
                  <c:v>1.4018623749678853</c:v>
                </c:pt>
                <c:pt idx="137">
                  <c:v>1.4017479147670402</c:v>
                </c:pt>
                <c:pt idx="138">
                  <c:v>1.4018393308638617</c:v>
                </c:pt>
                <c:pt idx="139">
                  <c:v>1.4017779843020792</c:v>
                </c:pt>
                <c:pt idx="140">
                  <c:v>1.4023390023440589</c:v>
                </c:pt>
                <c:pt idx="141">
                  <c:v>1.402441999367662</c:v>
                </c:pt>
                <c:pt idx="142">
                  <c:v>1.4028853948359536</c:v>
                </c:pt>
                <c:pt idx="143">
                  <c:v>1.4031490177304544</c:v>
                </c:pt>
                <c:pt idx="144">
                  <c:v>1.4031417432156605</c:v>
                </c:pt>
                <c:pt idx="145">
                  <c:v>1.4031369586761513</c:v>
                </c:pt>
                <c:pt idx="146">
                  <c:v>1.4031727885019334</c:v>
                </c:pt>
                <c:pt idx="147">
                  <c:v>1.4036167263341228</c:v>
                </c:pt>
                <c:pt idx="148">
                  <c:v>1.404323240546488</c:v>
                </c:pt>
                <c:pt idx="149">
                  <c:v>1.4036640939750391</c:v>
                </c:pt>
                <c:pt idx="150">
                  <c:v>1.4032894519938544</c:v>
                </c:pt>
                <c:pt idx="151">
                  <c:v>1.4029965057604299</c:v>
                </c:pt>
                <c:pt idx="152">
                  <c:v>1.4028716380019071</c:v>
                </c:pt>
                <c:pt idx="153">
                  <c:v>1.4029427683156124</c:v>
                </c:pt>
                <c:pt idx="154">
                  <c:v>1.4029163789731363</c:v>
                </c:pt>
                <c:pt idx="155">
                  <c:v>1.4030735103596574</c:v>
                </c:pt>
                <c:pt idx="156">
                  <c:v>1.4031963832719694</c:v>
                </c:pt>
                <c:pt idx="157">
                  <c:v>1.4026525458084549</c:v>
                </c:pt>
                <c:pt idx="158">
                  <c:v>1.403004746095603</c:v>
                </c:pt>
                <c:pt idx="159">
                  <c:v>1.403491258388806</c:v>
                </c:pt>
                <c:pt idx="160">
                  <c:v>1.4060708820644618</c:v>
                </c:pt>
                <c:pt idx="161">
                  <c:v>1.4115097389974651</c:v>
                </c:pt>
                <c:pt idx="162">
                  <c:v>1.4187536926265163</c:v>
                </c:pt>
                <c:pt idx="163">
                  <c:v>1.4302619191964276</c:v>
                </c:pt>
                <c:pt idx="164">
                  <c:v>1.4383343205776897</c:v>
                </c:pt>
                <c:pt idx="165">
                  <c:v>1.4457575618728331</c:v>
                </c:pt>
                <c:pt idx="166">
                  <c:v>1.4517677051500026</c:v>
                </c:pt>
                <c:pt idx="167">
                  <c:v>1.4568387716718625</c:v>
                </c:pt>
                <c:pt idx="168">
                  <c:v>1.460545091013389</c:v>
                </c:pt>
                <c:pt idx="169">
                  <c:v>1.4639043082517769</c:v>
                </c:pt>
                <c:pt idx="170">
                  <c:v>1.4663470060722876</c:v>
                </c:pt>
                <c:pt idx="171">
                  <c:v>1.4688709800733615</c:v>
                </c:pt>
                <c:pt idx="172">
                  <c:v>1.470531920771551</c:v>
                </c:pt>
                <c:pt idx="173">
                  <c:v>1.4709268204087638</c:v>
                </c:pt>
                <c:pt idx="174">
                  <c:v>1.4700052943873443</c:v>
                </c:pt>
                <c:pt idx="175">
                  <c:v>1.4706133664365129</c:v>
                </c:pt>
                <c:pt idx="176">
                  <c:v>1.4708955445609559</c:v>
                </c:pt>
                <c:pt idx="177">
                  <c:v>1.4711787990233371</c:v>
                </c:pt>
                <c:pt idx="178">
                  <c:v>1.4715299007364808</c:v>
                </c:pt>
                <c:pt idx="179">
                  <c:v>1.4729176068151844</c:v>
                </c:pt>
                <c:pt idx="180">
                  <c:v>1.4733710498985917</c:v>
                </c:pt>
                <c:pt idx="181">
                  <c:v>1.4736189189934101</c:v>
                </c:pt>
                <c:pt idx="182">
                  <c:v>1.4732679878802495</c:v>
                </c:pt>
                <c:pt idx="183">
                  <c:v>1.4729898200758422</c:v>
                </c:pt>
                <c:pt idx="184">
                  <c:v>1.473075661978722</c:v>
                </c:pt>
                <c:pt idx="185">
                  <c:v>1.4730089190625104</c:v>
                </c:pt>
                <c:pt idx="186">
                  <c:v>1.4733618163926281</c:v>
                </c:pt>
                <c:pt idx="187">
                  <c:v>1.4741232205830368</c:v>
                </c:pt>
                <c:pt idx="188">
                  <c:v>1.4754520847992767</c:v>
                </c:pt>
                <c:pt idx="189">
                  <c:v>1.4753951551726863</c:v>
                </c:pt>
                <c:pt idx="190">
                  <c:v>1.4738616083349292</c:v>
                </c:pt>
                <c:pt idx="191">
                  <c:v>1.4728461552589209</c:v>
                </c:pt>
                <c:pt idx="192">
                  <c:v>1.471575793823009</c:v>
                </c:pt>
                <c:pt idx="193">
                  <c:v>1.4710635019995959</c:v>
                </c:pt>
                <c:pt idx="194">
                  <c:v>1.4692567457876464</c:v>
                </c:pt>
                <c:pt idx="195">
                  <c:v>1.4679069944007779</c:v>
                </c:pt>
                <c:pt idx="196">
                  <c:v>1.4680081829611382</c:v>
                </c:pt>
                <c:pt idx="197">
                  <c:v>1.467551334807599</c:v>
                </c:pt>
                <c:pt idx="198">
                  <c:v>1.4675227537306124</c:v>
                </c:pt>
                <c:pt idx="199">
                  <c:v>1.4667471119516649</c:v>
                </c:pt>
                <c:pt idx="200">
                  <c:v>1.465761560201216</c:v>
                </c:pt>
                <c:pt idx="201">
                  <c:v>1.465774376113018</c:v>
                </c:pt>
                <c:pt idx="202">
                  <c:v>1.4660548178259232</c:v>
                </c:pt>
                <c:pt idx="203">
                  <c:v>1.4667526987027379</c:v>
                </c:pt>
                <c:pt idx="204">
                  <c:v>1.4671277995064345</c:v>
                </c:pt>
                <c:pt idx="205">
                  <c:v>1.4670640646924236</c:v>
                </c:pt>
                <c:pt idx="206">
                  <c:v>1.4669213256024476</c:v>
                </c:pt>
                <c:pt idx="207">
                  <c:v>1.4670922109599549</c:v>
                </c:pt>
                <c:pt idx="208">
                  <c:v>1.4678007513384399</c:v>
                </c:pt>
                <c:pt idx="209">
                  <c:v>1.4679581273416797</c:v>
                </c:pt>
                <c:pt idx="210">
                  <c:v>1.4692268639184336</c:v>
                </c:pt>
                <c:pt idx="211">
                  <c:v>1.4712606412524314</c:v>
                </c:pt>
                <c:pt idx="212">
                  <c:v>1.4724754075483273</c:v>
                </c:pt>
                <c:pt idx="213">
                  <c:v>1.4746079184385872</c:v>
                </c:pt>
                <c:pt idx="214">
                  <c:v>1.4770265326499568</c:v>
                </c:pt>
                <c:pt idx="215">
                  <c:v>1.4783336149237165</c:v>
                </c:pt>
                <c:pt idx="216">
                  <c:v>1.4788497976910191</c:v>
                </c:pt>
                <c:pt idx="217">
                  <c:v>1.479574129494345</c:v>
                </c:pt>
                <c:pt idx="218">
                  <c:v>1.4798785699408721</c:v>
                </c:pt>
                <c:pt idx="219">
                  <c:v>1.4801822858055882</c:v>
                </c:pt>
                <c:pt idx="220">
                  <c:v>1.4806131774138636</c:v>
                </c:pt>
                <c:pt idx="221">
                  <c:v>1.4809779382113177</c:v>
                </c:pt>
                <c:pt idx="222">
                  <c:v>1.4805418093278235</c:v>
                </c:pt>
                <c:pt idx="223">
                  <c:v>1.4795120625862399</c:v>
                </c:pt>
                <c:pt idx="224">
                  <c:v>1.4793048825844959</c:v>
                </c:pt>
                <c:pt idx="225">
                  <c:v>1.4793848932914728</c:v>
                </c:pt>
                <c:pt idx="226">
                  <c:v>1.4795270803278968</c:v>
                </c:pt>
                <c:pt idx="227">
                  <c:v>1.4802447708264848</c:v>
                </c:pt>
                <c:pt idx="228">
                  <c:v>1.480231289158676</c:v>
                </c:pt>
                <c:pt idx="229">
                  <c:v>1.4802552602489385</c:v>
                </c:pt>
                <c:pt idx="230">
                  <c:v>1.4802624829402062</c:v>
                </c:pt>
                <c:pt idx="231">
                  <c:v>1.4806168337742165</c:v>
                </c:pt>
                <c:pt idx="232">
                  <c:v>1.4807299112940646</c:v>
                </c:pt>
                <c:pt idx="233">
                  <c:v>1.4810288284020241</c:v>
                </c:pt>
                <c:pt idx="234">
                  <c:v>1.4818391530086696</c:v>
                </c:pt>
                <c:pt idx="235">
                  <c:v>1.4810679056971712</c:v>
                </c:pt>
                <c:pt idx="236">
                  <c:v>1.478862897729778</c:v>
                </c:pt>
                <c:pt idx="237">
                  <c:v>1.4757326696592117</c:v>
                </c:pt>
                <c:pt idx="238">
                  <c:v>1.4692016022829832</c:v>
                </c:pt>
                <c:pt idx="239">
                  <c:v>1.4642953084014774</c:v>
                </c:pt>
                <c:pt idx="240">
                  <c:v>1.4582452634879544</c:v>
                </c:pt>
                <c:pt idx="241">
                  <c:v>1.4532539620883731</c:v>
                </c:pt>
                <c:pt idx="242">
                  <c:v>1.4484492661934238</c:v>
                </c:pt>
                <c:pt idx="243">
                  <c:v>1.4466820118276276</c:v>
                </c:pt>
                <c:pt idx="244">
                  <c:v>1.4429307791577275</c:v>
                </c:pt>
                <c:pt idx="245">
                  <c:v>1.4397735476287132</c:v>
                </c:pt>
                <c:pt idx="246">
                  <c:v>1.4366216187202956</c:v>
                </c:pt>
                <c:pt idx="247">
                  <c:v>1.4348262464496286</c:v>
                </c:pt>
                <c:pt idx="248">
                  <c:v>1.4345030109216446</c:v>
                </c:pt>
                <c:pt idx="249">
                  <c:v>1.4335267230417004</c:v>
                </c:pt>
                <c:pt idx="250">
                  <c:v>1.431861182697129</c:v>
                </c:pt>
                <c:pt idx="251">
                  <c:v>1.431260073457312</c:v>
                </c:pt>
                <c:pt idx="252">
                  <c:v>1.4305347754329576</c:v>
                </c:pt>
                <c:pt idx="253">
                  <c:v>1.4292077845546927</c:v>
                </c:pt>
                <c:pt idx="254">
                  <c:v>1.4267706109118532</c:v>
                </c:pt>
                <c:pt idx="255">
                  <c:v>1.4267365057453922</c:v>
                </c:pt>
                <c:pt idx="256">
                  <c:v>1.4267605473217788</c:v>
                </c:pt>
                <c:pt idx="257">
                  <c:v>1.4280436467181274</c:v>
                </c:pt>
                <c:pt idx="258">
                  <c:v>1.4285729673246037</c:v>
                </c:pt>
                <c:pt idx="259">
                  <c:v>1.4291970426969591</c:v>
                </c:pt>
                <c:pt idx="260">
                  <c:v>1.4303700012087617</c:v>
                </c:pt>
                <c:pt idx="261">
                  <c:v>1.4299595923915731</c:v>
                </c:pt>
                <c:pt idx="262">
                  <c:v>1.4284455201270632</c:v>
                </c:pt>
                <c:pt idx="263">
                  <c:v>1.4265736250922889</c:v>
                </c:pt>
                <c:pt idx="264">
                  <c:v>1.4259350608146839</c:v>
                </c:pt>
                <c:pt idx="265">
                  <c:v>1.4253706239966455</c:v>
                </c:pt>
                <c:pt idx="266">
                  <c:v>1.4257488568940446</c:v>
                </c:pt>
                <c:pt idx="267">
                  <c:v>1.42617727734047</c:v>
                </c:pt>
                <c:pt idx="268">
                  <c:v>1.4261290058821467</c:v>
                </c:pt>
                <c:pt idx="269">
                  <c:v>1.4261502763979332</c:v>
                </c:pt>
                <c:pt idx="270">
                  <c:v>1.426200113685703</c:v>
                </c:pt>
                <c:pt idx="271">
                  <c:v>1.4267385766141112</c:v>
                </c:pt>
                <c:pt idx="272">
                  <c:v>1.4271964054239104</c:v>
                </c:pt>
                <c:pt idx="273">
                  <c:v>1.4274337494526708</c:v>
                </c:pt>
                <c:pt idx="274">
                  <c:v>1.4277000720226949</c:v>
                </c:pt>
                <c:pt idx="275">
                  <c:v>1.428004072477995</c:v>
                </c:pt>
                <c:pt idx="276">
                  <c:v>1.4289851454712363</c:v>
                </c:pt>
                <c:pt idx="277">
                  <c:v>1.4295589725846081</c:v>
                </c:pt>
                <c:pt idx="278">
                  <c:v>1.4301997330365928</c:v>
                </c:pt>
                <c:pt idx="279">
                  <c:v>1.4306810917871995</c:v>
                </c:pt>
                <c:pt idx="280">
                  <c:v>1.4322038792855414</c:v>
                </c:pt>
                <c:pt idx="281">
                  <c:v>1.4328752979975461</c:v>
                </c:pt>
                <c:pt idx="282">
                  <c:v>1.4334289908682467</c:v>
                </c:pt>
                <c:pt idx="283">
                  <c:v>1.4328432404297784</c:v>
                </c:pt>
                <c:pt idx="284">
                  <c:v>1.4332873193729974</c:v>
                </c:pt>
                <c:pt idx="285">
                  <c:v>1.4322930872321091</c:v>
                </c:pt>
                <c:pt idx="286">
                  <c:v>1.4305771995796812</c:v>
                </c:pt>
                <c:pt idx="287">
                  <c:v>1.4302455652889605</c:v>
                </c:pt>
                <c:pt idx="288">
                  <c:v>1.4287998623225588</c:v>
                </c:pt>
                <c:pt idx="289">
                  <c:v>1.4274780361050576</c:v>
                </c:pt>
                <c:pt idx="290">
                  <c:v>1.4273125067954668</c:v>
                </c:pt>
                <c:pt idx="291">
                  <c:v>1.4278753760311176</c:v>
                </c:pt>
                <c:pt idx="292">
                  <c:v>1.428742340443677</c:v>
                </c:pt>
                <c:pt idx="293">
                  <c:v>1.4315314709140534</c:v>
                </c:pt>
                <c:pt idx="294">
                  <c:v>1.4351703486552694</c:v>
                </c:pt>
                <c:pt idx="295">
                  <c:v>1.4413166832607525</c:v>
                </c:pt>
                <c:pt idx="296">
                  <c:v>1.4480558873942693</c:v>
                </c:pt>
                <c:pt idx="297">
                  <c:v>1.4543648132134948</c:v>
                </c:pt>
                <c:pt idx="298">
                  <c:v>1.4609493583527551</c:v>
                </c:pt>
                <c:pt idx="299">
                  <c:v>1.466687527201137</c:v>
                </c:pt>
                <c:pt idx="300">
                  <c:v>1.4722591125895785</c:v>
                </c:pt>
                <c:pt idx="301">
                  <c:v>1.478681145547142</c:v>
                </c:pt>
                <c:pt idx="302">
                  <c:v>1.4803809009244875</c:v>
                </c:pt>
                <c:pt idx="303">
                  <c:v>1.4818968993714681</c:v>
                </c:pt>
                <c:pt idx="304">
                  <c:v>1.486806766834232</c:v>
                </c:pt>
                <c:pt idx="305">
                  <c:v>1.4935587141690254</c:v>
                </c:pt>
                <c:pt idx="306">
                  <c:v>1.5004302837948071</c:v>
                </c:pt>
                <c:pt idx="307">
                  <c:v>1.5166042021529613</c:v>
                </c:pt>
                <c:pt idx="308">
                  <c:v>1.5360103897392303</c:v>
                </c:pt>
                <c:pt idx="309">
                  <c:v>1.5493701102053734</c:v>
                </c:pt>
                <c:pt idx="310">
                  <c:v>1.5606913771869828</c:v>
                </c:pt>
                <c:pt idx="311">
                  <c:v>1.5704501328996856</c:v>
                </c:pt>
                <c:pt idx="312">
                  <c:v>1.5800968981174821</c:v>
                </c:pt>
                <c:pt idx="313">
                  <c:v>1.5868653773221459</c:v>
                </c:pt>
                <c:pt idx="314">
                  <c:v>1.5934426399644424</c:v>
                </c:pt>
                <c:pt idx="315">
                  <c:v>1.6004296430752327</c:v>
                </c:pt>
                <c:pt idx="316">
                  <c:v>1.6062589901412851</c:v>
                </c:pt>
                <c:pt idx="317">
                  <c:v>1.6122507095116447</c:v>
                </c:pt>
                <c:pt idx="318">
                  <c:v>1.6179993909459838</c:v>
                </c:pt>
                <c:pt idx="319">
                  <c:v>1.6236633828595441</c:v>
                </c:pt>
                <c:pt idx="320">
                  <c:v>1.629164433527218</c:v>
                </c:pt>
                <c:pt idx="321">
                  <c:v>1.632749767771756</c:v>
                </c:pt>
                <c:pt idx="322">
                  <c:v>1.634251762893826</c:v>
                </c:pt>
                <c:pt idx="323">
                  <c:v>1.6359719007456781</c:v>
                </c:pt>
                <c:pt idx="324">
                  <c:v>1.6392540492479351</c:v>
                </c:pt>
                <c:pt idx="325">
                  <c:v>1.6428127265110561</c:v>
                </c:pt>
                <c:pt idx="326">
                  <c:v>1.6480245227597232</c:v>
                </c:pt>
                <c:pt idx="327">
                  <c:v>1.6541364634404661</c:v>
                </c:pt>
                <c:pt idx="328">
                  <c:v>1.658607525924688</c:v>
                </c:pt>
                <c:pt idx="329">
                  <c:v>1.6622317201743679</c:v>
                </c:pt>
                <c:pt idx="330">
                  <c:v>1.66622159725374</c:v>
                </c:pt>
                <c:pt idx="331">
                  <c:v>1.6693593961167041</c:v>
                </c:pt>
                <c:pt idx="332">
                  <c:v>1.6731964167348861</c:v>
                </c:pt>
                <c:pt idx="333">
                  <c:v>1.6751455810060079</c:v>
                </c:pt>
                <c:pt idx="334">
                  <c:v>1.6777714541265158</c:v>
                </c:pt>
                <c:pt idx="335">
                  <c:v>1.6799534242408161</c:v>
                </c:pt>
                <c:pt idx="336">
                  <c:v>1.6813571266118399</c:v>
                </c:pt>
                <c:pt idx="337">
                  <c:v>1.682750552529934</c:v>
                </c:pt>
                <c:pt idx="338">
                  <c:v>1.684460212873224</c:v>
                </c:pt>
                <c:pt idx="339">
                  <c:v>1.6876514739322221</c:v>
                </c:pt>
                <c:pt idx="340">
                  <c:v>1.6899183505595099</c:v>
                </c:pt>
                <c:pt idx="341">
                  <c:v>1.69211995559379</c:v>
                </c:pt>
                <c:pt idx="342">
                  <c:v>1.6938409856882459</c:v>
                </c:pt>
                <c:pt idx="343">
                  <c:v>1.6954111175630187</c:v>
                </c:pt>
                <c:pt idx="344">
                  <c:v>1.6962185837251371</c:v>
                </c:pt>
                <c:pt idx="345">
                  <c:v>1.6975570739988006</c:v>
                </c:pt>
                <c:pt idx="346">
                  <c:v>1.6979104073433098</c:v>
                </c:pt>
                <c:pt idx="347">
                  <c:v>1.6970052290333255</c:v>
                </c:pt>
                <c:pt idx="348">
                  <c:v>1.6953883257646112</c:v>
                </c:pt>
                <c:pt idx="349">
                  <c:v>1.6936276982657641</c:v>
                </c:pt>
                <c:pt idx="350">
                  <c:v>1.6917711347527387</c:v>
                </c:pt>
                <c:pt idx="351">
                  <c:v>1.6905830725398041</c:v>
                </c:pt>
                <c:pt idx="352">
                  <c:v>1.6889921481967725</c:v>
                </c:pt>
                <c:pt idx="353">
                  <c:v>1.6877612723574875</c:v>
                </c:pt>
                <c:pt idx="354">
                  <c:v>1.6865131258485846</c:v>
                </c:pt>
                <c:pt idx="355">
                  <c:v>1.685899866313975</c:v>
                </c:pt>
                <c:pt idx="356">
                  <c:v>1.684257015441075</c:v>
                </c:pt>
                <c:pt idx="357">
                  <c:v>1.6829604751124987</c:v>
                </c:pt>
                <c:pt idx="358">
                  <c:v>1.6800257926201909</c:v>
                </c:pt>
                <c:pt idx="359">
                  <c:v>1.677712632400896</c:v>
                </c:pt>
                <c:pt idx="360">
                  <c:v>1.6754408102436447</c:v>
                </c:pt>
                <c:pt idx="361">
                  <c:v>1.6732686965925434</c:v>
                </c:pt>
                <c:pt idx="362">
                  <c:v>1.6714478269531965</c:v>
                </c:pt>
                <c:pt idx="363">
                  <c:v>1.6697273957669621</c:v>
                </c:pt>
                <c:pt idx="364">
                  <c:v>1.6682609107418827</c:v>
                </c:pt>
                <c:pt idx="365">
                  <c:v>1.6665233796277903</c:v>
                </c:pt>
                <c:pt idx="366">
                  <c:v>1.6645444568200101</c:v>
                </c:pt>
                <c:pt idx="367">
                  <c:v>1.6626901546862634</c:v>
                </c:pt>
                <c:pt idx="368">
                  <c:v>1.6626528978501571</c:v>
                </c:pt>
                <c:pt idx="369">
                  <c:v>1.6631898564397138</c:v>
                </c:pt>
                <c:pt idx="370">
                  <c:v>1.6634534061999766</c:v>
                </c:pt>
                <c:pt idx="371">
                  <c:v>1.6641912843793296</c:v>
                </c:pt>
                <c:pt idx="372">
                  <c:v>1.6645751012448939</c:v>
                </c:pt>
                <c:pt idx="373">
                  <c:v>1.6654542270007708</c:v>
                </c:pt>
                <c:pt idx="374">
                  <c:v>1.6659444053720411</c:v>
                </c:pt>
                <c:pt idx="375">
                  <c:v>1.666934621604574</c:v>
                </c:pt>
                <c:pt idx="376">
                  <c:v>1.6681498498452978</c:v>
                </c:pt>
                <c:pt idx="377">
                  <c:v>1.66889171121103</c:v>
                </c:pt>
                <c:pt idx="378">
                  <c:v>1.6680723340135546</c:v>
                </c:pt>
                <c:pt idx="379">
                  <c:v>1.6680696606738734</c:v>
                </c:pt>
                <c:pt idx="380">
                  <c:v>1.6680009164741831</c:v>
                </c:pt>
                <c:pt idx="381">
                  <c:v>1.6678461490028569</c:v>
                </c:pt>
                <c:pt idx="382">
                  <c:v>1.6644050039122229</c:v>
                </c:pt>
                <c:pt idx="383">
                  <c:v>1.658320925369505</c:v>
                </c:pt>
                <c:pt idx="384">
                  <c:v>1.65467449142334</c:v>
                </c:pt>
                <c:pt idx="385">
                  <c:v>1.6525485109302487</c:v>
                </c:pt>
                <c:pt idx="386">
                  <c:v>1.6501369247959126</c:v>
                </c:pt>
                <c:pt idx="387">
                  <c:v>1.6471458052403862</c:v>
                </c:pt>
                <c:pt idx="388">
                  <c:v>1.6455269409880331</c:v>
                </c:pt>
                <c:pt idx="389">
                  <c:v>1.6437138449123658</c:v>
                </c:pt>
                <c:pt idx="390">
                  <c:v>1.641842237615365</c:v>
                </c:pt>
                <c:pt idx="391">
                  <c:v>1.6398098984068465</c:v>
                </c:pt>
                <c:pt idx="392">
                  <c:v>1.6375733667431664</c:v>
                </c:pt>
                <c:pt idx="393">
                  <c:v>1.6356336358332062</c:v>
                </c:pt>
                <c:pt idx="394">
                  <c:v>1.6336278746240716</c:v>
                </c:pt>
                <c:pt idx="395">
                  <c:v>1.631110666375936</c:v>
                </c:pt>
                <c:pt idx="396">
                  <c:v>1.6302954896250224</c:v>
                </c:pt>
                <c:pt idx="397">
                  <c:v>1.6292199921013015</c:v>
                </c:pt>
                <c:pt idx="398">
                  <c:v>1.6273641314131921</c:v>
                </c:pt>
                <c:pt idx="399">
                  <c:v>1.626230590147115</c:v>
                </c:pt>
                <c:pt idx="400">
                  <c:v>1.6246388648560677</c:v>
                </c:pt>
                <c:pt idx="401">
                  <c:v>1.6227145523307076</c:v>
                </c:pt>
                <c:pt idx="402">
                  <c:v>1.61853934232698</c:v>
                </c:pt>
                <c:pt idx="403">
                  <c:v>1.6160667598567588</c:v>
                </c:pt>
                <c:pt idx="404">
                  <c:v>1.6138613735680238</c:v>
                </c:pt>
                <c:pt idx="405">
                  <c:v>1.6114471717161014</c:v>
                </c:pt>
                <c:pt idx="406">
                  <c:v>1.6097590537914594</c:v>
                </c:pt>
                <c:pt idx="407">
                  <c:v>1.6070263697974341</c:v>
                </c:pt>
                <c:pt idx="408">
                  <c:v>1.6059248038860803</c:v>
                </c:pt>
                <c:pt idx="409">
                  <c:v>1.6037924587638654</c:v>
                </c:pt>
                <c:pt idx="410">
                  <c:v>1.6033143059979491</c:v>
                </c:pt>
                <c:pt idx="411">
                  <c:v>1.603093392913697</c:v>
                </c:pt>
                <c:pt idx="412">
                  <c:v>1.6023962971608898</c:v>
                </c:pt>
                <c:pt idx="413">
                  <c:v>1.6013446056088969</c:v>
                </c:pt>
                <c:pt idx="414">
                  <c:v>1.5974629839296255</c:v>
                </c:pt>
                <c:pt idx="415">
                  <c:v>1.5945820469510374</c:v>
                </c:pt>
                <c:pt idx="416">
                  <c:v>1.5912888262405138</c:v>
                </c:pt>
                <c:pt idx="417">
                  <c:v>1.5882475755420478</c:v>
                </c:pt>
                <c:pt idx="418">
                  <c:v>1.5834301281752481</c:v>
                </c:pt>
                <c:pt idx="419">
                  <c:v>1.5783367455035155</c:v>
                </c:pt>
                <c:pt idx="420">
                  <c:v>1.572778246409503</c:v>
                </c:pt>
                <c:pt idx="421">
                  <c:v>1.5733820744036477</c:v>
                </c:pt>
                <c:pt idx="422">
                  <c:v>1.5775451784479586</c:v>
                </c:pt>
                <c:pt idx="423">
                  <c:v>1.5850227747086476</c:v>
                </c:pt>
                <c:pt idx="424">
                  <c:v>1.5897537391177896</c:v>
                </c:pt>
                <c:pt idx="425">
                  <c:v>1.5915136542405184</c:v>
                </c:pt>
                <c:pt idx="426">
                  <c:v>1.5916628140683244</c:v>
                </c:pt>
                <c:pt idx="427">
                  <c:v>1.5920973696229828</c:v>
                </c:pt>
                <c:pt idx="428">
                  <c:v>1.5924905859455356</c:v>
                </c:pt>
                <c:pt idx="429">
                  <c:v>1.5940998534365025</c:v>
                </c:pt>
                <c:pt idx="430">
                  <c:v>1.5951293511516582</c:v>
                </c:pt>
                <c:pt idx="431">
                  <c:v>1.5965196490927775</c:v>
                </c:pt>
                <c:pt idx="432">
                  <c:v>1.5978302584107562</c:v>
                </c:pt>
                <c:pt idx="433">
                  <c:v>1.5993795554689767</c:v>
                </c:pt>
                <c:pt idx="434">
                  <c:v>1.6017873827971414</c:v>
                </c:pt>
                <c:pt idx="435">
                  <c:v>1.6040563085562354</c:v>
                </c:pt>
                <c:pt idx="436">
                  <c:v>1.6065546835420235</c:v>
                </c:pt>
                <c:pt idx="437">
                  <c:v>1.6088639154386646</c:v>
                </c:pt>
                <c:pt idx="438">
                  <c:v>1.6116632934883017</c:v>
                </c:pt>
                <c:pt idx="439">
                  <c:v>1.614496331767955</c:v>
                </c:pt>
                <c:pt idx="440">
                  <c:v>1.617411026678145</c:v>
                </c:pt>
                <c:pt idx="441">
                  <c:v>1.619612547044297</c:v>
                </c:pt>
                <c:pt idx="442">
                  <c:v>1.6208168588394836</c:v>
                </c:pt>
                <c:pt idx="443">
                  <c:v>1.6220822330404778</c:v>
                </c:pt>
                <c:pt idx="444">
                  <c:v>1.6225446520681028</c:v>
                </c:pt>
                <c:pt idx="445">
                  <c:v>1.6233343108842908</c:v>
                </c:pt>
                <c:pt idx="446">
                  <c:v>1.6240696087773234</c:v>
                </c:pt>
                <c:pt idx="447">
                  <c:v>1.6250176933059415</c:v>
                </c:pt>
                <c:pt idx="448">
                  <c:v>1.6261696734092637</c:v>
                </c:pt>
                <c:pt idx="449">
                  <c:v>1.6269518631455884</c:v>
                </c:pt>
                <c:pt idx="450">
                  <c:v>1.6275087459384046</c:v>
                </c:pt>
                <c:pt idx="451">
                  <c:v>1.6277260502352557</c:v>
                </c:pt>
                <c:pt idx="452">
                  <c:v>1.6281353339246714</c:v>
                </c:pt>
                <c:pt idx="453">
                  <c:v>1.6284573063538597</c:v>
                </c:pt>
                <c:pt idx="454">
                  <c:v>1.6280847764187507</c:v>
                </c:pt>
                <c:pt idx="455">
                  <c:v>1.6274746429900342</c:v>
                </c:pt>
                <c:pt idx="456">
                  <c:v>1.6272040929966443</c:v>
                </c:pt>
                <c:pt idx="457">
                  <c:v>1.6269640670257757</c:v>
                </c:pt>
                <c:pt idx="458">
                  <c:v>1.6254510315138342</c:v>
                </c:pt>
                <c:pt idx="459">
                  <c:v>1.6238650852578487</c:v>
                </c:pt>
                <c:pt idx="460">
                  <c:v>1.6205913697797043</c:v>
                </c:pt>
                <c:pt idx="461">
                  <c:v>1.6185402143817715</c:v>
                </c:pt>
                <c:pt idx="462">
                  <c:v>1.6164889392031774</c:v>
                </c:pt>
                <c:pt idx="463">
                  <c:v>1.6149093570448811</c:v>
                </c:pt>
                <c:pt idx="464">
                  <c:v>1.6130166213985571</c:v>
                </c:pt>
                <c:pt idx="465">
                  <c:v>1.6120243558172553</c:v>
                </c:pt>
                <c:pt idx="466">
                  <c:v>1.6125692341998399</c:v>
                </c:pt>
                <c:pt idx="467">
                  <c:v>1.6127947460417198</c:v>
                </c:pt>
                <c:pt idx="468">
                  <c:v>1.6127246397796196</c:v>
                </c:pt>
                <c:pt idx="469">
                  <c:v>1.6132360328039861</c:v>
                </c:pt>
                <c:pt idx="470">
                  <c:v>1.6132784995217087</c:v>
                </c:pt>
                <c:pt idx="471">
                  <c:v>1.6114093193738255</c:v>
                </c:pt>
                <c:pt idx="472">
                  <c:v>1.6111315036653788</c:v>
                </c:pt>
                <c:pt idx="473">
                  <c:v>1.6109848185880391</c:v>
                </c:pt>
                <c:pt idx="474">
                  <c:v>1.6102101632858785</c:v>
                </c:pt>
                <c:pt idx="475">
                  <c:v>1.6088568195442896</c:v>
                </c:pt>
                <c:pt idx="476">
                  <c:v>1.6053498338707857</c:v>
                </c:pt>
                <c:pt idx="477">
                  <c:v>1.6028155445483565</c:v>
                </c:pt>
                <c:pt idx="478">
                  <c:v>1.5997570862452715</c:v>
                </c:pt>
                <c:pt idx="479">
                  <c:v>1.5975410701353565</c:v>
                </c:pt>
                <c:pt idx="480">
                  <c:v>1.5947933731151283</c:v>
                </c:pt>
                <c:pt idx="481">
                  <c:v>1.5919570856365077</c:v>
                </c:pt>
                <c:pt idx="482">
                  <c:v>1.5888233971319337</c:v>
                </c:pt>
                <c:pt idx="483">
                  <c:v>1.5860640224943812</c:v>
                </c:pt>
                <c:pt idx="484">
                  <c:v>1.5824675647376822</c:v>
                </c:pt>
                <c:pt idx="485">
                  <c:v>1.577029166557893</c:v>
                </c:pt>
                <c:pt idx="486">
                  <c:v>1.5715428371954392</c:v>
                </c:pt>
                <c:pt idx="487">
                  <c:v>1.5659977534418137</c:v>
                </c:pt>
                <c:pt idx="488">
                  <c:v>1.5603462362310676</c:v>
                </c:pt>
                <c:pt idx="489">
                  <c:v>1.5556420071844224</c:v>
                </c:pt>
                <c:pt idx="490">
                  <c:v>1.550153536699709</c:v>
                </c:pt>
                <c:pt idx="491">
                  <c:v>1.5452762655797661</c:v>
                </c:pt>
                <c:pt idx="492">
                  <c:v>1.5404582124459267</c:v>
                </c:pt>
                <c:pt idx="493">
                  <c:v>1.534540722735962</c:v>
                </c:pt>
                <c:pt idx="494">
                  <c:v>1.5304765125352768</c:v>
                </c:pt>
                <c:pt idx="495">
                  <c:v>1.5269989014144794</c:v>
                </c:pt>
                <c:pt idx="496">
                  <c:v>1.5180071230588403</c:v>
                </c:pt>
                <c:pt idx="497">
                  <c:v>1.5065703116080242</c:v>
                </c:pt>
                <c:pt idx="498">
                  <c:v>1.4912332200689333</c:v>
                </c:pt>
                <c:pt idx="499">
                  <c:v>1.4774720554597871</c:v>
                </c:pt>
                <c:pt idx="500">
                  <c:v>1.4682068139972619</c:v>
                </c:pt>
                <c:pt idx="501">
                  <c:v>1.461933773823598</c:v>
                </c:pt>
                <c:pt idx="502">
                  <c:v>1.4603416403979623</c:v>
                </c:pt>
                <c:pt idx="503">
                  <c:v>1.4580768662804855</c:v>
                </c:pt>
                <c:pt idx="504">
                  <c:v>1.4579040908958867</c:v>
                </c:pt>
                <c:pt idx="505">
                  <c:v>1.4578754009762154</c:v>
                </c:pt>
                <c:pt idx="506">
                  <c:v>1.4574801912435937</c:v>
                </c:pt>
                <c:pt idx="507">
                  <c:v>1.4568294554154393</c:v>
                </c:pt>
                <c:pt idx="508">
                  <c:v>1.4556792985671998</c:v>
                </c:pt>
                <c:pt idx="509">
                  <c:v>1.4550524660431909</c:v>
                </c:pt>
                <c:pt idx="510">
                  <c:v>1.454481702383623</c:v>
                </c:pt>
                <c:pt idx="511">
                  <c:v>1.4540913295535998</c:v>
                </c:pt>
                <c:pt idx="512">
                  <c:v>1.4537931346364319</c:v>
                </c:pt>
                <c:pt idx="513">
                  <c:v>1.453576218494441</c:v>
                </c:pt>
                <c:pt idx="514">
                  <c:v>1.4534702132068136</c:v>
                </c:pt>
                <c:pt idx="515">
                  <c:v>1.4534066408825512</c:v>
                </c:pt>
                <c:pt idx="516">
                  <c:v>1.4532232127807085</c:v>
                </c:pt>
                <c:pt idx="517">
                  <c:v>1.4533181425091068</c:v>
                </c:pt>
                <c:pt idx="518">
                  <c:v>1.4528037877850943</c:v>
                </c:pt>
                <c:pt idx="519">
                  <c:v>1.4514393513740895</c:v>
                </c:pt>
                <c:pt idx="520">
                  <c:v>1.4504659466404484</c:v>
                </c:pt>
                <c:pt idx="521">
                  <c:v>1.4493402561384934</c:v>
                </c:pt>
                <c:pt idx="522">
                  <c:v>1.4485833977756775</c:v>
                </c:pt>
                <c:pt idx="523">
                  <c:v>1.4480387149138036</c:v>
                </c:pt>
                <c:pt idx="524">
                  <c:v>1.4474481472043761</c:v>
                </c:pt>
                <c:pt idx="525">
                  <c:v>1.4465219591661478</c:v>
                </c:pt>
                <c:pt idx="526">
                  <c:v>1.4451443002755977</c:v>
                </c:pt>
                <c:pt idx="527">
                  <c:v>1.4439483385830418</c:v>
                </c:pt>
                <c:pt idx="528">
                  <c:v>1.4422885091873738</c:v>
                </c:pt>
                <c:pt idx="529">
                  <c:v>1.4397557216936849</c:v>
                </c:pt>
                <c:pt idx="530">
                  <c:v>1.4358356448810961</c:v>
                </c:pt>
                <c:pt idx="531">
                  <c:v>1.4336747348101782</c:v>
                </c:pt>
                <c:pt idx="532">
                  <c:v>1.4318022282385823</c:v>
                </c:pt>
                <c:pt idx="533">
                  <c:v>1.4297614872852213</c:v>
                </c:pt>
                <c:pt idx="534">
                  <c:v>1.4283551111627315</c:v>
                </c:pt>
                <c:pt idx="535">
                  <c:v>1.4262384969656066</c:v>
                </c:pt>
                <c:pt idx="536">
                  <c:v>1.4247412513636932</c:v>
                </c:pt>
                <c:pt idx="537">
                  <c:v>1.4236526917983821</c:v>
                </c:pt>
                <c:pt idx="538">
                  <c:v>1.4234820778199775</c:v>
                </c:pt>
                <c:pt idx="539">
                  <c:v>1.4235517758678971</c:v>
                </c:pt>
                <c:pt idx="540">
                  <c:v>1.423820398662982</c:v>
                </c:pt>
                <c:pt idx="541">
                  <c:v>1.4245478700462757</c:v>
                </c:pt>
                <c:pt idx="542">
                  <c:v>1.4250904142440688</c:v>
                </c:pt>
                <c:pt idx="543">
                  <c:v>1.4249501002633975</c:v>
                </c:pt>
                <c:pt idx="544">
                  <c:v>1.4250129810500305</c:v>
                </c:pt>
                <c:pt idx="545">
                  <c:v>1.4253959204699544</c:v>
                </c:pt>
                <c:pt idx="546">
                  <c:v>1.4254248637477422</c:v>
                </c:pt>
                <c:pt idx="547">
                  <c:v>1.4254154522388434</c:v>
                </c:pt>
                <c:pt idx="548">
                  <c:v>1.425313194906769</c:v>
                </c:pt>
                <c:pt idx="549">
                  <c:v>1.425606146584365</c:v>
                </c:pt>
                <c:pt idx="550">
                  <c:v>1.4261932094001706</c:v>
                </c:pt>
                <c:pt idx="551">
                  <c:v>1.4266889890437231</c:v>
                </c:pt>
                <c:pt idx="552">
                  <c:v>1.4312926071303984</c:v>
                </c:pt>
                <c:pt idx="553">
                  <c:v>1.4333434001181287</c:v>
                </c:pt>
                <c:pt idx="554">
                  <c:v>1.4359422071793539</c:v>
                </c:pt>
                <c:pt idx="555">
                  <c:v>1.4394459714284389</c:v>
                </c:pt>
                <c:pt idx="556">
                  <c:v>1.4430484846967109</c:v>
                </c:pt>
                <c:pt idx="557">
                  <c:v>1.4465099559055759</c:v>
                </c:pt>
                <c:pt idx="558">
                  <c:v>1.4501859940817561</c:v>
                </c:pt>
                <c:pt idx="559">
                  <c:v>1.451560293720177</c:v>
                </c:pt>
                <c:pt idx="560">
                  <c:v>1.4528878598991717</c:v>
                </c:pt>
                <c:pt idx="561">
                  <c:v>1.4540349318697974</c:v>
                </c:pt>
                <c:pt idx="562">
                  <c:v>1.4555674508884624</c:v>
                </c:pt>
                <c:pt idx="563">
                  <c:v>1.4567553465895342</c:v>
                </c:pt>
                <c:pt idx="564">
                  <c:v>1.4582991411319755</c:v>
                </c:pt>
                <c:pt idx="565">
                  <c:v>1.458021896324468</c:v>
                </c:pt>
                <c:pt idx="566">
                  <c:v>1.4573807815092739</c:v>
                </c:pt>
                <c:pt idx="567">
                  <c:v>1.4558316217418046</c:v>
                </c:pt>
                <c:pt idx="568">
                  <c:v>1.4538813769241086</c:v>
                </c:pt>
                <c:pt idx="569">
                  <c:v>1.4488979868841589</c:v>
                </c:pt>
                <c:pt idx="570">
                  <c:v>1.4435452313388029</c:v>
                </c:pt>
                <c:pt idx="571">
                  <c:v>1.4380523941701309</c:v>
                </c:pt>
                <c:pt idx="572">
                  <c:v>1.4324831212206002</c:v>
                </c:pt>
                <c:pt idx="573">
                  <c:v>1.4254439505054557</c:v>
                </c:pt>
                <c:pt idx="574">
                  <c:v>1.419114311626873</c:v>
                </c:pt>
                <c:pt idx="575">
                  <c:v>1.4124046311706941</c:v>
                </c:pt>
                <c:pt idx="576">
                  <c:v>1.4073941898841555</c:v>
                </c:pt>
                <c:pt idx="577">
                  <c:v>1.4027541838367115</c:v>
                </c:pt>
                <c:pt idx="578">
                  <c:v>1.3992730927284185</c:v>
                </c:pt>
                <c:pt idx="579">
                  <c:v>1.3954815023053784</c:v>
                </c:pt>
                <c:pt idx="580">
                  <c:v>1.390226662622724</c:v>
                </c:pt>
                <c:pt idx="581">
                  <c:v>1.3855669358248883</c:v>
                </c:pt>
                <c:pt idx="582">
                  <c:v>1.3813529942739511</c:v>
                </c:pt>
                <c:pt idx="583">
                  <c:v>1.3785927009153933</c:v>
                </c:pt>
                <c:pt idx="584">
                  <c:v>1.3766727921371988</c:v>
                </c:pt>
                <c:pt idx="585">
                  <c:v>1.3749255079851899</c:v>
                </c:pt>
                <c:pt idx="586">
                  <c:v>1.3725071572311416</c:v>
                </c:pt>
                <c:pt idx="587">
                  <c:v>1.3716385541916727</c:v>
                </c:pt>
                <c:pt idx="588">
                  <c:v>1.3695461845578143</c:v>
                </c:pt>
                <c:pt idx="589">
                  <c:v>1.3670342641052629</c:v>
                </c:pt>
                <c:pt idx="590">
                  <c:v>1.3647421356035314</c:v>
                </c:pt>
                <c:pt idx="591">
                  <c:v>1.3627898972530357</c:v>
                </c:pt>
                <c:pt idx="592">
                  <c:v>1.3619884086897505</c:v>
                </c:pt>
                <c:pt idx="593">
                  <c:v>1.3604803895281337</c:v>
                </c:pt>
                <c:pt idx="594">
                  <c:v>1.3590684623033411</c:v>
                </c:pt>
                <c:pt idx="595">
                  <c:v>1.3572881225179434</c:v>
                </c:pt>
                <c:pt idx="596">
                  <c:v>1.3552528947382814</c:v>
                </c:pt>
                <c:pt idx="597">
                  <c:v>1.3535991582849487</c:v>
                </c:pt>
                <c:pt idx="598">
                  <c:v>1.3515072426909147</c:v>
                </c:pt>
                <c:pt idx="599">
                  <c:v>1.3502587472530769</c:v>
                </c:pt>
                <c:pt idx="600">
                  <c:v>1.3489946375080411</c:v>
                </c:pt>
                <c:pt idx="601">
                  <c:v>1.3481490472062141</c:v>
                </c:pt>
                <c:pt idx="602">
                  <c:v>1.3474425389856468</c:v>
                </c:pt>
                <c:pt idx="603">
                  <c:v>1.3461439519420531</c:v>
                </c:pt>
                <c:pt idx="604">
                  <c:v>1.3442920383984038</c:v>
                </c:pt>
                <c:pt idx="605">
                  <c:v>1.3431473772543192</c:v>
                </c:pt>
                <c:pt idx="606">
                  <c:v>1.3412986107933902</c:v>
                </c:pt>
                <c:pt idx="607">
                  <c:v>1.3401327798339615</c:v>
                </c:pt>
                <c:pt idx="608">
                  <c:v>1.3394669448418313</c:v>
                </c:pt>
                <c:pt idx="609">
                  <c:v>1.3386422426804119</c:v>
                </c:pt>
                <c:pt idx="610">
                  <c:v>1.3360842252942964</c:v>
                </c:pt>
                <c:pt idx="611">
                  <c:v>1.3338690223534393</c:v>
                </c:pt>
                <c:pt idx="612">
                  <c:v>1.3307862115357088</c:v>
                </c:pt>
                <c:pt idx="613">
                  <c:v>1.328442160808275</c:v>
                </c:pt>
                <c:pt idx="614">
                  <c:v>1.324481896840912</c:v>
                </c:pt>
                <c:pt idx="615">
                  <c:v>1.3235933290750492</c:v>
                </c:pt>
                <c:pt idx="616">
                  <c:v>1.3213752080507351</c:v>
                </c:pt>
                <c:pt idx="617">
                  <c:v>1.3199600160050664</c:v>
                </c:pt>
                <c:pt idx="618">
                  <c:v>1.3201255779013139</c:v>
                </c:pt>
                <c:pt idx="619">
                  <c:v>1.3209820553897789</c:v>
                </c:pt>
                <c:pt idx="620">
                  <c:v>1.3212885008606698</c:v>
                </c:pt>
                <c:pt idx="621">
                  <c:v>1.3235129451211682</c:v>
                </c:pt>
                <c:pt idx="622">
                  <c:v>1.3246602520800381</c:v>
                </c:pt>
                <c:pt idx="623">
                  <c:v>1.3249978561916176</c:v>
                </c:pt>
                <c:pt idx="624">
                  <c:v>1.3308035374197618</c:v>
                </c:pt>
                <c:pt idx="625">
                  <c:v>1.335667012559669</c:v>
                </c:pt>
                <c:pt idx="626">
                  <c:v>1.3396005778637217</c:v>
                </c:pt>
                <c:pt idx="627">
                  <c:v>1.342618727788601</c:v>
                </c:pt>
                <c:pt idx="628">
                  <c:v>1.34404877138359</c:v>
                </c:pt>
                <c:pt idx="629">
                  <c:v>1.3456186071578073</c:v>
                </c:pt>
                <c:pt idx="630">
                  <c:v>1.3462810926277635</c:v>
                </c:pt>
                <c:pt idx="631">
                  <c:v>1.3465745022113502</c:v>
                </c:pt>
                <c:pt idx="632">
                  <c:v>1.3465498445817861</c:v>
                </c:pt>
                <c:pt idx="633">
                  <c:v>1.3463232654585684</c:v>
                </c:pt>
                <c:pt idx="634">
                  <c:v>1.3464056571153098</c:v>
                </c:pt>
                <c:pt idx="635">
                  <c:v>1.346607005904974</c:v>
                </c:pt>
                <c:pt idx="636">
                  <c:v>1.3468073450593727</c:v>
                </c:pt>
                <c:pt idx="637">
                  <c:v>1.3479681540896247</c:v>
                </c:pt>
                <c:pt idx="638">
                  <c:v>1.3491712599679266</c:v>
                </c:pt>
                <c:pt idx="639">
                  <c:v>1.3502720705392601</c:v>
                </c:pt>
                <c:pt idx="640">
                  <c:v>1.3528758306505617</c:v>
                </c:pt>
                <c:pt idx="641">
                  <c:v>1.3554105079846221</c:v>
                </c:pt>
                <c:pt idx="642">
                  <c:v>1.3573716585275535</c:v>
                </c:pt>
                <c:pt idx="643">
                  <c:v>1.3596385992047317</c:v>
                </c:pt>
                <c:pt idx="644">
                  <c:v>1.3619434629530911</c:v>
                </c:pt>
                <c:pt idx="645">
                  <c:v>1.3640882010606998</c:v>
                </c:pt>
                <c:pt idx="646">
                  <c:v>1.3668792005754655</c:v>
                </c:pt>
                <c:pt idx="647">
                  <c:v>1.3700341249047105</c:v>
                </c:pt>
                <c:pt idx="648">
                  <c:v>1.3725272105805255</c:v>
                </c:pt>
                <c:pt idx="649">
                  <c:v>1.3744670553961327</c:v>
                </c:pt>
                <c:pt idx="650">
                  <c:v>1.3764599927806516</c:v>
                </c:pt>
                <c:pt idx="651">
                  <c:v>1.3781992096178861</c:v>
                </c:pt>
                <c:pt idx="652">
                  <c:v>1.3791550446231549</c:v>
                </c:pt>
                <c:pt idx="653">
                  <c:v>1.3798183996648077</c:v>
                </c:pt>
                <c:pt idx="654">
                  <c:v>1.3802626310698225</c:v>
                </c:pt>
                <c:pt idx="655">
                  <c:v>1.3804403871093851</c:v>
                </c:pt>
                <c:pt idx="656">
                  <c:v>1.3805784172997375</c:v>
                </c:pt>
                <c:pt idx="657">
                  <c:v>1.3809189532624242</c:v>
                </c:pt>
                <c:pt idx="658">
                  <c:v>1.3814313452483513</c:v>
                </c:pt>
                <c:pt idx="659">
                  <c:v>1.3817059514707044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1.2193360140877598</c:v>
                </c:pt>
                <c:pt idx="1">
                  <c:v>1.2205295762041206</c:v>
                </c:pt>
                <c:pt idx="2">
                  <c:v>1.2215803258577167</c:v>
                </c:pt>
                <c:pt idx="3">
                  <c:v>1.2227203334992942</c:v>
                </c:pt>
                <c:pt idx="4">
                  <c:v>1.2228333801860933</c:v>
                </c:pt>
                <c:pt idx="5">
                  <c:v>1.2231655543384337</c:v>
                </c:pt>
                <c:pt idx="6">
                  <c:v>1.22306592718384</c:v>
                </c:pt>
                <c:pt idx="7">
                  <c:v>1.2230625425135309</c:v>
                </c:pt>
                <c:pt idx="8">
                  <c:v>1.223134043926807</c:v>
                </c:pt>
                <c:pt idx="9">
                  <c:v>1.2225351438612513</c:v>
                </c:pt>
                <c:pt idx="10">
                  <c:v>1.2222589675011211</c:v>
                </c:pt>
                <c:pt idx="11">
                  <c:v>1.2230852443819609</c:v>
                </c:pt>
                <c:pt idx="12">
                  <c:v>1.2234643739157183</c:v>
                </c:pt>
                <c:pt idx="13">
                  <c:v>1.2228949419008335</c:v>
                </c:pt>
                <c:pt idx="14">
                  <c:v>1.2224337852046807</c:v>
                </c:pt>
                <c:pt idx="15">
                  <c:v>1.2220402318508405</c:v>
                </c:pt>
                <c:pt idx="16">
                  <c:v>1.2197108674076198</c:v>
                </c:pt>
                <c:pt idx="17">
                  <c:v>1.2186579505990605</c:v>
                </c:pt>
                <c:pt idx="18">
                  <c:v>1.2174641690421368</c:v>
                </c:pt>
                <c:pt idx="19">
                  <c:v>1.2166627596082693</c:v>
                </c:pt>
                <c:pt idx="20">
                  <c:v>1.2165725935879406</c:v>
                </c:pt>
                <c:pt idx="21">
                  <c:v>1.2164663694778346</c:v>
                </c:pt>
                <c:pt idx="22">
                  <c:v>1.2169714666035392</c:v>
                </c:pt>
                <c:pt idx="23">
                  <c:v>1.2167935059120796</c:v>
                </c:pt>
                <c:pt idx="24">
                  <c:v>1.2152719020515534</c:v>
                </c:pt>
                <c:pt idx="25">
                  <c:v>1.2127841241650457</c:v>
                </c:pt>
                <c:pt idx="26">
                  <c:v>1.210348169633368</c:v>
                </c:pt>
                <c:pt idx="27">
                  <c:v>1.2078854784315289</c:v>
                </c:pt>
                <c:pt idx="28">
                  <c:v>1.2056821968539349</c:v>
                </c:pt>
                <c:pt idx="29">
                  <c:v>1.2018525573498842</c:v>
                </c:pt>
                <c:pt idx="30">
                  <c:v>1.1972658593374921</c:v>
                </c:pt>
                <c:pt idx="31">
                  <c:v>1.1957239398476562</c:v>
                </c:pt>
                <c:pt idx="32">
                  <c:v>1.1946895166235876</c:v>
                </c:pt>
                <c:pt idx="33">
                  <c:v>1.1941228060013453</c:v>
                </c:pt>
                <c:pt idx="34">
                  <c:v>1.1941049062815721</c:v>
                </c:pt>
                <c:pt idx="35">
                  <c:v>1.1952901673236127</c:v>
                </c:pt>
                <c:pt idx="36">
                  <c:v>1.1975662573713084</c:v>
                </c:pt>
                <c:pt idx="37">
                  <c:v>1.1989433783001708</c:v>
                </c:pt>
                <c:pt idx="38">
                  <c:v>1.2001737378660626</c:v>
                </c:pt>
                <c:pt idx="39">
                  <c:v>1.2017556820810007</c:v>
                </c:pt>
                <c:pt idx="40">
                  <c:v>1.2032555076001061</c:v>
                </c:pt>
                <c:pt idx="41">
                  <c:v>1.2038739497159106</c:v>
                </c:pt>
                <c:pt idx="42">
                  <c:v>1.2044891059281242</c:v>
                </c:pt>
                <c:pt idx="43">
                  <c:v>1.2053988852671054</c:v>
                </c:pt>
                <c:pt idx="44">
                  <c:v>1.2070001199321299</c:v>
                </c:pt>
                <c:pt idx="45">
                  <c:v>1.2092375179950317</c:v>
                </c:pt>
                <c:pt idx="46">
                  <c:v>1.2120665154185308</c:v>
                </c:pt>
                <c:pt idx="47">
                  <c:v>1.2145699633546014</c:v>
                </c:pt>
                <c:pt idx="48">
                  <c:v>1.2167718282698119</c:v>
                </c:pt>
                <c:pt idx="49">
                  <c:v>1.220353956526671</c:v>
                </c:pt>
                <c:pt idx="50">
                  <c:v>1.2224161534778786</c:v>
                </c:pt>
                <c:pt idx="51">
                  <c:v>1.2239114390070411</c:v>
                </c:pt>
                <c:pt idx="52">
                  <c:v>1.2251743314585155</c:v>
                </c:pt>
                <c:pt idx="53">
                  <c:v>1.2272543843372459</c:v>
                </c:pt>
                <c:pt idx="54">
                  <c:v>1.2294736042958574</c:v>
                </c:pt>
                <c:pt idx="55">
                  <c:v>1.2328476285757426</c:v>
                </c:pt>
                <c:pt idx="56">
                  <c:v>1.2357489987884416</c:v>
                </c:pt>
                <c:pt idx="57">
                  <c:v>1.2409774808627838</c:v>
                </c:pt>
                <c:pt idx="58">
                  <c:v>1.2451866614227993</c:v>
                </c:pt>
                <c:pt idx="59">
                  <c:v>1.2489067363623365</c:v>
                </c:pt>
                <c:pt idx="60">
                  <c:v>1.2520974579690467</c:v>
                </c:pt>
                <c:pt idx="61">
                  <c:v>1.2536627110554666</c:v>
                </c:pt>
                <c:pt idx="62">
                  <c:v>1.2547114590341253</c:v>
                </c:pt>
                <c:pt idx="63">
                  <c:v>1.2543389341809921</c:v>
                </c:pt>
                <c:pt idx="64">
                  <c:v>1.252763740861899</c:v>
                </c:pt>
                <c:pt idx="65">
                  <c:v>1.2536257441429988</c:v>
                </c:pt>
                <c:pt idx="66">
                  <c:v>1.2543829604470724</c:v>
                </c:pt>
                <c:pt idx="67">
                  <c:v>1.2544001405961922</c:v>
                </c:pt>
                <c:pt idx="68">
                  <c:v>1.2560280816777041</c:v>
                </c:pt>
                <c:pt idx="69">
                  <c:v>1.2579176897857962</c:v>
                </c:pt>
                <c:pt idx="70">
                  <c:v>1.2605013660961149</c:v>
                </c:pt>
                <c:pt idx="71">
                  <c:v>1.2647711209487202</c:v>
                </c:pt>
                <c:pt idx="72">
                  <c:v>1.2674745617476675</c:v>
                </c:pt>
                <c:pt idx="73">
                  <c:v>1.2748428182981346</c:v>
                </c:pt>
                <c:pt idx="74">
                  <c:v>1.2771984990377687</c:v>
                </c:pt>
                <c:pt idx="75">
                  <c:v>1.2777176326307782</c:v>
                </c:pt>
                <c:pt idx="76">
                  <c:v>1.2772545231841457</c:v>
                </c:pt>
                <c:pt idx="77">
                  <c:v>1.2778587242690502</c:v>
                </c:pt>
                <c:pt idx="78">
                  <c:v>1.2781148082041278</c:v>
                </c:pt>
                <c:pt idx="79">
                  <c:v>1.2773976810245751</c:v>
                </c:pt>
                <c:pt idx="80">
                  <c:v>1.2775032712474652</c:v>
                </c:pt>
                <c:pt idx="81">
                  <c:v>1.2761616142830787</c:v>
                </c:pt>
                <c:pt idx="82">
                  <c:v>1.2724081671533218</c:v>
                </c:pt>
                <c:pt idx="83">
                  <c:v>1.2708664070989064</c:v>
                </c:pt>
                <c:pt idx="84">
                  <c:v>1.269259675159081</c:v>
                </c:pt>
                <c:pt idx="85">
                  <c:v>1.2647335615164099</c:v>
                </c:pt>
                <c:pt idx="86">
                  <c:v>1.2604269320824859</c:v>
                </c:pt>
                <c:pt idx="87">
                  <c:v>1.2570209805490027</c:v>
                </c:pt>
                <c:pt idx="88">
                  <c:v>1.2562991113011703</c:v>
                </c:pt>
                <c:pt idx="89">
                  <c:v>1.2549572888885374</c:v>
                </c:pt>
                <c:pt idx="90">
                  <c:v>1.253635971062776</c:v>
                </c:pt>
                <c:pt idx="91">
                  <c:v>1.2518860006053563</c:v>
                </c:pt>
                <c:pt idx="92">
                  <c:v>1.2505273960235463</c:v>
                </c:pt>
                <c:pt idx="93">
                  <c:v>1.2491088282392158</c:v>
                </c:pt>
                <c:pt idx="94">
                  <c:v>1.2486475353602287</c:v>
                </c:pt>
                <c:pt idx="95">
                  <c:v>1.2484531880446261</c:v>
                </c:pt>
                <c:pt idx="96">
                  <c:v>1.2482379271627935</c:v>
                </c:pt>
                <c:pt idx="97">
                  <c:v>1.2485204626525817</c:v>
                </c:pt>
                <c:pt idx="98">
                  <c:v>1.2485744013708326</c:v>
                </c:pt>
                <c:pt idx="99">
                  <c:v>1.2485808388484327</c:v>
                </c:pt>
                <c:pt idx="100">
                  <c:v>1.2487855440244424</c:v>
                </c:pt>
                <c:pt idx="101">
                  <c:v>1.2489605429821078</c:v>
                </c:pt>
                <c:pt idx="102">
                  <c:v>1.2492437949910395</c:v>
                </c:pt>
                <c:pt idx="103">
                  <c:v>1.2499944869534023</c:v>
                </c:pt>
                <c:pt idx="104">
                  <c:v>1.2518119700877099</c:v>
                </c:pt>
                <c:pt idx="105">
                  <c:v>1.2545616971995315</c:v>
                </c:pt>
                <c:pt idx="106">
                  <c:v>1.2553011405323931</c:v>
                </c:pt>
                <c:pt idx="107">
                  <c:v>1.2558318887414694</c:v>
                </c:pt>
                <c:pt idx="108">
                  <c:v>1.2561041083852631</c:v>
                </c:pt>
                <c:pt idx="109">
                  <c:v>1.2554713818104135</c:v>
                </c:pt>
                <c:pt idx="110">
                  <c:v>1.2554076865523545</c:v>
                </c:pt>
                <c:pt idx="111">
                  <c:v>1.2552624793111631</c:v>
                </c:pt>
                <c:pt idx="112">
                  <c:v>1.255211895961694</c:v>
                </c:pt>
                <c:pt idx="113">
                  <c:v>1.2543204415295834</c:v>
                </c:pt>
                <c:pt idx="114">
                  <c:v>1.2543293049969446</c:v>
                </c:pt>
                <c:pt idx="115">
                  <c:v>1.2540220836882843</c:v>
                </c:pt>
                <c:pt idx="116">
                  <c:v>1.2540112175821196</c:v>
                </c:pt>
                <c:pt idx="117">
                  <c:v>1.2543438991340472</c:v>
                </c:pt>
                <c:pt idx="118">
                  <c:v>1.2542757232840411</c:v>
                </c:pt>
                <c:pt idx="119">
                  <c:v>1.2540897669971065</c:v>
                </c:pt>
                <c:pt idx="120">
                  <c:v>1.2542537370718878</c:v>
                </c:pt>
                <c:pt idx="121">
                  <c:v>1.2539095537129781</c:v>
                </c:pt>
                <c:pt idx="122">
                  <c:v>1.2506615719278322</c:v>
                </c:pt>
                <c:pt idx="123">
                  <c:v>1.2488214664411224</c:v>
                </c:pt>
                <c:pt idx="124">
                  <c:v>1.2444651327328584</c:v>
                </c:pt>
                <c:pt idx="125">
                  <c:v>1.2412075643836682</c:v>
                </c:pt>
                <c:pt idx="126">
                  <c:v>1.241318786901388</c:v>
                </c:pt>
                <c:pt idx="127">
                  <c:v>1.2404466298113754</c:v>
                </c:pt>
                <c:pt idx="128">
                  <c:v>1.2400099879122186</c:v>
                </c:pt>
                <c:pt idx="129">
                  <c:v>1.2385322132956722</c:v>
                </c:pt>
                <c:pt idx="130">
                  <c:v>1.2381545404938277</c:v>
                </c:pt>
                <c:pt idx="131">
                  <c:v>1.2403942132871948</c:v>
                </c:pt>
                <c:pt idx="132">
                  <c:v>1.2396028658204077</c:v>
                </c:pt>
                <c:pt idx="133">
                  <c:v>1.2397478924118566</c:v>
                </c:pt>
                <c:pt idx="134">
                  <c:v>1.2412069885284924</c:v>
                </c:pt>
                <c:pt idx="135">
                  <c:v>1.2415167126826112</c:v>
                </c:pt>
                <c:pt idx="136">
                  <c:v>1.2413634005552348</c:v>
                </c:pt>
                <c:pt idx="137">
                  <c:v>1.2412160692132597</c:v>
                </c:pt>
                <c:pt idx="138">
                  <c:v>1.2420496974669983</c:v>
                </c:pt>
                <c:pt idx="139">
                  <c:v>1.2429865496371806</c:v>
                </c:pt>
                <c:pt idx="140">
                  <c:v>1.2436881535626612</c:v>
                </c:pt>
                <c:pt idx="141">
                  <c:v>1.244267555474698</c:v>
                </c:pt>
                <c:pt idx="142">
                  <c:v>1.2451820566532663</c:v>
                </c:pt>
                <c:pt idx="143">
                  <c:v>1.2458109880275856</c:v>
                </c:pt>
                <c:pt idx="144">
                  <c:v>1.2458880261698393</c:v>
                </c:pt>
                <c:pt idx="145">
                  <c:v>1.2456087500192488</c:v>
                </c:pt>
                <c:pt idx="146">
                  <c:v>1.2457087429576668</c:v>
                </c:pt>
                <c:pt idx="147">
                  <c:v>1.2442179127860971</c:v>
                </c:pt>
                <c:pt idx="148">
                  <c:v>1.2415641612548918</c:v>
                </c:pt>
                <c:pt idx="149">
                  <c:v>1.2407160489296809</c:v>
                </c:pt>
                <c:pt idx="150">
                  <c:v>1.2402192478931457</c:v>
                </c:pt>
                <c:pt idx="151">
                  <c:v>1.23947748722785</c:v>
                </c:pt>
                <c:pt idx="152">
                  <c:v>1.239239066602813</c:v>
                </c:pt>
                <c:pt idx="153">
                  <c:v>1.2392884450119475</c:v>
                </c:pt>
                <c:pt idx="154">
                  <c:v>1.2392504455199438</c:v>
                </c:pt>
                <c:pt idx="155">
                  <c:v>1.2394262984284226</c:v>
                </c:pt>
                <c:pt idx="156">
                  <c:v>1.2399359916945707</c:v>
                </c:pt>
                <c:pt idx="157">
                  <c:v>1.242467683691945</c:v>
                </c:pt>
                <c:pt idx="158">
                  <c:v>1.2434748653999772</c:v>
                </c:pt>
                <c:pt idx="159">
                  <c:v>1.243920288985634</c:v>
                </c:pt>
                <c:pt idx="160">
                  <c:v>1.245205580882218</c:v>
                </c:pt>
                <c:pt idx="161">
                  <c:v>1.2446564657817749</c:v>
                </c:pt>
                <c:pt idx="162">
                  <c:v>1.2425381437124838</c:v>
                </c:pt>
                <c:pt idx="163">
                  <c:v>1.2359552510240324</c:v>
                </c:pt>
                <c:pt idx="164">
                  <c:v>1.2324422705800904</c:v>
                </c:pt>
                <c:pt idx="165">
                  <c:v>1.229439665200267</c:v>
                </c:pt>
                <c:pt idx="166">
                  <c:v>1.2278015837054972</c:v>
                </c:pt>
                <c:pt idx="167">
                  <c:v>1.2266157017479975</c:v>
                </c:pt>
                <c:pt idx="168">
                  <c:v>1.2263638419093308</c:v>
                </c:pt>
                <c:pt idx="169">
                  <c:v>1.225593443086423</c:v>
                </c:pt>
                <c:pt idx="170">
                  <c:v>1.2251002169679726</c:v>
                </c:pt>
                <c:pt idx="171">
                  <c:v>1.2248236577816387</c:v>
                </c:pt>
                <c:pt idx="172">
                  <c:v>1.2244090275544288</c:v>
                </c:pt>
                <c:pt idx="173">
                  <c:v>1.2243539219392361</c:v>
                </c:pt>
                <c:pt idx="174">
                  <c:v>1.2244868969626159</c:v>
                </c:pt>
                <c:pt idx="175">
                  <c:v>1.2244971025759273</c:v>
                </c:pt>
                <c:pt idx="176">
                  <c:v>1.2246112640470042</c:v>
                </c:pt>
                <c:pt idx="177">
                  <c:v>1.2247425106053427</c:v>
                </c:pt>
                <c:pt idx="178">
                  <c:v>1.2247618288104394</c:v>
                </c:pt>
                <c:pt idx="179">
                  <c:v>1.2245532098585155</c:v>
                </c:pt>
                <c:pt idx="180">
                  <c:v>1.2246970254605283</c:v>
                </c:pt>
                <c:pt idx="181">
                  <c:v>1.2247511598984497</c:v>
                </c:pt>
                <c:pt idx="182">
                  <c:v>1.2244778184919105</c:v>
                </c:pt>
                <c:pt idx="183">
                  <c:v>1.2222279933870179</c:v>
                </c:pt>
                <c:pt idx="184">
                  <c:v>1.221571122671538</c:v>
                </c:pt>
                <c:pt idx="185">
                  <c:v>1.2199146629621695</c:v>
                </c:pt>
                <c:pt idx="186">
                  <c:v>1.2171786503586117</c:v>
                </c:pt>
                <c:pt idx="187">
                  <c:v>1.2131761780953831</c:v>
                </c:pt>
                <c:pt idx="188">
                  <c:v>1.2095600736375234</c:v>
                </c:pt>
                <c:pt idx="189">
                  <c:v>1.2064042290148336</c:v>
                </c:pt>
                <c:pt idx="190">
                  <c:v>1.204056971162631</c:v>
                </c:pt>
                <c:pt idx="191">
                  <c:v>1.202716596162519</c:v>
                </c:pt>
                <c:pt idx="192">
                  <c:v>1.201864065366071</c:v>
                </c:pt>
                <c:pt idx="193">
                  <c:v>1.201261428013064</c:v>
                </c:pt>
                <c:pt idx="194">
                  <c:v>1.2010710577882335</c:v>
                </c:pt>
                <c:pt idx="195">
                  <c:v>1.2005520519623221</c:v>
                </c:pt>
                <c:pt idx="196">
                  <c:v>1.2007511185510016</c:v>
                </c:pt>
                <c:pt idx="197">
                  <c:v>1.2032668516776608</c:v>
                </c:pt>
                <c:pt idx="198">
                  <c:v>1.2048573727734078</c:v>
                </c:pt>
                <c:pt idx="199">
                  <c:v>1.2083289023490551</c:v>
                </c:pt>
                <c:pt idx="200">
                  <c:v>1.2114377858213239</c:v>
                </c:pt>
                <c:pt idx="201">
                  <c:v>1.211682682546422</c:v>
                </c:pt>
                <c:pt idx="202">
                  <c:v>1.2129569027677367</c:v>
                </c:pt>
                <c:pt idx="203">
                  <c:v>1.214252233827962</c:v>
                </c:pt>
                <c:pt idx="204">
                  <c:v>1.2162988731837054</c:v>
                </c:pt>
                <c:pt idx="205">
                  <c:v>1.2183228340598364</c:v>
                </c:pt>
                <c:pt idx="206">
                  <c:v>1.2200577223690725</c:v>
                </c:pt>
                <c:pt idx="207">
                  <c:v>1.2221480433201251</c:v>
                </c:pt>
                <c:pt idx="208">
                  <c:v>1.2238629960568601</c:v>
                </c:pt>
                <c:pt idx="209">
                  <c:v>1.2246285775583403</c:v>
                </c:pt>
                <c:pt idx="210">
                  <c:v>1.2248346934028862</c:v>
                </c:pt>
                <c:pt idx="211">
                  <c:v>1.2253742783678285</c:v>
                </c:pt>
                <c:pt idx="212">
                  <c:v>1.2262644323591525</c:v>
                </c:pt>
                <c:pt idx="213">
                  <c:v>1.2266811803163526</c:v>
                </c:pt>
                <c:pt idx="214">
                  <c:v>1.2272151795496631</c:v>
                </c:pt>
                <c:pt idx="215">
                  <c:v>1.2274727754719637</c:v>
                </c:pt>
                <c:pt idx="216">
                  <c:v>1.2282631446806407</c:v>
                </c:pt>
                <c:pt idx="217">
                  <c:v>1.2286538723411948</c:v>
                </c:pt>
                <c:pt idx="218">
                  <c:v>1.2291268695913677</c:v>
                </c:pt>
                <c:pt idx="219">
                  <c:v>1.2305596743362117</c:v>
                </c:pt>
                <c:pt idx="220">
                  <c:v>1.2321505790112766</c:v>
                </c:pt>
                <c:pt idx="221">
                  <c:v>1.2331196072150221</c:v>
                </c:pt>
                <c:pt idx="222">
                  <c:v>1.2361496543728165</c:v>
                </c:pt>
                <c:pt idx="223">
                  <c:v>1.2401517331302001</c:v>
                </c:pt>
                <c:pt idx="224">
                  <c:v>1.2420290592697441</c:v>
                </c:pt>
                <c:pt idx="225">
                  <c:v>1.2436321410631472</c:v>
                </c:pt>
                <c:pt idx="226">
                  <c:v>1.2457900700742632</c:v>
                </c:pt>
                <c:pt idx="227">
                  <c:v>1.2474182026095351</c:v>
                </c:pt>
                <c:pt idx="228">
                  <c:v>1.2476090414792642</c:v>
                </c:pt>
                <c:pt idx="229">
                  <c:v>1.2486656486627417</c:v>
                </c:pt>
                <c:pt idx="230">
                  <c:v>1.2492018581984738</c:v>
                </c:pt>
                <c:pt idx="231">
                  <c:v>1.2503839953238234</c:v>
                </c:pt>
                <c:pt idx="232">
                  <c:v>1.2511438090159552</c:v>
                </c:pt>
                <c:pt idx="233">
                  <c:v>1.2498353506792759</c:v>
                </c:pt>
                <c:pt idx="234">
                  <c:v>1.2472724531482302</c:v>
                </c:pt>
                <c:pt idx="235">
                  <c:v>1.2451894763306088</c:v>
                </c:pt>
                <c:pt idx="236">
                  <c:v>1.243077683482622</c:v>
                </c:pt>
                <c:pt idx="237">
                  <c:v>1.2408841845122682</c:v>
                </c:pt>
                <c:pt idx="238">
                  <c:v>1.2407618582247568</c:v>
                </c:pt>
                <c:pt idx="239">
                  <c:v>1.2397316047074025</c:v>
                </c:pt>
                <c:pt idx="240">
                  <c:v>1.2414559433224057</c:v>
                </c:pt>
                <c:pt idx="241">
                  <c:v>1.2414778755741267</c:v>
                </c:pt>
                <c:pt idx="242">
                  <c:v>1.241957559408116</c:v>
                </c:pt>
                <c:pt idx="243">
                  <c:v>1.2428624484696325</c:v>
                </c:pt>
                <c:pt idx="244">
                  <c:v>1.2439457305493524</c:v>
                </c:pt>
                <c:pt idx="245">
                  <c:v>1.2438295073678467</c:v>
                </c:pt>
                <c:pt idx="246">
                  <c:v>1.2434508895264442</c:v>
                </c:pt>
                <c:pt idx="247">
                  <c:v>1.2405273192063715</c:v>
                </c:pt>
                <c:pt idx="248">
                  <c:v>1.2366466817851756</c:v>
                </c:pt>
                <c:pt idx="249">
                  <c:v>1.2364563572024596</c:v>
                </c:pt>
                <c:pt idx="250">
                  <c:v>1.2362399169545109</c:v>
                </c:pt>
                <c:pt idx="251">
                  <c:v>1.2362154758755282</c:v>
                </c:pt>
                <c:pt idx="252">
                  <c:v>1.2360991804293624</c:v>
                </c:pt>
                <c:pt idx="253">
                  <c:v>1.2361270011931875</c:v>
                </c:pt>
                <c:pt idx="254">
                  <c:v>1.237006920345767</c:v>
                </c:pt>
                <c:pt idx="255">
                  <c:v>1.2370170844130279</c:v>
                </c:pt>
                <c:pt idx="256">
                  <c:v>1.2370100950455214</c:v>
                </c:pt>
                <c:pt idx="257">
                  <c:v>1.2368577589597927</c:v>
                </c:pt>
                <c:pt idx="258">
                  <c:v>1.2386523396176161</c:v>
                </c:pt>
                <c:pt idx="259">
                  <c:v>1.239725849528901</c:v>
                </c:pt>
                <c:pt idx="260">
                  <c:v>1.2410993363621585</c:v>
                </c:pt>
                <c:pt idx="261">
                  <c:v>1.243905006368607</c:v>
                </c:pt>
                <c:pt idx="262">
                  <c:v>1.2483498890169766</c:v>
                </c:pt>
                <c:pt idx="263">
                  <c:v>1.2536335178727711</c:v>
                </c:pt>
                <c:pt idx="264">
                  <c:v>1.2575877030479563</c:v>
                </c:pt>
                <c:pt idx="265">
                  <c:v>1.2609957788303343</c:v>
                </c:pt>
                <c:pt idx="266">
                  <c:v>1.2627952447785753</c:v>
                </c:pt>
                <c:pt idx="267">
                  <c:v>1.26401249031875</c:v>
                </c:pt>
                <c:pt idx="268">
                  <c:v>1.2643679733646733</c:v>
                </c:pt>
                <c:pt idx="269">
                  <c:v>1.264119345674267</c:v>
                </c:pt>
                <c:pt idx="270">
                  <c:v>1.2647833046182371</c:v>
                </c:pt>
                <c:pt idx="271">
                  <c:v>1.2652325484873488</c:v>
                </c:pt>
                <c:pt idx="272">
                  <c:v>1.2657814821277897</c:v>
                </c:pt>
                <c:pt idx="273">
                  <c:v>1.2661492720311891</c:v>
                </c:pt>
                <c:pt idx="274">
                  <c:v>1.2664306684088851</c:v>
                </c:pt>
                <c:pt idx="275">
                  <c:v>1.267284600791845</c:v>
                </c:pt>
                <c:pt idx="276">
                  <c:v>1.2681454467763036</c:v>
                </c:pt>
                <c:pt idx="277">
                  <c:v>1.268279079300652</c:v>
                </c:pt>
                <c:pt idx="278">
                  <c:v>1.2681670728906473</c:v>
                </c:pt>
                <c:pt idx="279">
                  <c:v>1.2681285886362605</c:v>
                </c:pt>
                <c:pt idx="280">
                  <c:v>1.2680422647950584</c:v>
                </c:pt>
                <c:pt idx="281">
                  <c:v>1.2684211014464737</c:v>
                </c:pt>
                <c:pt idx="282">
                  <c:v>1.2684280117321332</c:v>
                </c:pt>
                <c:pt idx="283">
                  <c:v>1.2683210217435614</c:v>
                </c:pt>
                <c:pt idx="284">
                  <c:v>1.2685745056961228</c:v>
                </c:pt>
                <c:pt idx="285">
                  <c:v>1.2687703000293507</c:v>
                </c:pt>
                <c:pt idx="286">
                  <c:v>1.2693813965106586</c:v>
                </c:pt>
                <c:pt idx="287">
                  <c:v>1.2694868702280193</c:v>
                </c:pt>
                <c:pt idx="288">
                  <c:v>1.2701559345504814</c:v>
                </c:pt>
                <c:pt idx="289">
                  <c:v>1.2708689887801625</c:v>
                </c:pt>
                <c:pt idx="290">
                  <c:v>1.2709440118629931</c:v>
                </c:pt>
                <c:pt idx="291">
                  <c:v>1.2708239258994825</c:v>
                </c:pt>
                <c:pt idx="292">
                  <c:v>1.270488314955263</c:v>
                </c:pt>
                <c:pt idx="293">
                  <c:v>1.2694302769153067</c:v>
                </c:pt>
                <c:pt idx="294">
                  <c:v>1.2678031928681106</c:v>
                </c:pt>
                <c:pt idx="295">
                  <c:v>1.2643948649654875</c:v>
                </c:pt>
                <c:pt idx="296">
                  <c:v>1.2608368822452509</c:v>
                </c:pt>
                <c:pt idx="297">
                  <c:v>1.2577410843833254</c:v>
                </c:pt>
                <c:pt idx="298">
                  <c:v>1.2545967175943249</c:v>
                </c:pt>
                <c:pt idx="299">
                  <c:v>1.2523254203605829</c:v>
                </c:pt>
                <c:pt idx="300">
                  <c:v>1.2499988670274413</c:v>
                </c:pt>
                <c:pt idx="301">
                  <c:v>1.2469283453832178</c:v>
                </c:pt>
                <c:pt idx="302">
                  <c:v>1.2464065085464326</c:v>
                </c:pt>
                <c:pt idx="303">
                  <c:v>1.2470928380561122</c:v>
                </c:pt>
                <c:pt idx="304">
                  <c:v>1.2456068923057682</c:v>
                </c:pt>
                <c:pt idx="305">
                  <c:v>1.2432983075894346</c:v>
                </c:pt>
                <c:pt idx="306">
                  <c:v>1.240293047871033</c:v>
                </c:pt>
                <c:pt idx="307">
                  <c:v>1.2312059078991588</c:v>
                </c:pt>
                <c:pt idx="308">
                  <c:v>1.2216793308157898</c:v>
                </c:pt>
                <c:pt idx="309">
                  <c:v>1.2178248348269665</c:v>
                </c:pt>
                <c:pt idx="310">
                  <c:v>1.215002302239597</c:v>
                </c:pt>
                <c:pt idx="311">
                  <c:v>1.2139341788600344</c:v>
                </c:pt>
                <c:pt idx="312">
                  <c:v>1.2137174194897378</c:v>
                </c:pt>
                <c:pt idx="313">
                  <c:v>1.2157164145946542</c:v>
                </c:pt>
                <c:pt idx="314">
                  <c:v>1.2179735720000977</c:v>
                </c:pt>
                <c:pt idx="315">
                  <c:v>1.2181122416476873</c:v>
                </c:pt>
                <c:pt idx="316">
                  <c:v>1.2203114190191149</c:v>
                </c:pt>
                <c:pt idx="317">
                  <c:v>1.2220440870328753</c:v>
                </c:pt>
                <c:pt idx="318">
                  <c:v>1.2208417042880164</c:v>
                </c:pt>
                <c:pt idx="319">
                  <c:v>1.221571023826316</c:v>
                </c:pt>
                <c:pt idx="320">
                  <c:v>1.223685574969342</c:v>
                </c:pt>
                <c:pt idx="321">
                  <c:v>1.227268677586844</c:v>
                </c:pt>
                <c:pt idx="322">
                  <c:v>1.2340542410524942</c:v>
                </c:pt>
                <c:pt idx="323">
                  <c:v>1.2413293617356418</c:v>
                </c:pt>
                <c:pt idx="324">
                  <c:v>1.2441295591111852</c:v>
                </c:pt>
                <c:pt idx="325">
                  <c:v>1.2473734065544837</c:v>
                </c:pt>
                <c:pt idx="326">
                  <c:v>1.2489980244336369</c:v>
                </c:pt>
                <c:pt idx="327">
                  <c:v>1.2505919468186539</c:v>
                </c:pt>
                <c:pt idx="328">
                  <c:v>1.2532296901715518</c:v>
                </c:pt>
                <c:pt idx="329">
                  <c:v>1.2556554170237719</c:v>
                </c:pt>
                <c:pt idx="330">
                  <c:v>1.2573201741048798</c:v>
                </c:pt>
                <c:pt idx="331">
                  <c:v>1.259408665692116</c:v>
                </c:pt>
                <c:pt idx="332">
                  <c:v>1.2610510846373542</c:v>
                </c:pt>
                <c:pt idx="333">
                  <c:v>1.2640887783133521</c:v>
                </c:pt>
                <c:pt idx="334">
                  <c:v>1.267183064700284</c:v>
                </c:pt>
                <c:pt idx="335">
                  <c:v>1.2697318741831038</c:v>
                </c:pt>
                <c:pt idx="336">
                  <c:v>1.2737561323983999</c:v>
                </c:pt>
                <c:pt idx="337">
                  <c:v>1.2780658286589659</c:v>
                </c:pt>
                <c:pt idx="338">
                  <c:v>1.2819653145090562</c:v>
                </c:pt>
                <c:pt idx="339">
                  <c:v>1.284842416101458</c:v>
                </c:pt>
                <c:pt idx="340">
                  <c:v>1.2884244017486299</c:v>
                </c:pt>
                <c:pt idx="341">
                  <c:v>1.29196696286347</c:v>
                </c:pt>
                <c:pt idx="342">
                  <c:v>1.2959895952255542</c:v>
                </c:pt>
                <c:pt idx="343">
                  <c:v>1.3020654407825611</c:v>
                </c:pt>
                <c:pt idx="344">
                  <c:v>1.3089998314259828</c:v>
                </c:pt>
                <c:pt idx="345">
                  <c:v>1.3147601194082394</c:v>
                </c:pt>
                <c:pt idx="346">
                  <c:v>1.3197478647836702</c:v>
                </c:pt>
                <c:pt idx="347">
                  <c:v>1.3249067399389545</c:v>
                </c:pt>
                <c:pt idx="348">
                  <c:v>1.330525793431129</c:v>
                </c:pt>
                <c:pt idx="349">
                  <c:v>1.335946057373016</c:v>
                </c:pt>
                <c:pt idx="350">
                  <c:v>1.3411437262991412</c:v>
                </c:pt>
                <c:pt idx="351">
                  <c:v>1.3451834416238158</c:v>
                </c:pt>
                <c:pt idx="352">
                  <c:v>1.3493533573217675</c:v>
                </c:pt>
                <c:pt idx="353">
                  <c:v>1.3525413710818126</c:v>
                </c:pt>
                <c:pt idx="354">
                  <c:v>1.3552887977467156</c:v>
                </c:pt>
                <c:pt idx="355">
                  <c:v>1.3566712410251449</c:v>
                </c:pt>
                <c:pt idx="356">
                  <c:v>1.3602764555129851</c:v>
                </c:pt>
                <c:pt idx="357">
                  <c:v>1.3629676335617611</c:v>
                </c:pt>
                <c:pt idx="358">
                  <c:v>1.369100907913249</c:v>
                </c:pt>
                <c:pt idx="359">
                  <c:v>1.3739851088774639</c:v>
                </c:pt>
                <c:pt idx="360">
                  <c:v>1.3782722158523155</c:v>
                </c:pt>
                <c:pt idx="361">
                  <c:v>1.3824001122400964</c:v>
                </c:pt>
                <c:pt idx="362">
                  <c:v>1.3859749069750433</c:v>
                </c:pt>
                <c:pt idx="363">
                  <c:v>1.3893606815202377</c:v>
                </c:pt>
                <c:pt idx="364">
                  <c:v>1.3925513609252171</c:v>
                </c:pt>
                <c:pt idx="365">
                  <c:v>1.3962428666802897</c:v>
                </c:pt>
                <c:pt idx="366">
                  <c:v>1.3998896057199302</c:v>
                </c:pt>
                <c:pt idx="367">
                  <c:v>1.4046623235003568</c:v>
                </c:pt>
                <c:pt idx="368">
                  <c:v>1.4047321283684029</c:v>
                </c:pt>
                <c:pt idx="369">
                  <c:v>1.4036857389129462</c:v>
                </c:pt>
                <c:pt idx="370">
                  <c:v>1.4028898286761236</c:v>
                </c:pt>
                <c:pt idx="371">
                  <c:v>1.4008591810835904</c:v>
                </c:pt>
                <c:pt idx="372">
                  <c:v>1.3996197316238059</c:v>
                </c:pt>
                <c:pt idx="373">
                  <c:v>1.397118609335849</c:v>
                </c:pt>
                <c:pt idx="374">
                  <c:v>1.3956032076788587</c:v>
                </c:pt>
                <c:pt idx="375">
                  <c:v>1.392936442944726</c:v>
                </c:pt>
                <c:pt idx="376">
                  <c:v>1.389309555308702</c:v>
                </c:pt>
                <c:pt idx="377">
                  <c:v>1.38780202758725</c:v>
                </c:pt>
                <c:pt idx="378">
                  <c:v>1.3895898045173256</c:v>
                </c:pt>
                <c:pt idx="379">
                  <c:v>1.3896143862486268</c:v>
                </c:pt>
                <c:pt idx="380">
                  <c:v>1.3890527238422969</c:v>
                </c:pt>
                <c:pt idx="381">
                  <c:v>1.3881517883817833</c:v>
                </c:pt>
                <c:pt idx="382">
                  <c:v>1.387771017621517</c:v>
                </c:pt>
                <c:pt idx="383">
                  <c:v>1.390055420264815</c:v>
                </c:pt>
                <c:pt idx="384">
                  <c:v>1.3911170832586202</c:v>
                </c:pt>
                <c:pt idx="385">
                  <c:v>1.3918425014205713</c:v>
                </c:pt>
                <c:pt idx="386">
                  <c:v>1.3923717308400674</c:v>
                </c:pt>
                <c:pt idx="387">
                  <c:v>1.3932380639184936</c:v>
                </c:pt>
                <c:pt idx="388">
                  <c:v>1.3934846424319671</c:v>
                </c:pt>
                <c:pt idx="389">
                  <c:v>1.3938051500734741</c:v>
                </c:pt>
                <c:pt idx="390">
                  <c:v>1.3939288823296752</c:v>
                </c:pt>
                <c:pt idx="391">
                  <c:v>1.3932176518780335</c:v>
                </c:pt>
                <c:pt idx="392">
                  <c:v>1.3925707803327734</c:v>
                </c:pt>
                <c:pt idx="393">
                  <c:v>1.3916785156293339</c:v>
                </c:pt>
                <c:pt idx="394">
                  <c:v>1.3906776458202685</c:v>
                </c:pt>
                <c:pt idx="395">
                  <c:v>1.3908013068915241</c:v>
                </c:pt>
                <c:pt idx="396">
                  <c:v>1.3909024541859376</c:v>
                </c:pt>
                <c:pt idx="397">
                  <c:v>1.3907331176391784</c:v>
                </c:pt>
                <c:pt idx="398">
                  <c:v>1.3907604227543879</c:v>
                </c:pt>
                <c:pt idx="399">
                  <c:v>1.390715660573185</c:v>
                </c:pt>
                <c:pt idx="400">
                  <c:v>1.3909559158502525</c:v>
                </c:pt>
                <c:pt idx="401">
                  <c:v>1.3917847060416926</c:v>
                </c:pt>
                <c:pt idx="402">
                  <c:v>1.3936442044179198</c:v>
                </c:pt>
                <c:pt idx="403">
                  <c:v>1.394673500161101</c:v>
                </c:pt>
                <c:pt idx="404">
                  <c:v>1.3951891067066964</c:v>
                </c:pt>
                <c:pt idx="405">
                  <c:v>1.3959539024359184</c:v>
                </c:pt>
                <c:pt idx="406">
                  <c:v>1.3963638177921804</c:v>
                </c:pt>
                <c:pt idx="407">
                  <c:v>1.3972506731784458</c:v>
                </c:pt>
                <c:pt idx="408">
                  <c:v>1.3973128087592399</c:v>
                </c:pt>
                <c:pt idx="409">
                  <c:v>1.3978338151778944</c:v>
                </c:pt>
                <c:pt idx="410">
                  <c:v>1.3979943758636308</c:v>
                </c:pt>
                <c:pt idx="411">
                  <c:v>1.3980652299673229</c:v>
                </c:pt>
                <c:pt idx="412">
                  <c:v>1.3982951104869104</c:v>
                </c:pt>
                <c:pt idx="413">
                  <c:v>1.3986783543014032</c:v>
                </c:pt>
                <c:pt idx="414">
                  <c:v>1.4002132868034947</c:v>
                </c:pt>
                <c:pt idx="415">
                  <c:v>1.4013026317709427</c:v>
                </c:pt>
                <c:pt idx="416">
                  <c:v>1.4024202509536261</c:v>
                </c:pt>
                <c:pt idx="417">
                  <c:v>1.4034410681498124</c:v>
                </c:pt>
                <c:pt idx="418">
                  <c:v>1.4059779860495718</c:v>
                </c:pt>
                <c:pt idx="419">
                  <c:v>1.4085435145297045</c:v>
                </c:pt>
                <c:pt idx="420">
                  <c:v>1.411369528027917</c:v>
                </c:pt>
                <c:pt idx="421">
                  <c:v>1.4110123118812323</c:v>
                </c:pt>
                <c:pt idx="422">
                  <c:v>1.4088147528319814</c:v>
                </c:pt>
                <c:pt idx="423">
                  <c:v>1.4047520167537926</c:v>
                </c:pt>
                <c:pt idx="424">
                  <c:v>1.4029047698201103</c:v>
                </c:pt>
                <c:pt idx="425">
                  <c:v>1.4029596313006214</c:v>
                </c:pt>
                <c:pt idx="426">
                  <c:v>1.4031174837209155</c:v>
                </c:pt>
                <c:pt idx="427">
                  <c:v>1.401692484187377</c:v>
                </c:pt>
                <c:pt idx="428">
                  <c:v>1.4005624379677444</c:v>
                </c:pt>
                <c:pt idx="429">
                  <c:v>1.3976307914363375</c:v>
                </c:pt>
                <c:pt idx="430">
                  <c:v>1.3957341779384016</c:v>
                </c:pt>
                <c:pt idx="431">
                  <c:v>1.3928817363708226</c:v>
                </c:pt>
                <c:pt idx="432">
                  <c:v>1.3903923906297637</c:v>
                </c:pt>
                <c:pt idx="433">
                  <c:v>1.3866321476232832</c:v>
                </c:pt>
                <c:pt idx="434">
                  <c:v>1.3815722701228186</c:v>
                </c:pt>
                <c:pt idx="435">
                  <c:v>1.3772096961775244</c:v>
                </c:pt>
                <c:pt idx="436">
                  <c:v>1.3723248351215367</c:v>
                </c:pt>
                <c:pt idx="437">
                  <c:v>1.3675331576497156</c:v>
                </c:pt>
                <c:pt idx="438">
                  <c:v>1.3618329521041583</c:v>
                </c:pt>
                <c:pt idx="439">
                  <c:v>1.3554933904958248</c:v>
                </c:pt>
                <c:pt idx="440">
                  <c:v>1.3487473284130751</c:v>
                </c:pt>
                <c:pt idx="441">
                  <c:v>1.3436653725391632</c:v>
                </c:pt>
                <c:pt idx="442">
                  <c:v>1.3378624202131366</c:v>
                </c:pt>
                <c:pt idx="443">
                  <c:v>1.3347679074323824</c:v>
                </c:pt>
                <c:pt idx="444">
                  <c:v>1.3333801894526174</c:v>
                </c:pt>
                <c:pt idx="445">
                  <c:v>1.3303076582605093</c:v>
                </c:pt>
                <c:pt idx="446">
                  <c:v>1.3279017366786767</c:v>
                </c:pt>
                <c:pt idx="447">
                  <c:v>1.3245538734888787</c:v>
                </c:pt>
                <c:pt idx="448">
                  <c:v>1.3213658021359762</c:v>
                </c:pt>
                <c:pt idx="449">
                  <c:v>1.3184770073785717</c:v>
                </c:pt>
                <c:pt idx="450">
                  <c:v>1.3166241972133554</c:v>
                </c:pt>
                <c:pt idx="451">
                  <c:v>1.3158263958928644</c:v>
                </c:pt>
                <c:pt idx="452">
                  <c:v>1.3145573331461686</c:v>
                </c:pt>
                <c:pt idx="453">
                  <c:v>1.3123826416805002</c:v>
                </c:pt>
                <c:pt idx="454">
                  <c:v>1.3104746370479694</c:v>
                </c:pt>
                <c:pt idx="455">
                  <c:v>1.3093356871281856</c:v>
                </c:pt>
                <c:pt idx="456">
                  <c:v>1.3070802003033559</c:v>
                </c:pt>
                <c:pt idx="457">
                  <c:v>1.3046743436084043</c:v>
                </c:pt>
                <c:pt idx="458">
                  <c:v>1.302290172160026</c:v>
                </c:pt>
                <c:pt idx="459">
                  <c:v>1.2993394282261512</c:v>
                </c:pt>
                <c:pt idx="460">
                  <c:v>1.2981614433237558</c:v>
                </c:pt>
                <c:pt idx="461">
                  <c:v>1.2959143306214485</c:v>
                </c:pt>
                <c:pt idx="462">
                  <c:v>1.2932751970902427</c:v>
                </c:pt>
                <c:pt idx="463">
                  <c:v>1.2895156508855989</c:v>
                </c:pt>
                <c:pt idx="464">
                  <c:v>1.2863136315910828</c:v>
                </c:pt>
                <c:pt idx="465">
                  <c:v>1.2820683758768048</c:v>
                </c:pt>
                <c:pt idx="466">
                  <c:v>1.2769259712681602</c:v>
                </c:pt>
                <c:pt idx="467">
                  <c:v>1.2723462343936001</c:v>
                </c:pt>
                <c:pt idx="468">
                  <c:v>1.2685662609924204</c:v>
                </c:pt>
                <c:pt idx="469">
                  <c:v>1.2637467106824338</c:v>
                </c:pt>
                <c:pt idx="470">
                  <c:v>1.2579631306179713</c:v>
                </c:pt>
                <c:pt idx="471">
                  <c:v>1.2534056520503547</c:v>
                </c:pt>
                <c:pt idx="472">
                  <c:v>1.2473350666623813</c:v>
                </c:pt>
                <c:pt idx="473">
                  <c:v>1.2409749541860611</c:v>
                </c:pt>
                <c:pt idx="474">
                  <c:v>1.2350606710121417</c:v>
                </c:pt>
                <c:pt idx="475">
                  <c:v>1.2294558745542106</c:v>
                </c:pt>
                <c:pt idx="476">
                  <c:v>1.2250646825412344</c:v>
                </c:pt>
                <c:pt idx="477">
                  <c:v>1.2201699855548036</c:v>
                </c:pt>
                <c:pt idx="478">
                  <c:v>1.2153629562171087</c:v>
                </c:pt>
                <c:pt idx="479">
                  <c:v>1.2107087169934434</c:v>
                </c:pt>
                <c:pt idx="480">
                  <c:v>1.2062838539996519</c:v>
                </c:pt>
                <c:pt idx="481">
                  <c:v>1.2019203568027723</c:v>
                </c:pt>
                <c:pt idx="482">
                  <c:v>1.1981757321380062</c:v>
                </c:pt>
                <c:pt idx="483">
                  <c:v>1.194011139569559</c:v>
                </c:pt>
                <c:pt idx="484">
                  <c:v>1.1912926555366976</c:v>
                </c:pt>
                <c:pt idx="485">
                  <c:v>1.189351115163247</c:v>
                </c:pt>
                <c:pt idx="486">
                  <c:v>1.1869818959451206</c:v>
                </c:pt>
                <c:pt idx="487">
                  <c:v>1.1848634865785863</c:v>
                </c:pt>
                <c:pt idx="488">
                  <c:v>1.1825940687936325</c:v>
                </c:pt>
                <c:pt idx="489">
                  <c:v>1.1807552935600178</c:v>
                </c:pt>
                <c:pt idx="490">
                  <c:v>1.1818251379966709</c:v>
                </c:pt>
                <c:pt idx="491">
                  <c:v>1.1826246373865339</c:v>
                </c:pt>
                <c:pt idx="492">
                  <c:v>1.1838079202707332</c:v>
                </c:pt>
                <c:pt idx="493">
                  <c:v>1.1859191986719781</c:v>
                </c:pt>
                <c:pt idx="494">
                  <c:v>1.1876864059608032</c:v>
                </c:pt>
                <c:pt idx="495">
                  <c:v>1.1892258168358008</c:v>
                </c:pt>
                <c:pt idx="496">
                  <c:v>1.1941795429214799</c:v>
                </c:pt>
                <c:pt idx="497">
                  <c:v>1.2009758168449158</c:v>
                </c:pt>
                <c:pt idx="498">
                  <c:v>1.2112176899278466</c:v>
                </c:pt>
                <c:pt idx="499">
                  <c:v>1.2203134378042528</c:v>
                </c:pt>
                <c:pt idx="500">
                  <c:v>1.2262475146093781</c:v>
                </c:pt>
                <c:pt idx="501">
                  <c:v>1.229728213616202</c:v>
                </c:pt>
                <c:pt idx="502">
                  <c:v>1.2304021734166777</c:v>
                </c:pt>
                <c:pt idx="503">
                  <c:v>1.2312321759342943</c:v>
                </c:pt>
                <c:pt idx="504">
                  <c:v>1.2312632381661135</c:v>
                </c:pt>
                <c:pt idx="505">
                  <c:v>1.2312714213172047</c:v>
                </c:pt>
                <c:pt idx="506">
                  <c:v>1.2313584812998664</c:v>
                </c:pt>
                <c:pt idx="507">
                  <c:v>1.2314205247961005</c:v>
                </c:pt>
                <c:pt idx="508">
                  <c:v>1.2312290911091401</c:v>
                </c:pt>
                <c:pt idx="509">
                  <c:v>1.2304566423573893</c:v>
                </c:pt>
                <c:pt idx="510">
                  <c:v>1.2297488096552371</c:v>
                </c:pt>
                <c:pt idx="511">
                  <c:v>1.22933251017454</c:v>
                </c:pt>
                <c:pt idx="512">
                  <c:v>1.2277507998600079</c:v>
                </c:pt>
                <c:pt idx="513">
                  <c:v>1.2272901228535791</c:v>
                </c:pt>
                <c:pt idx="514">
                  <c:v>1.2270792934143866</c:v>
                </c:pt>
                <c:pt idx="515">
                  <c:v>1.2268172513028488</c:v>
                </c:pt>
                <c:pt idx="516">
                  <c:v>1.2258304849458916</c:v>
                </c:pt>
                <c:pt idx="517">
                  <c:v>1.2239469738212729</c:v>
                </c:pt>
                <c:pt idx="518">
                  <c:v>1.2226608168585256</c:v>
                </c:pt>
                <c:pt idx="519">
                  <c:v>1.2212251263703906</c:v>
                </c:pt>
                <c:pt idx="520">
                  <c:v>1.2201080151869317</c:v>
                </c:pt>
                <c:pt idx="521">
                  <c:v>1.2192655857587664</c:v>
                </c:pt>
                <c:pt idx="522">
                  <c:v>1.2181169696235226</c:v>
                </c:pt>
                <c:pt idx="523">
                  <c:v>1.2168385500644563</c:v>
                </c:pt>
                <c:pt idx="524">
                  <c:v>1.2146663694558437</c:v>
                </c:pt>
                <c:pt idx="525">
                  <c:v>1.2125357828459322</c:v>
                </c:pt>
                <c:pt idx="526">
                  <c:v>1.2100211939014023</c:v>
                </c:pt>
                <c:pt idx="527">
                  <c:v>1.2080360629036182</c:v>
                </c:pt>
                <c:pt idx="528">
                  <c:v>1.2069204585482061</c:v>
                </c:pt>
                <c:pt idx="529">
                  <c:v>1.206842738208995</c:v>
                </c:pt>
                <c:pt idx="530">
                  <c:v>1.2070644640049037</c:v>
                </c:pt>
                <c:pt idx="531">
                  <c:v>1.2063286514555018</c:v>
                </c:pt>
                <c:pt idx="532">
                  <c:v>1.2050050701899779</c:v>
                </c:pt>
                <c:pt idx="533">
                  <c:v>1.2043690891320986</c:v>
                </c:pt>
                <c:pt idx="534">
                  <c:v>1.2037767603783485</c:v>
                </c:pt>
                <c:pt idx="535">
                  <c:v>1.2044329995264533</c:v>
                </c:pt>
                <c:pt idx="536">
                  <c:v>1.2046458959617066</c:v>
                </c:pt>
                <c:pt idx="537">
                  <c:v>1.2046693926193981</c:v>
                </c:pt>
                <c:pt idx="538">
                  <c:v>1.2046386144310626</c:v>
                </c:pt>
                <c:pt idx="539">
                  <c:v>1.204633095820123</c:v>
                </c:pt>
                <c:pt idx="540">
                  <c:v>1.204697884767538</c:v>
                </c:pt>
                <c:pt idx="541">
                  <c:v>1.2049704163135442</c:v>
                </c:pt>
                <c:pt idx="542">
                  <c:v>1.2051476573043312</c:v>
                </c:pt>
                <c:pt idx="543">
                  <c:v>1.2050775885123826</c:v>
                </c:pt>
                <c:pt idx="544">
                  <c:v>1.2051816583818493</c:v>
                </c:pt>
                <c:pt idx="545">
                  <c:v>1.2059470802455254</c:v>
                </c:pt>
                <c:pt idx="546">
                  <c:v>1.2060824947839976</c:v>
                </c:pt>
                <c:pt idx="547">
                  <c:v>1.2070226187728967</c:v>
                </c:pt>
                <c:pt idx="548">
                  <c:v>1.2083495391715311</c:v>
                </c:pt>
                <c:pt idx="549">
                  <c:v>1.2076010805896351</c:v>
                </c:pt>
                <c:pt idx="550">
                  <c:v>1.2062456996721695</c:v>
                </c:pt>
                <c:pt idx="551">
                  <c:v>1.2050320685757769</c:v>
                </c:pt>
                <c:pt idx="552">
                  <c:v>1.1973557839029416</c:v>
                </c:pt>
                <c:pt idx="553">
                  <c:v>1.1934896475877315</c:v>
                </c:pt>
                <c:pt idx="554">
                  <c:v>1.1885229572777662</c:v>
                </c:pt>
                <c:pt idx="555">
                  <c:v>1.182154651897741</c:v>
                </c:pt>
                <c:pt idx="556">
                  <c:v>1.1755813071454293</c:v>
                </c:pt>
                <c:pt idx="557">
                  <c:v>1.1688914547548244</c:v>
                </c:pt>
                <c:pt idx="558">
                  <c:v>1.161975718135124</c:v>
                </c:pt>
                <c:pt idx="559">
                  <c:v>1.1580764953969631</c:v>
                </c:pt>
                <c:pt idx="560">
                  <c:v>1.1543924525238285</c:v>
                </c:pt>
                <c:pt idx="561">
                  <c:v>1.1514094857014427</c:v>
                </c:pt>
                <c:pt idx="562">
                  <c:v>1.1476063313666978</c:v>
                </c:pt>
                <c:pt idx="563">
                  <c:v>1.1446139899620258</c:v>
                </c:pt>
                <c:pt idx="564">
                  <c:v>1.1403261764173045</c:v>
                </c:pt>
                <c:pt idx="565">
                  <c:v>1.1357767487321322</c:v>
                </c:pt>
                <c:pt idx="566">
                  <c:v>1.1318607017959263</c:v>
                </c:pt>
                <c:pt idx="567">
                  <c:v>1.1285976265737956</c:v>
                </c:pt>
                <c:pt idx="568">
                  <c:v>1.1249908140205915</c:v>
                </c:pt>
                <c:pt idx="569">
                  <c:v>1.1241421148992412</c:v>
                </c:pt>
                <c:pt idx="570">
                  <c:v>1.1230565030802373</c:v>
                </c:pt>
                <c:pt idx="571">
                  <c:v>1.1231735570337291</c:v>
                </c:pt>
                <c:pt idx="572">
                  <c:v>1.12321106046398</c:v>
                </c:pt>
                <c:pt idx="573">
                  <c:v>1.1241268797198045</c:v>
                </c:pt>
                <c:pt idx="574">
                  <c:v>1.1244676599367069</c:v>
                </c:pt>
                <c:pt idx="575">
                  <c:v>1.1251431389153657</c:v>
                </c:pt>
                <c:pt idx="576">
                  <c:v>1.1250100161458843</c:v>
                </c:pt>
                <c:pt idx="577">
                  <c:v>1.1233198782343687</c:v>
                </c:pt>
                <c:pt idx="578">
                  <c:v>1.1207956881882815</c:v>
                </c:pt>
                <c:pt idx="579">
                  <c:v>1.1183659832939017</c:v>
                </c:pt>
                <c:pt idx="580">
                  <c:v>1.117463175198576</c:v>
                </c:pt>
                <c:pt idx="581">
                  <c:v>1.1161839990576519</c:v>
                </c:pt>
                <c:pt idx="582">
                  <c:v>1.115254141299469</c:v>
                </c:pt>
                <c:pt idx="583">
                  <c:v>1.1135523400253466</c:v>
                </c:pt>
                <c:pt idx="584">
                  <c:v>1.1119833482636612</c:v>
                </c:pt>
                <c:pt idx="585">
                  <c:v>1.1096165395462101</c:v>
                </c:pt>
                <c:pt idx="586">
                  <c:v>1.1077420717401583</c:v>
                </c:pt>
                <c:pt idx="587">
                  <c:v>1.1052129822314474</c:v>
                </c:pt>
                <c:pt idx="588">
                  <c:v>1.1029470644161059</c:v>
                </c:pt>
                <c:pt idx="589">
                  <c:v>1.100799347577277</c:v>
                </c:pt>
                <c:pt idx="590">
                  <c:v>1.0986800407586685</c:v>
                </c:pt>
                <c:pt idx="591">
                  <c:v>1.0974026839810045</c:v>
                </c:pt>
                <c:pt idx="592">
                  <c:v>1.0949090874450695</c:v>
                </c:pt>
                <c:pt idx="593">
                  <c:v>1.0925945148674265</c:v>
                </c:pt>
                <c:pt idx="594">
                  <c:v>1.0906024955055988</c:v>
                </c:pt>
                <c:pt idx="595">
                  <c:v>1.0884297773998566</c:v>
                </c:pt>
                <c:pt idx="596">
                  <c:v>1.0860393556660188</c:v>
                </c:pt>
                <c:pt idx="597">
                  <c:v>1.0834118587746513</c:v>
                </c:pt>
                <c:pt idx="598">
                  <c:v>1.0825892117016651</c:v>
                </c:pt>
                <c:pt idx="599">
                  <c:v>1.0813207638903433</c:v>
                </c:pt>
                <c:pt idx="600">
                  <c:v>1.0804081273998591</c:v>
                </c:pt>
                <c:pt idx="601">
                  <c:v>1.079792080499326</c:v>
                </c:pt>
                <c:pt idx="602">
                  <c:v>1.0797827127293931</c:v>
                </c:pt>
                <c:pt idx="603">
                  <c:v>1.0799748667669069</c:v>
                </c:pt>
                <c:pt idx="604">
                  <c:v>1.0805985377280161</c:v>
                </c:pt>
                <c:pt idx="605">
                  <c:v>1.0809104503341007</c:v>
                </c:pt>
                <c:pt idx="606">
                  <c:v>1.0809940602084498</c:v>
                </c:pt>
                <c:pt idx="607">
                  <c:v>1.0809653283762386</c:v>
                </c:pt>
                <c:pt idx="608">
                  <c:v>1.0811818812973288</c:v>
                </c:pt>
                <c:pt idx="609">
                  <c:v>1.0814901035187083</c:v>
                </c:pt>
                <c:pt idx="610">
                  <c:v>1.0828976349151238</c:v>
                </c:pt>
                <c:pt idx="611">
                  <c:v>1.0840397996571809</c:v>
                </c:pt>
                <c:pt idx="612">
                  <c:v>1.0854516128452913</c:v>
                </c:pt>
                <c:pt idx="613">
                  <c:v>1.0867111692225051</c:v>
                </c:pt>
                <c:pt idx="614">
                  <c:v>1.0889582150069679</c:v>
                </c:pt>
                <c:pt idx="615">
                  <c:v>1.0895069985674706</c:v>
                </c:pt>
                <c:pt idx="616">
                  <c:v>1.090881023079965</c:v>
                </c:pt>
                <c:pt idx="617">
                  <c:v>1.0917735628893734</c:v>
                </c:pt>
                <c:pt idx="618">
                  <c:v>1.091673543198326</c:v>
                </c:pt>
                <c:pt idx="619">
                  <c:v>1.0911660048928211</c:v>
                </c:pt>
                <c:pt idx="620">
                  <c:v>1.0909750667126303</c:v>
                </c:pt>
                <c:pt idx="621">
                  <c:v>1.0896668814971917</c:v>
                </c:pt>
                <c:pt idx="622">
                  <c:v>1.0890098031937618</c:v>
                </c:pt>
                <c:pt idx="623">
                  <c:v>1.0888217346300826</c:v>
                </c:pt>
                <c:pt idx="624">
                  <c:v>1.085875809553398</c:v>
                </c:pt>
                <c:pt idx="625">
                  <c:v>1.083821934904271</c:v>
                </c:pt>
                <c:pt idx="626">
                  <c:v>1.0823042017669584</c:v>
                </c:pt>
                <c:pt idx="627">
                  <c:v>1.0836119778235791</c:v>
                </c:pt>
                <c:pt idx="628">
                  <c:v>1.0843510019988101</c:v>
                </c:pt>
                <c:pt idx="629">
                  <c:v>1.0854328608425126</c:v>
                </c:pt>
                <c:pt idx="630">
                  <c:v>1.0874688002419766</c:v>
                </c:pt>
                <c:pt idx="631">
                  <c:v>1.0898608157582097</c:v>
                </c:pt>
                <c:pt idx="632">
                  <c:v>1.0923059871383141</c:v>
                </c:pt>
                <c:pt idx="633">
                  <c:v>1.0953574063311717</c:v>
                </c:pt>
                <c:pt idx="634">
                  <c:v>1.0960374142645504</c:v>
                </c:pt>
                <c:pt idx="635">
                  <c:v>1.096925757075526</c:v>
                </c:pt>
                <c:pt idx="636">
                  <c:v>1.0977365666081673</c:v>
                </c:pt>
                <c:pt idx="637">
                  <c:v>1.0992079352102555</c:v>
                </c:pt>
                <c:pt idx="638">
                  <c:v>1.1004609478055933</c:v>
                </c:pt>
                <c:pt idx="639">
                  <c:v>1.1022166277739998</c:v>
                </c:pt>
                <c:pt idx="640">
                  <c:v>1.1032564543749581</c:v>
                </c:pt>
                <c:pt idx="641">
                  <c:v>1.1041006995143781</c:v>
                </c:pt>
                <c:pt idx="642">
                  <c:v>1.1049959913878666</c:v>
                </c:pt>
                <c:pt idx="643">
                  <c:v>1.1062744709731682</c:v>
                </c:pt>
                <c:pt idx="644">
                  <c:v>1.1066159008706489</c:v>
                </c:pt>
                <c:pt idx="645">
                  <c:v>1.1075192793964002</c:v>
                </c:pt>
                <c:pt idx="646">
                  <c:v>1.1073752202281946</c:v>
                </c:pt>
                <c:pt idx="647">
                  <c:v>1.1072836438365696</c:v>
                </c:pt>
                <c:pt idx="648">
                  <c:v>1.1076295256515747</c:v>
                </c:pt>
                <c:pt idx="649">
                  <c:v>1.1084495699685073</c:v>
                </c:pt>
                <c:pt idx="650">
                  <c:v>1.1093170140477286</c:v>
                </c:pt>
                <c:pt idx="651">
                  <c:v>1.1102139438581138</c:v>
                </c:pt>
                <c:pt idx="652">
                  <c:v>1.1128433173554453</c:v>
                </c:pt>
                <c:pt idx="653">
                  <c:v>1.1159632425497725</c:v>
                </c:pt>
                <c:pt idx="654">
                  <c:v>1.1194675116618173</c:v>
                </c:pt>
                <c:pt idx="655">
                  <c:v>1.1223687824066149</c:v>
                </c:pt>
                <c:pt idx="656">
                  <c:v>1.1255657748447223</c:v>
                </c:pt>
                <c:pt idx="657">
                  <c:v>1.1281551053627557</c:v>
                </c:pt>
                <c:pt idx="658">
                  <c:v>1.1309615332032688</c:v>
                </c:pt>
                <c:pt idx="659">
                  <c:v>1.1333054747917555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1.2938334119150601</c:v>
                </c:pt>
                <c:pt idx="1">
                  <c:v>1.2934019146725999</c:v>
                </c:pt>
                <c:pt idx="2">
                  <c:v>1.2926538920008801</c:v>
                </c:pt>
                <c:pt idx="3">
                  <c:v>1.29200712080629</c:v>
                </c:pt>
                <c:pt idx="4">
                  <c:v>1.29194332284933</c:v>
                </c:pt>
                <c:pt idx="5">
                  <c:v>1.2915856293814401</c:v>
                </c:pt>
                <c:pt idx="6">
                  <c:v>1.2917435199795999</c:v>
                </c:pt>
                <c:pt idx="7">
                  <c:v>1.29175392496036</c:v>
                </c:pt>
                <c:pt idx="8">
                  <c:v>1.2916633880236299</c:v>
                </c:pt>
                <c:pt idx="9">
                  <c:v>1.29197472431383</c:v>
                </c:pt>
                <c:pt idx="10">
                  <c:v>1.29207067482357</c:v>
                </c:pt>
                <c:pt idx="11">
                  <c:v>1.2918497051236</c:v>
                </c:pt>
                <c:pt idx="12">
                  <c:v>1.2917433008986301</c:v>
                </c:pt>
                <c:pt idx="13">
                  <c:v>1.29205665447537</c:v>
                </c:pt>
                <c:pt idx="14">
                  <c:v>1.29222387241904</c:v>
                </c:pt>
                <c:pt idx="15">
                  <c:v>1.2923323270903699</c:v>
                </c:pt>
                <c:pt idx="16">
                  <c:v>1.2934546375290199</c:v>
                </c:pt>
                <c:pt idx="17">
                  <c:v>1.2953155391475999</c:v>
                </c:pt>
                <c:pt idx="18">
                  <c:v>1.2967884914868399</c:v>
                </c:pt>
                <c:pt idx="19">
                  <c:v>1.2981257250265199</c:v>
                </c:pt>
                <c:pt idx="20">
                  <c:v>1.2994441128176299</c:v>
                </c:pt>
                <c:pt idx="21">
                  <c:v>1.3002444358282299</c:v>
                </c:pt>
                <c:pt idx="22">
                  <c:v>1.3012800581856401</c:v>
                </c:pt>
                <c:pt idx="23">
                  <c:v>1.3024741877077699</c:v>
                </c:pt>
                <c:pt idx="24">
                  <c:v>1.3040062588772801</c:v>
                </c:pt>
                <c:pt idx="25">
                  <c:v>1.3055643793932401</c:v>
                </c:pt>
                <c:pt idx="26">
                  <c:v>1.30721060391502</c:v>
                </c:pt>
                <c:pt idx="27">
                  <c:v>1.3088130800519</c:v>
                </c:pt>
                <c:pt idx="28">
                  <c:v>1.31081272504492</c:v>
                </c:pt>
                <c:pt idx="29">
                  <c:v>1.31283921166179</c:v>
                </c:pt>
                <c:pt idx="30">
                  <c:v>1.3148271577389199</c:v>
                </c:pt>
                <c:pt idx="31">
                  <c:v>1.31616682042403</c:v>
                </c:pt>
                <c:pt idx="32">
                  <c:v>1.31745701053533</c:v>
                </c:pt>
                <c:pt idx="33">
                  <c:v>1.31853116105931</c:v>
                </c:pt>
                <c:pt idx="34">
                  <c:v>1.3199281997027399</c:v>
                </c:pt>
                <c:pt idx="35">
                  <c:v>1.32152652230093</c:v>
                </c:pt>
                <c:pt idx="36">
                  <c:v>1.32314756726046</c:v>
                </c:pt>
                <c:pt idx="37">
                  <c:v>1.32439849365274</c:v>
                </c:pt>
                <c:pt idx="38">
                  <c:v>1.3257602459747999</c:v>
                </c:pt>
                <c:pt idx="39">
                  <c:v>1.3270124505076599</c:v>
                </c:pt>
                <c:pt idx="40">
                  <c:v>1.3281576308407601</c:v>
                </c:pt>
                <c:pt idx="41">
                  <c:v>1.32906082693942</c:v>
                </c:pt>
                <c:pt idx="42">
                  <c:v>1.3295196827176701</c:v>
                </c:pt>
                <c:pt idx="43">
                  <c:v>1.3306821560036699</c:v>
                </c:pt>
                <c:pt idx="44">
                  <c:v>1.3321524843672501</c:v>
                </c:pt>
                <c:pt idx="45">
                  <c:v>1.33406109361266</c:v>
                </c:pt>
                <c:pt idx="46">
                  <c:v>1.33631866778543</c:v>
                </c:pt>
                <c:pt idx="47">
                  <c:v>1.3387261726339901</c:v>
                </c:pt>
                <c:pt idx="48">
                  <c:v>1.3408405961051</c:v>
                </c:pt>
                <c:pt idx="49">
                  <c:v>1.34302888416671</c:v>
                </c:pt>
                <c:pt idx="50">
                  <c:v>1.34524623380048</c:v>
                </c:pt>
                <c:pt idx="51">
                  <c:v>1.3470855909316399</c:v>
                </c:pt>
                <c:pt idx="52">
                  <c:v>1.3484563453321301</c:v>
                </c:pt>
                <c:pt idx="53">
                  <c:v>1.3502060942896801</c:v>
                </c:pt>
                <c:pt idx="54">
                  <c:v>1.35175055439852</c:v>
                </c:pt>
                <c:pt idx="55">
                  <c:v>1.3540920799120899</c:v>
                </c:pt>
                <c:pt idx="56">
                  <c:v>1.3570049041032199</c:v>
                </c:pt>
                <c:pt idx="57">
                  <c:v>1.3592135229550499</c:v>
                </c:pt>
                <c:pt idx="58">
                  <c:v>1.36130380444039</c:v>
                </c:pt>
                <c:pt idx="59">
                  <c:v>1.3634217691614601</c:v>
                </c:pt>
                <c:pt idx="60">
                  <c:v>1.36474095909714</c:v>
                </c:pt>
                <c:pt idx="61">
                  <c:v>1.3654221207831301</c:v>
                </c:pt>
                <c:pt idx="62">
                  <c:v>1.3657751113208001</c:v>
                </c:pt>
                <c:pt idx="63">
                  <c:v>1.3656729681257</c:v>
                </c:pt>
                <c:pt idx="64">
                  <c:v>1.36519663444104</c:v>
                </c:pt>
                <c:pt idx="65">
                  <c:v>1.36542642802962</c:v>
                </c:pt>
                <c:pt idx="66">
                  <c:v>1.36562860040279</c:v>
                </c:pt>
                <c:pt idx="67">
                  <c:v>1.3656332738769901</c:v>
                </c:pt>
                <c:pt idx="68">
                  <c:v>1.3660446004043201</c:v>
                </c:pt>
                <c:pt idx="69">
                  <c:v>1.3665075477609201</c:v>
                </c:pt>
                <c:pt idx="70">
                  <c:v>1.3671555391290899</c:v>
                </c:pt>
                <c:pt idx="71">
                  <c:v>1.368111936562</c:v>
                </c:pt>
                <c:pt idx="72">
                  <c:v>1.36873879442864</c:v>
                </c:pt>
                <c:pt idx="73">
                  <c:v>1.3702023581437599</c:v>
                </c:pt>
                <c:pt idx="74">
                  <c:v>1.3709536967601601</c:v>
                </c:pt>
                <c:pt idx="75">
                  <c:v>1.3711380108573501</c:v>
                </c:pt>
                <c:pt idx="76">
                  <c:v>1.3709410779895901</c:v>
                </c:pt>
                <c:pt idx="77">
                  <c:v>1.3711186951270899</c:v>
                </c:pt>
                <c:pt idx="78">
                  <c:v>1.3711983137566399</c:v>
                </c:pt>
                <c:pt idx="79">
                  <c:v>1.3709460693536</c:v>
                </c:pt>
                <c:pt idx="80">
                  <c:v>1.3709762834157999</c:v>
                </c:pt>
                <c:pt idx="81">
                  <c:v>1.3705965123432799</c:v>
                </c:pt>
                <c:pt idx="82">
                  <c:v>1.36977809694331</c:v>
                </c:pt>
                <c:pt idx="83">
                  <c:v>1.36936171472602</c:v>
                </c:pt>
                <c:pt idx="84">
                  <c:v>1.36873454998239</c:v>
                </c:pt>
                <c:pt idx="85">
                  <c:v>1.3673449943592899</c:v>
                </c:pt>
                <c:pt idx="86">
                  <c:v>1.3659382247663301</c:v>
                </c:pt>
                <c:pt idx="87">
                  <c:v>1.36469088318278</c:v>
                </c:pt>
                <c:pt idx="88">
                  <c:v>1.36432469913476</c:v>
                </c:pt>
                <c:pt idx="89">
                  <c:v>1.3636398309151101</c:v>
                </c:pt>
                <c:pt idx="90">
                  <c:v>1.3628191110052801</c:v>
                </c:pt>
                <c:pt idx="91">
                  <c:v>1.3616791153930199</c:v>
                </c:pt>
                <c:pt idx="92">
                  <c:v>1.36061269252711</c:v>
                </c:pt>
                <c:pt idx="93">
                  <c:v>1.3596058874442001</c:v>
                </c:pt>
                <c:pt idx="94">
                  <c:v>1.3591115032974901</c:v>
                </c:pt>
                <c:pt idx="95">
                  <c:v>1.3588935188295601</c:v>
                </c:pt>
                <c:pt idx="96">
                  <c:v>1.3587400483005601</c:v>
                </c:pt>
                <c:pt idx="97">
                  <c:v>1.3590660332723099</c:v>
                </c:pt>
                <c:pt idx="98">
                  <c:v>1.3592112763786599</c:v>
                </c:pt>
                <c:pt idx="99">
                  <c:v>1.3592007346674599</c:v>
                </c:pt>
                <c:pt idx="100">
                  <c:v>1.3584459290736901</c:v>
                </c:pt>
                <c:pt idx="101">
                  <c:v>1.3574641368070199</c:v>
                </c:pt>
                <c:pt idx="102">
                  <c:v>1.35640486264672</c:v>
                </c:pt>
                <c:pt idx="103">
                  <c:v>1.3554686066470001</c:v>
                </c:pt>
                <c:pt idx="104">
                  <c:v>1.3541665162419301</c:v>
                </c:pt>
                <c:pt idx="105">
                  <c:v>1.3524455317564701</c:v>
                </c:pt>
                <c:pt idx="106">
                  <c:v>1.35156110813644</c:v>
                </c:pt>
                <c:pt idx="107">
                  <c:v>1.35082284146151</c:v>
                </c:pt>
                <c:pt idx="108">
                  <c:v>1.35036707030828</c:v>
                </c:pt>
                <c:pt idx="109">
                  <c:v>1.3492210012763799</c:v>
                </c:pt>
                <c:pt idx="110">
                  <c:v>1.34870501668823</c:v>
                </c:pt>
                <c:pt idx="111">
                  <c:v>1.34842349730245</c:v>
                </c:pt>
                <c:pt idx="112">
                  <c:v>1.34829291601626</c:v>
                </c:pt>
                <c:pt idx="113">
                  <c:v>1.3474342795593499</c:v>
                </c:pt>
                <c:pt idx="114">
                  <c:v>1.3474957420647</c:v>
                </c:pt>
                <c:pt idx="115">
                  <c:v>1.3480929194926301</c:v>
                </c:pt>
                <c:pt idx="116">
                  <c:v>1.34816695809774</c:v>
                </c:pt>
                <c:pt idx="117">
                  <c:v>1.3488049884801401</c:v>
                </c:pt>
                <c:pt idx="118">
                  <c:v>1.34845990227094</c:v>
                </c:pt>
                <c:pt idx="119">
                  <c:v>1.3486806454814999</c:v>
                </c:pt>
                <c:pt idx="120">
                  <c:v>1.3484848927995501</c:v>
                </c:pt>
                <c:pt idx="121">
                  <c:v>1.3472290835762399</c:v>
                </c:pt>
                <c:pt idx="122">
                  <c:v>1.3448525432671301</c:v>
                </c:pt>
                <c:pt idx="123">
                  <c:v>1.3429136424192401</c:v>
                </c:pt>
                <c:pt idx="124">
                  <c:v>1.34065575079849</c:v>
                </c:pt>
                <c:pt idx="125">
                  <c:v>1.33808275936028</c:v>
                </c:pt>
                <c:pt idx="126">
                  <c:v>1.33654039140147</c:v>
                </c:pt>
                <c:pt idx="127">
                  <c:v>1.33504846966859</c:v>
                </c:pt>
                <c:pt idx="128">
                  <c:v>1.33350211050773</c:v>
                </c:pt>
                <c:pt idx="129">
                  <c:v>1.3318818956465699</c:v>
                </c:pt>
                <c:pt idx="130">
                  <c:v>1.3298137590083401</c:v>
                </c:pt>
                <c:pt idx="131">
                  <c:v>1.3273045697518799</c:v>
                </c:pt>
                <c:pt idx="132">
                  <c:v>1.3256454380690701</c:v>
                </c:pt>
                <c:pt idx="133">
                  <c:v>1.3240207415723599</c:v>
                </c:pt>
                <c:pt idx="134">
                  <c:v>1.32253686868652</c:v>
                </c:pt>
                <c:pt idx="135">
                  <c:v>1.3221062521387801</c:v>
                </c:pt>
                <c:pt idx="136">
                  <c:v>1.3216128877615601</c:v>
                </c:pt>
                <c:pt idx="137">
                  <c:v>1.3214819919901499</c:v>
                </c:pt>
                <c:pt idx="138">
                  <c:v>1.32194451416543</c:v>
                </c:pt>
                <c:pt idx="139">
                  <c:v>1.3223822669696299</c:v>
                </c:pt>
                <c:pt idx="140">
                  <c:v>1.3230135779533601</c:v>
                </c:pt>
                <c:pt idx="141">
                  <c:v>1.32335477742118</c:v>
                </c:pt>
                <c:pt idx="142">
                  <c:v>1.32403372574461</c:v>
                </c:pt>
                <c:pt idx="143">
                  <c:v>1.32448000287902</c:v>
                </c:pt>
                <c:pt idx="144">
                  <c:v>1.3245148846927499</c:v>
                </c:pt>
                <c:pt idx="145">
                  <c:v>1.3243728543477</c:v>
                </c:pt>
                <c:pt idx="146">
                  <c:v>1.3244407657298001</c:v>
                </c:pt>
                <c:pt idx="147">
                  <c:v>1.3239173195601099</c:v>
                </c:pt>
                <c:pt idx="148">
                  <c:v>1.3229437009006899</c:v>
                </c:pt>
                <c:pt idx="149">
                  <c:v>1.32219007145236</c:v>
                </c:pt>
                <c:pt idx="150">
                  <c:v>1.3217543499435001</c:v>
                </c:pt>
                <c:pt idx="151">
                  <c:v>1.3212369964941399</c:v>
                </c:pt>
                <c:pt idx="152">
                  <c:v>1.32105535230236</c:v>
                </c:pt>
                <c:pt idx="153">
                  <c:v>1.3211156066637799</c:v>
                </c:pt>
                <c:pt idx="154">
                  <c:v>1.32108341224654</c:v>
                </c:pt>
                <c:pt idx="155">
                  <c:v>1.32124990439404</c:v>
                </c:pt>
                <c:pt idx="156">
                  <c:v>1.32156618748327</c:v>
                </c:pt>
                <c:pt idx="157">
                  <c:v>1.3225601147502</c:v>
                </c:pt>
                <c:pt idx="158">
                  <c:v>1.3232398057477901</c:v>
                </c:pt>
                <c:pt idx="159">
                  <c:v>1.32370577368722</c:v>
                </c:pt>
                <c:pt idx="160">
                  <c:v>1.3256382314733399</c:v>
                </c:pt>
                <c:pt idx="161">
                  <c:v>1.32808310238962</c:v>
                </c:pt>
                <c:pt idx="162">
                  <c:v>1.3306459181695001</c:v>
                </c:pt>
                <c:pt idx="163">
                  <c:v>1.33310858511023</c:v>
                </c:pt>
                <c:pt idx="164">
                  <c:v>1.33538829557889</c:v>
                </c:pt>
                <c:pt idx="165">
                  <c:v>1.3375986135365501</c:v>
                </c:pt>
                <c:pt idx="166">
                  <c:v>1.3397846444277499</c:v>
                </c:pt>
                <c:pt idx="167">
                  <c:v>1.34172723670993</c:v>
                </c:pt>
                <c:pt idx="168">
                  <c:v>1.3434544664613599</c:v>
                </c:pt>
                <c:pt idx="169">
                  <c:v>1.3447488756691</c:v>
                </c:pt>
                <c:pt idx="170">
                  <c:v>1.3457236115201301</c:v>
                </c:pt>
                <c:pt idx="171">
                  <c:v>1.3468473189275001</c:v>
                </c:pt>
                <c:pt idx="172">
                  <c:v>1.3474704741629899</c:v>
                </c:pt>
                <c:pt idx="173">
                  <c:v>1.3476403711739999</c:v>
                </c:pt>
                <c:pt idx="174">
                  <c:v>1.3472460956749801</c:v>
                </c:pt>
                <c:pt idx="175">
                  <c:v>1.3475552345062201</c:v>
                </c:pt>
                <c:pt idx="176">
                  <c:v>1.3477534043039801</c:v>
                </c:pt>
                <c:pt idx="177">
                  <c:v>1.3479606548143399</c:v>
                </c:pt>
                <c:pt idx="178">
                  <c:v>1.3481458647734601</c:v>
                </c:pt>
                <c:pt idx="179">
                  <c:v>1.3487354083368499</c:v>
                </c:pt>
                <c:pt idx="180">
                  <c:v>1.34903403767956</c:v>
                </c:pt>
                <c:pt idx="181">
                  <c:v>1.3491850394459299</c:v>
                </c:pt>
                <c:pt idx="182">
                  <c:v>1.34887290318608</c:v>
                </c:pt>
                <c:pt idx="183">
                  <c:v>1.3476089067314301</c:v>
                </c:pt>
                <c:pt idx="184">
                  <c:v>1.34732339232513</c:v>
                </c:pt>
                <c:pt idx="185">
                  <c:v>1.34646179101234</c:v>
                </c:pt>
                <c:pt idx="186">
                  <c:v>1.3452702333756199</c:v>
                </c:pt>
                <c:pt idx="187">
                  <c:v>1.34364969933921</c:v>
                </c:pt>
                <c:pt idx="188">
                  <c:v>1.3425060792184</c:v>
                </c:pt>
                <c:pt idx="189">
                  <c:v>1.3408996920937599</c:v>
                </c:pt>
                <c:pt idx="190">
                  <c:v>1.3389592897487801</c:v>
                </c:pt>
                <c:pt idx="191">
                  <c:v>1.33778137571072</c:v>
                </c:pt>
                <c:pt idx="192">
                  <c:v>1.33671992959454</c:v>
                </c:pt>
                <c:pt idx="193">
                  <c:v>1.33616246500633</c:v>
                </c:pt>
                <c:pt idx="194">
                  <c:v>1.33516390178794</c:v>
                </c:pt>
                <c:pt idx="195">
                  <c:v>1.33422952318155</c:v>
                </c:pt>
                <c:pt idx="196">
                  <c:v>1.3343796507560699</c:v>
                </c:pt>
                <c:pt idx="197">
                  <c:v>1.3354090932426299</c:v>
                </c:pt>
                <c:pt idx="198">
                  <c:v>1.3361900632520101</c:v>
                </c:pt>
                <c:pt idx="199">
                  <c:v>1.33753800715036</c:v>
                </c:pt>
                <c:pt idx="200">
                  <c:v>1.3385996730112699</c:v>
                </c:pt>
                <c:pt idx="201">
                  <c:v>1.33872852932972</c:v>
                </c:pt>
                <c:pt idx="202">
                  <c:v>1.3395058602968299</c:v>
                </c:pt>
                <c:pt idx="203">
                  <c:v>1.34050246626535</c:v>
                </c:pt>
                <c:pt idx="204">
                  <c:v>1.34171333634507</c:v>
                </c:pt>
                <c:pt idx="205">
                  <c:v>1.34269344937613</c:v>
                </c:pt>
                <c:pt idx="206">
                  <c:v>1.34348952398576</c:v>
                </c:pt>
                <c:pt idx="207">
                  <c:v>1.34462012714004</c:v>
                </c:pt>
                <c:pt idx="208">
                  <c:v>1.34583187369765</c:v>
                </c:pt>
                <c:pt idx="209">
                  <c:v>1.34629335245001</c:v>
                </c:pt>
                <c:pt idx="210">
                  <c:v>1.3470307786606599</c:v>
                </c:pt>
                <c:pt idx="211">
                  <c:v>1.34831745981013</c:v>
                </c:pt>
                <c:pt idx="212">
                  <c:v>1.3493699199537399</c:v>
                </c:pt>
                <c:pt idx="213">
                  <c:v>1.3506445493774699</c:v>
                </c:pt>
                <c:pt idx="214">
                  <c:v>1.3521208560998099</c:v>
                </c:pt>
                <c:pt idx="215">
                  <c:v>1.3529031951978401</c:v>
                </c:pt>
                <c:pt idx="216">
                  <c:v>1.3535564711858299</c:v>
                </c:pt>
                <c:pt idx="217">
                  <c:v>1.3541140009177699</c:v>
                </c:pt>
                <c:pt idx="218">
                  <c:v>1.3545027197661199</c:v>
                </c:pt>
                <c:pt idx="219">
                  <c:v>1.3553709800709</c:v>
                </c:pt>
                <c:pt idx="220">
                  <c:v>1.3563818782125701</c:v>
                </c:pt>
                <c:pt idx="221">
                  <c:v>1.3570487727131699</c:v>
                </c:pt>
                <c:pt idx="222">
                  <c:v>1.35834573185032</c:v>
                </c:pt>
                <c:pt idx="223">
                  <c:v>1.35983189785822</c:v>
                </c:pt>
                <c:pt idx="224">
                  <c:v>1.36066697092712</c:v>
                </c:pt>
                <c:pt idx="225">
                  <c:v>1.36150851717731</c:v>
                </c:pt>
                <c:pt idx="226">
                  <c:v>1.36265857520108</c:v>
                </c:pt>
                <c:pt idx="227">
                  <c:v>1.3638314867180099</c:v>
                </c:pt>
                <c:pt idx="228">
                  <c:v>1.3639201653189701</c:v>
                </c:pt>
                <c:pt idx="229">
                  <c:v>1.3644604544558401</c:v>
                </c:pt>
                <c:pt idx="230">
                  <c:v>1.36473217056934</c:v>
                </c:pt>
                <c:pt idx="231">
                  <c:v>1.3655004145490199</c:v>
                </c:pt>
                <c:pt idx="232">
                  <c:v>1.3659368601550099</c:v>
                </c:pt>
                <c:pt idx="233">
                  <c:v>1.36543208954065</c:v>
                </c:pt>
                <c:pt idx="234">
                  <c:v>1.3645558030784499</c:v>
                </c:pt>
                <c:pt idx="235">
                  <c:v>1.36312869101389</c:v>
                </c:pt>
                <c:pt idx="236">
                  <c:v>1.3609702906062</c:v>
                </c:pt>
                <c:pt idx="237">
                  <c:v>1.35830842708574</c:v>
                </c:pt>
                <c:pt idx="238">
                  <c:v>1.35498173025387</c:v>
                </c:pt>
                <c:pt idx="239">
                  <c:v>1.3520134565544399</c:v>
                </c:pt>
                <c:pt idx="240">
                  <c:v>1.34985060340518</c:v>
                </c:pt>
                <c:pt idx="241">
                  <c:v>1.3473659188312499</c:v>
                </c:pt>
                <c:pt idx="242">
                  <c:v>1.3452034128007699</c:v>
                </c:pt>
                <c:pt idx="243">
                  <c:v>1.34477223014863</c:v>
                </c:pt>
                <c:pt idx="244">
                  <c:v>1.34343825485354</c:v>
                </c:pt>
                <c:pt idx="245">
                  <c:v>1.34180152749828</c:v>
                </c:pt>
                <c:pt idx="246">
                  <c:v>1.3400362541233699</c:v>
                </c:pt>
                <c:pt idx="247">
                  <c:v>1.3376767828280001</c:v>
                </c:pt>
                <c:pt idx="248">
                  <c:v>1.3355748463534101</c:v>
                </c:pt>
                <c:pt idx="249">
                  <c:v>1.33499154012208</c:v>
                </c:pt>
                <c:pt idx="250">
                  <c:v>1.3340505498258199</c:v>
                </c:pt>
                <c:pt idx="251">
                  <c:v>1.3337377746664201</c:v>
                </c:pt>
                <c:pt idx="252">
                  <c:v>1.33331697793116</c:v>
                </c:pt>
                <c:pt idx="253">
                  <c:v>1.3326673928739401</c:v>
                </c:pt>
                <c:pt idx="254">
                  <c:v>1.3318887656288101</c:v>
                </c:pt>
                <c:pt idx="255">
                  <c:v>1.3318767950792101</c:v>
                </c:pt>
                <c:pt idx="256">
                  <c:v>1.3318853211836501</c:v>
                </c:pt>
                <c:pt idx="257">
                  <c:v>1.3324507028389601</c:v>
                </c:pt>
                <c:pt idx="258">
                  <c:v>1.3336126534711099</c:v>
                </c:pt>
                <c:pt idx="259">
                  <c:v>1.33446144611293</c:v>
                </c:pt>
                <c:pt idx="260">
                  <c:v>1.3357346687854601</c:v>
                </c:pt>
                <c:pt idx="261">
                  <c:v>1.3369322993800901</c:v>
                </c:pt>
                <c:pt idx="262">
                  <c:v>1.3383977045720199</c:v>
                </c:pt>
                <c:pt idx="263">
                  <c:v>1.34010357148253</c:v>
                </c:pt>
                <c:pt idx="264">
                  <c:v>1.3417613819313201</c:v>
                </c:pt>
                <c:pt idx="265">
                  <c:v>1.3431832014134899</c:v>
                </c:pt>
                <c:pt idx="266">
                  <c:v>1.34427205083631</c:v>
                </c:pt>
                <c:pt idx="267">
                  <c:v>1.34509488382961</c:v>
                </c:pt>
                <c:pt idx="268">
                  <c:v>1.34524848962341</c:v>
                </c:pt>
                <c:pt idx="269">
                  <c:v>1.3451348110361001</c:v>
                </c:pt>
                <c:pt idx="270">
                  <c:v>1.34549170915197</c:v>
                </c:pt>
                <c:pt idx="271">
                  <c:v>1.34598556255073</c:v>
                </c:pt>
                <c:pt idx="272">
                  <c:v>1.34648894377585</c:v>
                </c:pt>
                <c:pt idx="273">
                  <c:v>1.3467915107419299</c:v>
                </c:pt>
                <c:pt idx="274">
                  <c:v>1.34706537021579</c:v>
                </c:pt>
                <c:pt idx="275">
                  <c:v>1.34764433663492</c:v>
                </c:pt>
                <c:pt idx="276">
                  <c:v>1.34856529612377</c:v>
                </c:pt>
                <c:pt idx="277">
                  <c:v>1.34891902594263</c:v>
                </c:pt>
                <c:pt idx="278">
                  <c:v>1.34918340296362</c:v>
                </c:pt>
                <c:pt idx="279">
                  <c:v>1.34940484021173</c:v>
                </c:pt>
                <c:pt idx="280">
                  <c:v>1.3501230720402999</c:v>
                </c:pt>
                <c:pt idx="281">
                  <c:v>1.3506481997220099</c:v>
                </c:pt>
                <c:pt idx="282">
                  <c:v>1.3509285013001899</c:v>
                </c:pt>
                <c:pt idx="283">
                  <c:v>1.3505821310866699</c:v>
                </c:pt>
                <c:pt idx="284">
                  <c:v>1.3509309125345601</c:v>
                </c:pt>
                <c:pt idx="285">
                  <c:v>1.3505316936307299</c:v>
                </c:pt>
                <c:pt idx="286">
                  <c:v>1.3499792980451699</c:v>
                </c:pt>
                <c:pt idx="287">
                  <c:v>1.3498662177584899</c:v>
                </c:pt>
                <c:pt idx="288">
                  <c:v>1.3494778984365201</c:v>
                </c:pt>
                <c:pt idx="289">
                  <c:v>1.3491735124426101</c:v>
                </c:pt>
                <c:pt idx="290">
                  <c:v>1.34912825932923</c:v>
                </c:pt>
                <c:pt idx="291">
                  <c:v>1.3493496509653</c:v>
                </c:pt>
                <c:pt idx="292">
                  <c:v>1.34961532769947</c:v>
                </c:pt>
                <c:pt idx="293">
                  <c:v>1.3504808739146801</c:v>
                </c:pt>
                <c:pt idx="294">
                  <c:v>1.35148677076169</c:v>
                </c:pt>
                <c:pt idx="295">
                  <c:v>1.35285577411312</c:v>
                </c:pt>
                <c:pt idx="296">
                  <c:v>1.3544463848197601</c:v>
                </c:pt>
                <c:pt idx="297">
                  <c:v>1.3560529487984101</c:v>
                </c:pt>
                <c:pt idx="298">
                  <c:v>1.35777303797354</c:v>
                </c:pt>
                <c:pt idx="299">
                  <c:v>1.35950647378086</c:v>
                </c:pt>
                <c:pt idx="300">
                  <c:v>1.3611289898085099</c:v>
                </c:pt>
                <c:pt idx="301">
                  <c:v>1.3628047454651799</c:v>
                </c:pt>
                <c:pt idx="302">
                  <c:v>1.3633937047354601</c:v>
                </c:pt>
                <c:pt idx="303">
                  <c:v>1.3644948687137901</c:v>
                </c:pt>
                <c:pt idx="304">
                  <c:v>1.3662068295700001</c:v>
                </c:pt>
                <c:pt idx="305">
                  <c:v>1.36842851087923</c:v>
                </c:pt>
                <c:pt idx="306">
                  <c:v>1.3703616658329201</c:v>
                </c:pt>
                <c:pt idx="307">
                  <c:v>1.3739050550260601</c:v>
                </c:pt>
                <c:pt idx="308">
                  <c:v>1.3788448602775101</c:v>
                </c:pt>
                <c:pt idx="309">
                  <c:v>1.3835974725161699</c:v>
                </c:pt>
                <c:pt idx="310">
                  <c:v>1.3878468397132899</c:v>
                </c:pt>
                <c:pt idx="311">
                  <c:v>1.39219215587986</c:v>
                </c:pt>
                <c:pt idx="312">
                  <c:v>1.3969071588036099</c:v>
                </c:pt>
                <c:pt idx="313">
                  <c:v>1.4012908959584001</c:v>
                </c:pt>
                <c:pt idx="314">
                  <c:v>1.40570810598227</c:v>
                </c:pt>
                <c:pt idx="315">
                  <c:v>1.40927094236146</c:v>
                </c:pt>
                <c:pt idx="316">
                  <c:v>1.4132852045802</c:v>
                </c:pt>
                <c:pt idx="317">
                  <c:v>1.41714739827226</c:v>
                </c:pt>
                <c:pt idx="318">
                  <c:v>1.4194205476170001</c:v>
                </c:pt>
                <c:pt idx="319">
                  <c:v>1.4226172033429301</c:v>
                </c:pt>
                <c:pt idx="320">
                  <c:v>1.42642500424828</c:v>
                </c:pt>
                <c:pt idx="321">
                  <c:v>1.4300092226793</c:v>
                </c:pt>
                <c:pt idx="322">
                  <c:v>1.4341530019731601</c:v>
                </c:pt>
                <c:pt idx="323">
                  <c:v>1.4386506312406599</c:v>
                </c:pt>
                <c:pt idx="324">
                  <c:v>1.4416918041795601</c:v>
                </c:pt>
                <c:pt idx="325">
                  <c:v>1.4450930665327699</c:v>
                </c:pt>
                <c:pt idx="326">
                  <c:v>1.4485112735966801</c:v>
                </c:pt>
                <c:pt idx="327">
                  <c:v>1.45236420512956</c:v>
                </c:pt>
                <c:pt idx="328">
                  <c:v>1.4559186080481199</c:v>
                </c:pt>
                <c:pt idx="329">
                  <c:v>1.4589435685990699</c:v>
                </c:pt>
                <c:pt idx="330">
                  <c:v>1.4617708856793099</c:v>
                </c:pt>
                <c:pt idx="331">
                  <c:v>1.4643840309044101</c:v>
                </c:pt>
                <c:pt idx="332">
                  <c:v>1.4671237506861201</c:v>
                </c:pt>
                <c:pt idx="333">
                  <c:v>1.46961717965968</c:v>
                </c:pt>
                <c:pt idx="334">
                  <c:v>1.4724772594133999</c:v>
                </c:pt>
                <c:pt idx="335">
                  <c:v>1.47484264921196</c:v>
                </c:pt>
                <c:pt idx="336">
                  <c:v>1.4775566295051199</c:v>
                </c:pt>
                <c:pt idx="337">
                  <c:v>1.4804081905944499</c:v>
                </c:pt>
                <c:pt idx="338">
                  <c:v>1.4832127636911401</c:v>
                </c:pt>
                <c:pt idx="339">
                  <c:v>1.4862469450168401</c:v>
                </c:pt>
                <c:pt idx="340">
                  <c:v>1.4891713761540699</c:v>
                </c:pt>
                <c:pt idx="341">
                  <c:v>1.49204345922863</c:v>
                </c:pt>
                <c:pt idx="342">
                  <c:v>1.4949152904569001</c:v>
                </c:pt>
                <c:pt idx="343">
                  <c:v>1.4987382791727899</c:v>
                </c:pt>
                <c:pt idx="344">
                  <c:v>1.5026092075755599</c:v>
                </c:pt>
                <c:pt idx="345">
                  <c:v>1.50615859670352</c:v>
                </c:pt>
                <c:pt idx="346">
                  <c:v>1.50882913606349</c:v>
                </c:pt>
                <c:pt idx="347">
                  <c:v>1.51095598448614</c:v>
                </c:pt>
                <c:pt idx="348">
                  <c:v>1.5129570595978701</c:v>
                </c:pt>
                <c:pt idx="349">
                  <c:v>1.51478687781939</c:v>
                </c:pt>
                <c:pt idx="350">
                  <c:v>1.51645743052594</c:v>
                </c:pt>
                <c:pt idx="351">
                  <c:v>1.5178832570818099</c:v>
                </c:pt>
                <c:pt idx="352">
                  <c:v>1.51917275275927</c:v>
                </c:pt>
                <c:pt idx="353">
                  <c:v>1.5201513217196501</c:v>
                </c:pt>
                <c:pt idx="354">
                  <c:v>1.5209009617976501</c:v>
                </c:pt>
                <c:pt idx="355">
                  <c:v>1.52128555366956</c:v>
                </c:pt>
                <c:pt idx="356">
                  <c:v>1.5222667354770301</c:v>
                </c:pt>
                <c:pt idx="357">
                  <c:v>1.5229640543371299</c:v>
                </c:pt>
                <c:pt idx="358">
                  <c:v>1.52456335026672</c:v>
                </c:pt>
                <c:pt idx="359">
                  <c:v>1.52584887063918</c:v>
                </c:pt>
                <c:pt idx="360">
                  <c:v>1.5268565130479801</c:v>
                </c:pt>
                <c:pt idx="361">
                  <c:v>1.5278344044163199</c:v>
                </c:pt>
                <c:pt idx="362">
                  <c:v>1.5287113669641199</c:v>
                </c:pt>
                <c:pt idx="363">
                  <c:v>1.5295440386435999</c:v>
                </c:pt>
                <c:pt idx="364">
                  <c:v>1.5304061358335499</c:v>
                </c:pt>
                <c:pt idx="365">
                  <c:v>1.53138312315404</c:v>
                </c:pt>
                <c:pt idx="366">
                  <c:v>1.5322170312699701</c:v>
                </c:pt>
                <c:pt idx="367">
                  <c:v>1.5336762390933101</c:v>
                </c:pt>
                <c:pt idx="368">
                  <c:v>1.53369251310928</c:v>
                </c:pt>
                <c:pt idx="369">
                  <c:v>1.53343779767633</c:v>
                </c:pt>
                <c:pt idx="370">
                  <c:v>1.5331716174380501</c:v>
                </c:pt>
                <c:pt idx="371">
                  <c:v>1.53252523273146</c:v>
                </c:pt>
                <c:pt idx="372">
                  <c:v>1.5320974164343499</c:v>
                </c:pt>
                <c:pt idx="373">
                  <c:v>1.5312864181683099</c:v>
                </c:pt>
                <c:pt idx="374">
                  <c:v>1.5307738065254499</c:v>
                </c:pt>
                <c:pt idx="375">
                  <c:v>1.52993553227465</c:v>
                </c:pt>
                <c:pt idx="376">
                  <c:v>1.5287297025769999</c:v>
                </c:pt>
                <c:pt idx="377">
                  <c:v>1.52834686939914</c:v>
                </c:pt>
                <c:pt idx="378">
                  <c:v>1.5288310692654401</c:v>
                </c:pt>
                <c:pt idx="379">
                  <c:v>1.5288420234612501</c:v>
                </c:pt>
                <c:pt idx="380">
                  <c:v>1.52852682015824</c:v>
                </c:pt>
                <c:pt idx="381">
                  <c:v>1.5279989686923201</c:v>
                </c:pt>
                <c:pt idx="382">
                  <c:v>1.52608801076687</c:v>
                </c:pt>
                <c:pt idx="383">
                  <c:v>1.52418817281716</c:v>
                </c:pt>
                <c:pt idx="384">
                  <c:v>1.5228957873409801</c:v>
                </c:pt>
                <c:pt idx="385">
                  <c:v>1.52219550617541</c:v>
                </c:pt>
                <c:pt idx="386">
                  <c:v>1.52125432781799</c:v>
                </c:pt>
                <c:pt idx="387">
                  <c:v>1.5201919345794399</c:v>
                </c:pt>
                <c:pt idx="388">
                  <c:v>1.5195057917100001</c:v>
                </c:pt>
                <c:pt idx="389">
                  <c:v>1.5187594974929199</c:v>
                </c:pt>
                <c:pt idx="390">
                  <c:v>1.5178855599725201</c:v>
                </c:pt>
                <c:pt idx="391">
                  <c:v>1.51651377514244</c:v>
                </c:pt>
                <c:pt idx="392">
                  <c:v>1.5150720735379699</c:v>
                </c:pt>
                <c:pt idx="393">
                  <c:v>1.51365607573127</c:v>
                </c:pt>
                <c:pt idx="394">
                  <c:v>1.51215276022217</c:v>
                </c:pt>
                <c:pt idx="395">
                  <c:v>1.5109559866337301</c:v>
                </c:pt>
                <c:pt idx="396">
                  <c:v>1.51059897190548</c:v>
                </c:pt>
                <c:pt idx="397">
                  <c:v>1.50997655487024</c:v>
                </c:pt>
                <c:pt idx="398">
                  <c:v>1.50906227708379</c:v>
                </c:pt>
                <c:pt idx="399">
                  <c:v>1.50847312536015</c:v>
                </c:pt>
                <c:pt idx="400">
                  <c:v>1.5077973903531601</c:v>
                </c:pt>
                <c:pt idx="401">
                  <c:v>1.5072496291862001</c:v>
                </c:pt>
                <c:pt idx="402">
                  <c:v>1.5060917733724499</c:v>
                </c:pt>
                <c:pt idx="403">
                  <c:v>1.5053701300089299</c:v>
                </c:pt>
                <c:pt idx="404">
                  <c:v>1.5045252401373601</c:v>
                </c:pt>
                <c:pt idx="405">
                  <c:v>1.5037005370760099</c:v>
                </c:pt>
                <c:pt idx="406">
                  <c:v>1.5030614357918199</c:v>
                </c:pt>
                <c:pt idx="407">
                  <c:v>1.5021385214879399</c:v>
                </c:pt>
                <c:pt idx="408">
                  <c:v>1.5016188063226601</c:v>
                </c:pt>
                <c:pt idx="409">
                  <c:v>1.5008131369708799</c:v>
                </c:pt>
                <c:pt idx="410">
                  <c:v>1.50065434093079</c:v>
                </c:pt>
                <c:pt idx="411">
                  <c:v>1.5005793114405099</c:v>
                </c:pt>
                <c:pt idx="412">
                  <c:v>1.5003457038239001</c:v>
                </c:pt>
                <c:pt idx="413">
                  <c:v>1.5000114799551501</c:v>
                </c:pt>
                <c:pt idx="414">
                  <c:v>1.4988381353665601</c:v>
                </c:pt>
                <c:pt idx="415">
                  <c:v>1.4979423393609901</c:v>
                </c:pt>
                <c:pt idx="416">
                  <c:v>1.49685453859707</c:v>
                </c:pt>
                <c:pt idx="417">
                  <c:v>1.4958443218459301</c:v>
                </c:pt>
                <c:pt idx="418">
                  <c:v>1.4947040571124099</c:v>
                </c:pt>
                <c:pt idx="419">
                  <c:v>1.49344013001661</c:v>
                </c:pt>
                <c:pt idx="420">
                  <c:v>1.49207388721871</c:v>
                </c:pt>
                <c:pt idx="421">
                  <c:v>1.49219719314244</c:v>
                </c:pt>
                <c:pt idx="422">
                  <c:v>1.49317996563997</c:v>
                </c:pt>
                <c:pt idx="423">
                  <c:v>1.4948873957312201</c:v>
                </c:pt>
                <c:pt idx="424">
                  <c:v>1.4963292544689499</c:v>
                </c:pt>
                <c:pt idx="425">
                  <c:v>1.4972366427705699</c:v>
                </c:pt>
                <c:pt idx="426">
                  <c:v>1.49739014889462</c:v>
                </c:pt>
                <c:pt idx="427">
                  <c:v>1.4968949269051799</c:v>
                </c:pt>
                <c:pt idx="428">
                  <c:v>1.49652651195664</c:v>
                </c:pt>
                <c:pt idx="429">
                  <c:v>1.49586532243642</c:v>
                </c:pt>
                <c:pt idx="430">
                  <c:v>1.4954317645450299</c:v>
                </c:pt>
                <c:pt idx="431">
                  <c:v>1.4947006927318001</c:v>
                </c:pt>
                <c:pt idx="432">
                  <c:v>1.49411132452026</c:v>
                </c:pt>
                <c:pt idx="433">
                  <c:v>1.49300585154613</c:v>
                </c:pt>
                <c:pt idx="434">
                  <c:v>1.49167982645998</c:v>
                </c:pt>
                <c:pt idx="435">
                  <c:v>1.4906330023668799</c:v>
                </c:pt>
                <c:pt idx="436">
                  <c:v>1.4894397593317801</c:v>
                </c:pt>
                <c:pt idx="437">
                  <c:v>1.4881985365441901</c:v>
                </c:pt>
                <c:pt idx="438">
                  <c:v>1.48674812279623</c:v>
                </c:pt>
                <c:pt idx="439">
                  <c:v>1.4849948611318899</c:v>
                </c:pt>
                <c:pt idx="440">
                  <c:v>1.48307917754561</c:v>
                </c:pt>
                <c:pt idx="441">
                  <c:v>1.4816389597917301</c:v>
                </c:pt>
                <c:pt idx="442">
                  <c:v>1.4793396395263101</c:v>
                </c:pt>
                <c:pt idx="443">
                  <c:v>1.4784250702364301</c:v>
                </c:pt>
                <c:pt idx="444">
                  <c:v>1.4779624207603601</c:v>
                </c:pt>
                <c:pt idx="445">
                  <c:v>1.4768209845724001</c:v>
                </c:pt>
                <c:pt idx="446">
                  <c:v>1.4759856727280001</c:v>
                </c:pt>
                <c:pt idx="447">
                  <c:v>1.4747857833974101</c:v>
                </c:pt>
                <c:pt idx="448">
                  <c:v>1.4737677377726199</c:v>
                </c:pt>
                <c:pt idx="449">
                  <c:v>1.47271443526208</c:v>
                </c:pt>
                <c:pt idx="450">
                  <c:v>1.47206647157588</c:v>
                </c:pt>
                <c:pt idx="451">
                  <c:v>1.4717762230640601</c:v>
                </c:pt>
                <c:pt idx="452">
                  <c:v>1.47134633353542</c:v>
                </c:pt>
                <c:pt idx="453">
                  <c:v>1.4704199740171799</c:v>
                </c:pt>
                <c:pt idx="454">
                  <c:v>1.4692797067333601</c:v>
                </c:pt>
                <c:pt idx="455">
                  <c:v>1.4684051650591099</c:v>
                </c:pt>
                <c:pt idx="456">
                  <c:v>1.4671421466500001</c:v>
                </c:pt>
                <c:pt idx="457">
                  <c:v>1.46581920531709</c:v>
                </c:pt>
                <c:pt idx="458">
                  <c:v>1.4638706018369301</c:v>
                </c:pt>
                <c:pt idx="459">
                  <c:v>1.461602256742</c:v>
                </c:pt>
                <c:pt idx="460">
                  <c:v>1.4593764065517301</c:v>
                </c:pt>
                <c:pt idx="461">
                  <c:v>1.45722727250161</c:v>
                </c:pt>
                <c:pt idx="462">
                  <c:v>1.4548820681467101</c:v>
                </c:pt>
                <c:pt idx="463">
                  <c:v>1.45221250396524</c:v>
                </c:pt>
                <c:pt idx="464">
                  <c:v>1.4496651264948199</c:v>
                </c:pt>
                <c:pt idx="465">
                  <c:v>1.4470463658470301</c:v>
                </c:pt>
                <c:pt idx="466">
                  <c:v>1.444747602734</c:v>
                </c:pt>
                <c:pt idx="467">
                  <c:v>1.4425704902176599</c:v>
                </c:pt>
                <c:pt idx="468">
                  <c:v>1.44064545038602</c:v>
                </c:pt>
                <c:pt idx="469">
                  <c:v>1.43849137174321</c:v>
                </c:pt>
                <c:pt idx="470">
                  <c:v>1.43562081506984</c:v>
                </c:pt>
                <c:pt idx="471">
                  <c:v>1.4324074857120901</c:v>
                </c:pt>
                <c:pt idx="472">
                  <c:v>1.42923328516388</c:v>
                </c:pt>
                <c:pt idx="473">
                  <c:v>1.4259798863870501</c:v>
                </c:pt>
                <c:pt idx="474">
                  <c:v>1.4226354171490101</c:v>
                </c:pt>
                <c:pt idx="475">
                  <c:v>1.4191563470492501</c:v>
                </c:pt>
                <c:pt idx="476">
                  <c:v>1.41520725820601</c:v>
                </c:pt>
                <c:pt idx="477">
                  <c:v>1.4114927650515801</c:v>
                </c:pt>
                <c:pt idx="478">
                  <c:v>1.4075600212311901</c:v>
                </c:pt>
                <c:pt idx="479">
                  <c:v>1.4041248935644</c:v>
                </c:pt>
                <c:pt idx="480">
                  <c:v>1.4005386135573901</c:v>
                </c:pt>
                <c:pt idx="481">
                  <c:v>1.39693872121964</c:v>
                </c:pt>
                <c:pt idx="482">
                  <c:v>1.3934995646349699</c:v>
                </c:pt>
                <c:pt idx="483">
                  <c:v>1.3900375810319701</c:v>
                </c:pt>
                <c:pt idx="484">
                  <c:v>1.3868801101371899</c:v>
                </c:pt>
                <c:pt idx="485">
                  <c:v>1.38319014086057</c:v>
                </c:pt>
                <c:pt idx="486">
                  <c:v>1.3792623665702799</c:v>
                </c:pt>
                <c:pt idx="487">
                  <c:v>1.3754306200102</c:v>
                </c:pt>
                <c:pt idx="488">
                  <c:v>1.37147015251235</c:v>
                </c:pt>
                <c:pt idx="489">
                  <c:v>1.3681986503722201</c:v>
                </c:pt>
                <c:pt idx="490">
                  <c:v>1.3659893373481899</c:v>
                </c:pt>
                <c:pt idx="491">
                  <c:v>1.36395045148315</c:v>
                </c:pt>
                <c:pt idx="492">
                  <c:v>1.36213306635833</c:v>
                </c:pt>
                <c:pt idx="493">
                  <c:v>1.3602299607039701</c:v>
                </c:pt>
                <c:pt idx="494">
                  <c:v>1.35908145924804</c:v>
                </c:pt>
                <c:pt idx="495">
                  <c:v>1.3581123591251401</c:v>
                </c:pt>
                <c:pt idx="496">
                  <c:v>1.3560933329901601</c:v>
                </c:pt>
                <c:pt idx="497">
                  <c:v>1.35377306422647</c:v>
                </c:pt>
                <c:pt idx="498">
                  <c:v>1.35122545499839</c:v>
                </c:pt>
                <c:pt idx="499">
                  <c:v>1.34889274663202</c:v>
                </c:pt>
                <c:pt idx="500">
                  <c:v>1.34722716430332</c:v>
                </c:pt>
                <c:pt idx="501">
                  <c:v>1.3458309937199</c:v>
                </c:pt>
                <c:pt idx="502">
                  <c:v>1.34537190690732</c:v>
                </c:pt>
                <c:pt idx="503">
                  <c:v>1.3446545211073899</c:v>
                </c:pt>
                <c:pt idx="504">
                  <c:v>1.3445836645310001</c:v>
                </c:pt>
                <c:pt idx="505">
                  <c:v>1.34457341114671</c:v>
                </c:pt>
                <c:pt idx="506">
                  <c:v>1.34441933627173</c:v>
                </c:pt>
                <c:pt idx="507">
                  <c:v>1.3441249901057699</c:v>
                </c:pt>
                <c:pt idx="508">
                  <c:v>1.34345419483817</c:v>
                </c:pt>
                <c:pt idx="509">
                  <c:v>1.3427545542002901</c:v>
                </c:pt>
                <c:pt idx="510">
                  <c:v>1.34211525601943</c:v>
                </c:pt>
                <c:pt idx="511">
                  <c:v>1.3417119198640699</c:v>
                </c:pt>
                <c:pt idx="512">
                  <c:v>1.3407719672482199</c:v>
                </c:pt>
                <c:pt idx="513">
                  <c:v>1.34043317067401</c:v>
                </c:pt>
                <c:pt idx="514">
                  <c:v>1.3402747533106001</c:v>
                </c:pt>
                <c:pt idx="515">
                  <c:v>1.3401119460927</c:v>
                </c:pt>
                <c:pt idx="516">
                  <c:v>1.3395268488633001</c:v>
                </c:pt>
                <c:pt idx="517">
                  <c:v>1.3386325581651899</c:v>
                </c:pt>
                <c:pt idx="518">
                  <c:v>1.33773230232181</c:v>
                </c:pt>
                <c:pt idx="519">
                  <c:v>1.3363322388722401</c:v>
                </c:pt>
                <c:pt idx="520">
                  <c:v>1.33528698091369</c:v>
                </c:pt>
                <c:pt idx="521">
                  <c:v>1.3343029209486299</c:v>
                </c:pt>
                <c:pt idx="522">
                  <c:v>1.3333501836996</c:v>
                </c:pt>
                <c:pt idx="523">
                  <c:v>1.33243863248913</c:v>
                </c:pt>
                <c:pt idx="524">
                  <c:v>1.3310572583301099</c:v>
                </c:pt>
                <c:pt idx="525">
                  <c:v>1.32952887100604</c:v>
                </c:pt>
                <c:pt idx="526">
                  <c:v>1.3275827470885</c:v>
                </c:pt>
                <c:pt idx="527">
                  <c:v>1.32599220074333</c:v>
                </c:pt>
                <c:pt idx="528">
                  <c:v>1.32460448386779</c:v>
                </c:pt>
                <c:pt idx="529">
                  <c:v>1.32329922995134</c:v>
                </c:pt>
                <c:pt idx="530">
                  <c:v>1.3214500544429999</c:v>
                </c:pt>
                <c:pt idx="531">
                  <c:v>1.32000169313284</c:v>
                </c:pt>
                <c:pt idx="532">
                  <c:v>1.3184036492142801</c:v>
                </c:pt>
                <c:pt idx="533">
                  <c:v>1.31706528820866</c:v>
                </c:pt>
                <c:pt idx="534">
                  <c:v>1.31606593577054</c:v>
                </c:pt>
                <c:pt idx="535">
                  <c:v>1.3153357482460299</c:v>
                </c:pt>
                <c:pt idx="536">
                  <c:v>1.3146935736626999</c:v>
                </c:pt>
                <c:pt idx="537">
                  <c:v>1.3141610422088901</c:v>
                </c:pt>
                <c:pt idx="538">
                  <c:v>1.31406034612552</c:v>
                </c:pt>
                <c:pt idx="539">
                  <c:v>1.31409243584401</c:v>
                </c:pt>
                <c:pt idx="540">
                  <c:v>1.31425914171526</c:v>
                </c:pt>
                <c:pt idx="541">
                  <c:v>1.3147591431799099</c:v>
                </c:pt>
                <c:pt idx="542">
                  <c:v>1.3151190357742</c:v>
                </c:pt>
                <c:pt idx="543">
                  <c:v>1.31501384438789</c:v>
                </c:pt>
                <c:pt idx="544">
                  <c:v>1.3150973197159399</c:v>
                </c:pt>
                <c:pt idx="545">
                  <c:v>1.3156715003577399</c:v>
                </c:pt>
                <c:pt idx="546">
                  <c:v>1.3157536792658699</c:v>
                </c:pt>
                <c:pt idx="547">
                  <c:v>1.31621903550587</c:v>
                </c:pt>
                <c:pt idx="548">
                  <c:v>1.31683136703915</c:v>
                </c:pt>
                <c:pt idx="549">
                  <c:v>1.3166036135870001</c:v>
                </c:pt>
                <c:pt idx="550">
                  <c:v>1.3162194545361701</c:v>
                </c:pt>
                <c:pt idx="551">
                  <c:v>1.31586052880975</c:v>
                </c:pt>
                <c:pt idx="552">
                  <c:v>1.31432419551667</c:v>
                </c:pt>
                <c:pt idx="553">
                  <c:v>1.3134165238529301</c:v>
                </c:pt>
                <c:pt idx="554">
                  <c:v>1.3122325822285601</c:v>
                </c:pt>
                <c:pt idx="555">
                  <c:v>1.31080031166309</c:v>
                </c:pt>
                <c:pt idx="556">
                  <c:v>1.3093148959210701</c:v>
                </c:pt>
                <c:pt idx="557">
                  <c:v>1.3077007053302001</c:v>
                </c:pt>
                <c:pt idx="558">
                  <c:v>1.30608085610844</c:v>
                </c:pt>
                <c:pt idx="559">
                  <c:v>1.3048183945585701</c:v>
                </c:pt>
                <c:pt idx="560">
                  <c:v>1.3036401562115001</c:v>
                </c:pt>
                <c:pt idx="561">
                  <c:v>1.3027222087856201</c:v>
                </c:pt>
                <c:pt idx="562">
                  <c:v>1.3015868911275801</c:v>
                </c:pt>
                <c:pt idx="563">
                  <c:v>1.30068466827578</c:v>
                </c:pt>
                <c:pt idx="564">
                  <c:v>1.29931265877464</c:v>
                </c:pt>
                <c:pt idx="565">
                  <c:v>1.2968993225283001</c:v>
                </c:pt>
                <c:pt idx="566">
                  <c:v>1.2946207416526001</c:v>
                </c:pt>
                <c:pt idx="567">
                  <c:v>1.2922146241578001</c:v>
                </c:pt>
                <c:pt idx="568">
                  <c:v>1.2894360954723501</c:v>
                </c:pt>
                <c:pt idx="569">
                  <c:v>1.2865200508917001</c:v>
                </c:pt>
                <c:pt idx="570">
                  <c:v>1.2833008672095201</c:v>
                </c:pt>
                <c:pt idx="571">
                  <c:v>1.28061297560193</c:v>
                </c:pt>
                <c:pt idx="572">
                  <c:v>1.2778470908422901</c:v>
                </c:pt>
                <c:pt idx="573">
                  <c:v>1.2747854151126301</c:v>
                </c:pt>
                <c:pt idx="574">
                  <c:v>1.27179098578179</c:v>
                </c:pt>
                <c:pt idx="575">
                  <c:v>1.2687738850430299</c:v>
                </c:pt>
                <c:pt idx="576">
                  <c:v>1.2662021030150199</c:v>
                </c:pt>
                <c:pt idx="577">
                  <c:v>1.2630370310355401</c:v>
                </c:pt>
                <c:pt idx="578">
                  <c:v>1.26003439045835</c:v>
                </c:pt>
                <c:pt idx="579">
                  <c:v>1.25692374279964</c:v>
                </c:pt>
                <c:pt idx="580">
                  <c:v>1.25384491891065</c:v>
                </c:pt>
                <c:pt idx="581">
                  <c:v>1.2508754674412701</c:v>
                </c:pt>
                <c:pt idx="582">
                  <c:v>1.24830356778671</c:v>
                </c:pt>
                <c:pt idx="583">
                  <c:v>1.24607252047037</c:v>
                </c:pt>
                <c:pt idx="584">
                  <c:v>1.24432807020043</c:v>
                </c:pt>
                <c:pt idx="585">
                  <c:v>1.2422710237657</c:v>
                </c:pt>
                <c:pt idx="586">
                  <c:v>1.2401246144856499</c:v>
                </c:pt>
                <c:pt idx="587">
                  <c:v>1.23842576821156</c:v>
                </c:pt>
                <c:pt idx="588">
                  <c:v>1.2362466244869601</c:v>
                </c:pt>
                <c:pt idx="589">
                  <c:v>1.2339168058412699</c:v>
                </c:pt>
                <c:pt idx="590">
                  <c:v>1.2317110881811</c:v>
                </c:pt>
                <c:pt idx="591">
                  <c:v>1.2300962906170201</c:v>
                </c:pt>
                <c:pt idx="592">
                  <c:v>1.22844874806741</c:v>
                </c:pt>
                <c:pt idx="593">
                  <c:v>1.2265374521977801</c:v>
                </c:pt>
                <c:pt idx="594">
                  <c:v>1.22483547890447</c:v>
                </c:pt>
                <c:pt idx="595">
                  <c:v>1.2228589499589</c:v>
                </c:pt>
                <c:pt idx="596">
                  <c:v>1.2206461252021501</c:v>
                </c:pt>
                <c:pt idx="597">
                  <c:v>1.2185055085298</c:v>
                </c:pt>
                <c:pt idx="598">
                  <c:v>1.2170482271962899</c:v>
                </c:pt>
                <c:pt idx="599">
                  <c:v>1.2157897555717101</c:v>
                </c:pt>
                <c:pt idx="600">
                  <c:v>1.2147013824539501</c:v>
                </c:pt>
                <c:pt idx="601">
                  <c:v>1.21397056385277</c:v>
                </c:pt>
                <c:pt idx="602">
                  <c:v>1.2136126258575199</c:v>
                </c:pt>
                <c:pt idx="603">
                  <c:v>1.21305940935448</c:v>
                </c:pt>
                <c:pt idx="604">
                  <c:v>1.2124452880632099</c:v>
                </c:pt>
                <c:pt idx="605">
                  <c:v>1.21202891379421</c:v>
                </c:pt>
                <c:pt idx="606">
                  <c:v>1.21114633550092</c:v>
                </c:pt>
                <c:pt idx="607">
                  <c:v>1.2105490541051001</c:v>
                </c:pt>
                <c:pt idx="608">
                  <c:v>1.2103244130695801</c:v>
                </c:pt>
                <c:pt idx="609">
                  <c:v>1.2100661730995601</c:v>
                </c:pt>
                <c:pt idx="610">
                  <c:v>1.2094909301047101</c:v>
                </c:pt>
                <c:pt idx="611">
                  <c:v>1.2089544110053101</c:v>
                </c:pt>
                <c:pt idx="612">
                  <c:v>1.2081189121905</c:v>
                </c:pt>
                <c:pt idx="613">
                  <c:v>1.2075766650153901</c:v>
                </c:pt>
                <c:pt idx="614">
                  <c:v>1.2067200559239399</c:v>
                </c:pt>
                <c:pt idx="615">
                  <c:v>1.2065501638212599</c:v>
                </c:pt>
                <c:pt idx="616">
                  <c:v>1.20612811556535</c:v>
                </c:pt>
                <c:pt idx="617">
                  <c:v>1.2058667894472199</c:v>
                </c:pt>
                <c:pt idx="618">
                  <c:v>1.2058995605498199</c:v>
                </c:pt>
                <c:pt idx="619">
                  <c:v>1.2060740301413</c:v>
                </c:pt>
                <c:pt idx="620">
                  <c:v>1.2061317837866501</c:v>
                </c:pt>
                <c:pt idx="621">
                  <c:v>1.20658991330918</c:v>
                </c:pt>
                <c:pt idx="622">
                  <c:v>1.2068350276369</c:v>
                </c:pt>
                <c:pt idx="623">
                  <c:v>1.2069097954108501</c:v>
                </c:pt>
                <c:pt idx="624">
                  <c:v>1.2083396734865799</c:v>
                </c:pt>
                <c:pt idx="625">
                  <c:v>1.20974447373197</c:v>
                </c:pt>
                <c:pt idx="626">
                  <c:v>1.21095238981534</c:v>
                </c:pt>
                <c:pt idx="627">
                  <c:v>1.2131153528060901</c:v>
                </c:pt>
                <c:pt idx="628">
                  <c:v>1.2141998866912</c:v>
                </c:pt>
                <c:pt idx="629">
                  <c:v>1.21552573400016</c:v>
                </c:pt>
                <c:pt idx="630">
                  <c:v>1.21687494643487</c:v>
                </c:pt>
                <c:pt idx="631">
                  <c:v>1.21821765898478</c:v>
                </c:pt>
                <c:pt idx="632">
                  <c:v>1.2194279158600501</c:v>
                </c:pt>
                <c:pt idx="633">
                  <c:v>1.2208403358948701</c:v>
                </c:pt>
                <c:pt idx="634">
                  <c:v>1.2212215356899301</c:v>
                </c:pt>
                <c:pt idx="635">
                  <c:v>1.22176638149025</c:v>
                </c:pt>
                <c:pt idx="636">
                  <c:v>1.22227195583377</c:v>
                </c:pt>
                <c:pt idx="637">
                  <c:v>1.2235880446499401</c:v>
                </c:pt>
                <c:pt idx="638">
                  <c:v>1.22481610388676</c:v>
                </c:pt>
                <c:pt idx="639">
                  <c:v>1.2262443491566299</c:v>
                </c:pt>
                <c:pt idx="640">
                  <c:v>1.2280661425127599</c:v>
                </c:pt>
                <c:pt idx="641">
                  <c:v>1.2297556037495001</c:v>
                </c:pt>
                <c:pt idx="642">
                  <c:v>1.2311838249577101</c:v>
                </c:pt>
                <c:pt idx="643">
                  <c:v>1.23295653508895</c:v>
                </c:pt>
                <c:pt idx="644">
                  <c:v>1.23427968191187</c:v>
                </c:pt>
                <c:pt idx="645">
                  <c:v>1.23580374022855</c:v>
                </c:pt>
                <c:pt idx="646">
                  <c:v>1.23712721040183</c:v>
                </c:pt>
                <c:pt idx="647">
                  <c:v>1.2386588843706401</c:v>
                </c:pt>
                <c:pt idx="648">
                  <c:v>1.2400783681160501</c:v>
                </c:pt>
                <c:pt idx="649">
                  <c:v>1.24145831268232</c:v>
                </c:pt>
                <c:pt idx="650">
                  <c:v>1.2428885034141901</c:v>
                </c:pt>
                <c:pt idx="651">
                  <c:v>1.2442065767379999</c:v>
                </c:pt>
                <c:pt idx="652">
                  <c:v>1.2459991809893001</c:v>
                </c:pt>
                <c:pt idx="653">
                  <c:v>1.2478908211072901</c:v>
                </c:pt>
                <c:pt idx="654">
                  <c:v>1.2498650713658199</c:v>
                </c:pt>
                <c:pt idx="655">
                  <c:v>1.251404584758</c:v>
                </c:pt>
                <c:pt idx="656">
                  <c:v>1.2530720960722299</c:v>
                </c:pt>
                <c:pt idx="657">
                  <c:v>1.2545370293125899</c:v>
                </c:pt>
                <c:pt idx="658">
                  <c:v>1.25619643922581</c:v>
                </c:pt>
                <c:pt idx="659">
                  <c:v>1.2575057131312299</c:v>
                </c:pt>
              </c:numCache>
            </c:numRef>
          </c:val>
        </c:ser>
        <c:marker val="1"/>
        <c:axId val="129407232"/>
        <c:axId val="129413120"/>
      </c:lineChart>
      <c:dateAx>
        <c:axId val="129407232"/>
        <c:scaling>
          <c:orientation val="minMax"/>
        </c:scaling>
        <c:axPos val="b"/>
        <c:numFmt formatCode="yyyy/mm/dd" sourceLinked="1"/>
        <c:tickLblPos val="nextTo"/>
        <c:crossAx val="129413120"/>
        <c:crosses val="autoZero"/>
        <c:auto val="1"/>
        <c:lblOffset val="100"/>
      </c:dateAx>
      <c:valAx>
        <c:axId val="12941312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9407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1E-2"/>
          <c:w val="0.11146820076747002"/>
          <c:h val="0.1504558576043829"/>
        </c:manualLayout>
      </c:layout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4"/>
  <sheetViews>
    <sheetView showGridLines="0" tabSelected="1" zoomScale="115" zoomScaleNormal="115" workbookViewId="0">
      <selection activeCell="J18" sqref="J18"/>
    </sheetView>
  </sheetViews>
  <sheetFormatPr defaultRowHeight="14.25"/>
  <cols>
    <col min="1" max="1" width="1.625" customWidth="1"/>
    <col min="2" max="2" width="4.87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9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64" t="s">
        <v>232</v>
      </c>
      <c r="D1" s="18"/>
      <c r="H1" s="1"/>
      <c r="I1" s="18" t="s">
        <v>48</v>
      </c>
      <c r="J1" s="63"/>
      <c r="K1" s="160">
        <v>43790</v>
      </c>
      <c r="L1" s="161"/>
      <c r="M1" s="28"/>
      <c r="N1" s="18" t="s">
        <v>336</v>
      </c>
      <c r="P1" s="160">
        <f ca="1">TODAY()</f>
        <v>43790</v>
      </c>
      <c r="Q1" s="162"/>
      <c r="U1" s="64" t="s">
        <v>47</v>
      </c>
      <c r="V1" s="64"/>
    </row>
    <row r="2" spans="2:23" ht="16.5" customHeight="1" thickBot="1">
      <c r="J2" s="101">
        <f>SUM(J4:J90)</f>
        <v>16385600</v>
      </c>
      <c r="R2" s="139">
        <f>SUM(R4:R90)</f>
        <v>-6387540</v>
      </c>
      <c r="S2" s="98">
        <f>SUM(S4:S90)</f>
        <v>-0.77310023145841056</v>
      </c>
    </row>
    <row r="3" spans="2:23" ht="24.75" thickBot="1">
      <c r="C3" s="65" t="s">
        <v>214</v>
      </c>
      <c r="D3" s="75" t="s">
        <v>239</v>
      </c>
      <c r="E3" s="67"/>
      <c r="F3" s="66" t="s">
        <v>98</v>
      </c>
      <c r="G3" s="68" t="s">
        <v>99</v>
      </c>
      <c r="H3" s="69" t="s">
        <v>215</v>
      </c>
      <c r="I3" s="69" t="s">
        <v>216</v>
      </c>
      <c r="J3" s="67" t="s">
        <v>46</v>
      </c>
      <c r="K3" s="67" t="s">
        <v>217</v>
      </c>
      <c r="L3" s="69" t="s">
        <v>218</v>
      </c>
      <c r="M3" s="70" t="s">
        <v>240</v>
      </c>
      <c r="N3" s="67" t="s">
        <v>219</v>
      </c>
      <c r="O3" s="70" t="s">
        <v>234</v>
      </c>
      <c r="P3" s="67" t="s">
        <v>329</v>
      </c>
      <c r="Q3" s="67" t="s">
        <v>220</v>
      </c>
      <c r="R3" s="70" t="s">
        <v>236</v>
      </c>
      <c r="S3" s="73" t="s">
        <v>237</v>
      </c>
      <c r="T3" s="72"/>
      <c r="U3" s="74" t="s">
        <v>335</v>
      </c>
      <c r="V3" s="74" t="s">
        <v>238</v>
      </c>
      <c r="W3" s="71" t="s">
        <v>235</v>
      </c>
    </row>
    <row r="4" spans="2:23" s="115" customFormat="1">
      <c r="B4" s="30" t="s">
        <v>213</v>
      </c>
      <c r="C4" s="152">
        <f>ROW()/2-1</f>
        <v>1</v>
      </c>
      <c r="D4" s="154">
        <v>43783</v>
      </c>
      <c r="E4" s="40" t="s">
        <v>222</v>
      </c>
      <c r="F4" s="40">
        <v>3105</v>
      </c>
      <c r="G4" s="62" t="s">
        <v>122</v>
      </c>
      <c r="H4" s="56">
        <v>970</v>
      </c>
      <c r="I4" s="40">
        <v>1100</v>
      </c>
      <c r="J4" s="57">
        <f t="shared" ref="J4:J5" si="0">H4*I4</f>
        <v>1067000</v>
      </c>
      <c r="K4" s="59" t="s">
        <v>228</v>
      </c>
      <c r="L4" s="56">
        <v>958</v>
      </c>
      <c r="M4" s="40">
        <f t="shared" ref="M4:M13" si="1">360*2</f>
        <v>720</v>
      </c>
      <c r="N4" s="40">
        <v>162</v>
      </c>
      <c r="O4" s="59">
        <v>92</v>
      </c>
      <c r="P4" s="56">
        <f>(H4-L4)*I4-M4-N4-O4</f>
        <v>12226</v>
      </c>
      <c r="Q4" s="58">
        <f t="shared" ref="Q4:Q5" si="2">P4/J4</f>
        <v>1.1458294283036552E-2</v>
      </c>
      <c r="R4" s="156">
        <f>P4+P5</f>
        <v>-24288</v>
      </c>
      <c r="S4" s="157">
        <f t="shared" ref="S4" si="3">R4/(J4+J5)</f>
        <v>-1.1441492368569813E-2</v>
      </c>
      <c r="U4" s="159">
        <f ca="1">$P$1</f>
        <v>43790</v>
      </c>
      <c r="V4" s="151">
        <f t="shared" ref="V4" ca="1" si="4">DATEDIF(D4,U4,"d")</f>
        <v>7</v>
      </c>
      <c r="W4" s="151"/>
    </row>
    <row r="5" spans="2:23" s="115" customFormat="1">
      <c r="B5" s="30"/>
      <c r="C5" s="153"/>
      <c r="D5" s="155">
        <v>43748</v>
      </c>
      <c r="E5" s="36" t="s">
        <v>223</v>
      </c>
      <c r="F5" s="36">
        <v>6301</v>
      </c>
      <c r="G5" s="61" t="s">
        <v>143</v>
      </c>
      <c r="H5" s="53">
        <v>2639.5</v>
      </c>
      <c r="I5" s="53">
        <v>400</v>
      </c>
      <c r="J5" s="54">
        <f t="shared" si="0"/>
        <v>1055800</v>
      </c>
      <c r="K5" s="45" t="s">
        <v>212</v>
      </c>
      <c r="L5" s="48">
        <v>2552</v>
      </c>
      <c r="M5" s="38">
        <f t="shared" si="1"/>
        <v>720</v>
      </c>
      <c r="N5" s="144">
        <v>386</v>
      </c>
      <c r="O5" s="144">
        <v>408</v>
      </c>
      <c r="P5" s="36">
        <f>(L5-H5)*I5-M5-N5-O5</f>
        <v>-36514</v>
      </c>
      <c r="Q5" s="55">
        <f t="shared" si="2"/>
        <v>-3.4584201553324492E-2</v>
      </c>
      <c r="R5" s="156"/>
      <c r="S5" s="158"/>
      <c r="U5" s="151"/>
      <c r="V5" s="151"/>
      <c r="W5" s="151"/>
    </row>
    <row r="6" spans="2:23" s="115" customFormat="1">
      <c r="B6" s="30" t="s">
        <v>213</v>
      </c>
      <c r="C6" s="152">
        <f>ROW()/2-1</f>
        <v>2</v>
      </c>
      <c r="D6" s="154">
        <v>43784</v>
      </c>
      <c r="E6" s="40" t="s">
        <v>222</v>
      </c>
      <c r="F6" s="40">
        <v>6770</v>
      </c>
      <c r="G6" s="62" t="s">
        <v>50</v>
      </c>
      <c r="H6" s="56">
        <v>2386</v>
      </c>
      <c r="I6" s="40">
        <v>400</v>
      </c>
      <c r="J6" s="57">
        <f t="shared" ref="J6:J7" si="5">H6*I6</f>
        <v>954400</v>
      </c>
      <c r="K6" s="59" t="s">
        <v>228</v>
      </c>
      <c r="L6" s="56">
        <v>2380</v>
      </c>
      <c r="M6" s="40">
        <f t="shared" si="1"/>
        <v>720</v>
      </c>
      <c r="N6" s="40">
        <v>162</v>
      </c>
      <c r="O6" s="59">
        <v>92</v>
      </c>
      <c r="P6" s="56">
        <f>(H6-L6)*I6-M6-N6-O6</f>
        <v>1426</v>
      </c>
      <c r="Q6" s="58">
        <f t="shared" ref="Q6:Q7" si="6">P6/J6</f>
        <v>1.494132439228835E-3</v>
      </c>
      <c r="R6" s="156">
        <f>P6+P7</f>
        <v>-1288</v>
      </c>
      <c r="S6" s="157">
        <f t="shared" ref="S6" si="7">R6/(J6+J7)</f>
        <v>-6.7853756190074804E-4</v>
      </c>
      <c r="U6" s="159">
        <f ca="1">$P$1</f>
        <v>43790</v>
      </c>
      <c r="V6" s="151">
        <f t="shared" ref="V6" ca="1" si="8">DATEDIF(D6,U6,"d")</f>
        <v>6</v>
      </c>
      <c r="W6" s="151"/>
    </row>
    <row r="7" spans="2:23" s="115" customFormat="1">
      <c r="B7" s="30"/>
      <c r="C7" s="153"/>
      <c r="D7" s="155">
        <v>43748</v>
      </c>
      <c r="E7" s="36" t="s">
        <v>223</v>
      </c>
      <c r="F7" s="36">
        <v>1911</v>
      </c>
      <c r="G7" s="61" t="s">
        <v>137</v>
      </c>
      <c r="H7" s="53">
        <v>1573</v>
      </c>
      <c r="I7" s="53">
        <v>600</v>
      </c>
      <c r="J7" s="54">
        <f t="shared" si="5"/>
        <v>943800</v>
      </c>
      <c r="K7" s="45" t="s">
        <v>212</v>
      </c>
      <c r="L7" s="48">
        <v>1571</v>
      </c>
      <c r="M7" s="38">
        <f t="shared" si="1"/>
        <v>720</v>
      </c>
      <c r="N7" s="145">
        <v>386</v>
      </c>
      <c r="O7" s="145">
        <v>408</v>
      </c>
      <c r="P7" s="36">
        <f>(L7-H7)*I7-M7-N7-O7</f>
        <v>-2714</v>
      </c>
      <c r="Q7" s="55">
        <f t="shared" si="6"/>
        <v>-2.8756092392456028E-3</v>
      </c>
      <c r="R7" s="156"/>
      <c r="S7" s="158"/>
      <c r="U7" s="151"/>
      <c r="V7" s="151"/>
      <c r="W7" s="151"/>
    </row>
    <row r="8" spans="2:23" s="115" customFormat="1">
      <c r="B8" s="30" t="s">
        <v>213</v>
      </c>
      <c r="C8" s="152">
        <f>ROW()/2-1</f>
        <v>3</v>
      </c>
      <c r="D8" s="154">
        <v>43789</v>
      </c>
      <c r="E8" s="40" t="s">
        <v>222</v>
      </c>
      <c r="F8" s="40">
        <v>4182</v>
      </c>
      <c r="G8" s="62" t="s">
        <v>119</v>
      </c>
      <c r="H8" s="56">
        <v>1627</v>
      </c>
      <c r="I8" s="40">
        <v>600</v>
      </c>
      <c r="J8" s="57">
        <f t="shared" ref="J8:J9" si="9">H8*I8</f>
        <v>976200</v>
      </c>
      <c r="K8" s="59" t="s">
        <v>228</v>
      </c>
      <c r="L8" s="56">
        <v>1632</v>
      </c>
      <c r="M8" s="40">
        <f t="shared" si="1"/>
        <v>720</v>
      </c>
      <c r="N8" s="40">
        <v>162</v>
      </c>
      <c r="O8" s="59">
        <v>92</v>
      </c>
      <c r="P8" s="56">
        <f>(H8-L8)*I8-M8-N8-O8</f>
        <v>-3974</v>
      </c>
      <c r="Q8" s="58">
        <f t="shared" ref="Q8:Q9" si="10">P8/J8</f>
        <v>-4.070887113296456E-3</v>
      </c>
      <c r="R8" s="156">
        <f>P8+P9</f>
        <v>-6488</v>
      </c>
      <c r="S8" s="157">
        <f t="shared" ref="S8" si="11">R8/(J8+J9)</f>
        <v>-3.328545044120665E-3</v>
      </c>
      <c r="U8" s="159">
        <f ca="1">$P$1</f>
        <v>43790</v>
      </c>
      <c r="V8" s="151">
        <f t="shared" ref="V8" ca="1" si="12">DATEDIF(D8,U8,"d")</f>
        <v>1</v>
      </c>
      <c r="W8" s="151"/>
    </row>
    <row r="9" spans="2:23" s="115" customFormat="1">
      <c r="B9" s="30"/>
      <c r="C9" s="153"/>
      <c r="D9" s="155">
        <v>43748</v>
      </c>
      <c r="E9" s="36" t="s">
        <v>223</v>
      </c>
      <c r="F9" s="36">
        <v>1824</v>
      </c>
      <c r="G9" s="61" t="s">
        <v>413</v>
      </c>
      <c r="H9" s="53">
        <v>973</v>
      </c>
      <c r="I9" s="53">
        <v>1000</v>
      </c>
      <c r="J9" s="54">
        <f t="shared" si="9"/>
        <v>973000</v>
      </c>
      <c r="K9" s="45" t="s">
        <v>212</v>
      </c>
      <c r="L9" s="48">
        <v>972</v>
      </c>
      <c r="M9" s="38">
        <f t="shared" si="1"/>
        <v>720</v>
      </c>
      <c r="N9" s="147">
        <v>386</v>
      </c>
      <c r="O9" s="147">
        <v>408</v>
      </c>
      <c r="P9" s="36">
        <f>(L9-H9)*I9-M9-N9-O9</f>
        <v>-2514</v>
      </c>
      <c r="Q9" s="55">
        <f t="shared" si="10"/>
        <v>-2.5837615621788282E-3</v>
      </c>
      <c r="R9" s="156"/>
      <c r="S9" s="158"/>
      <c r="U9" s="151"/>
      <c r="V9" s="151"/>
      <c r="W9" s="151"/>
    </row>
    <row r="10" spans="2:23" s="115" customFormat="1">
      <c r="B10" s="30" t="s">
        <v>213</v>
      </c>
      <c r="C10" s="152">
        <f>ROW()/2-1</f>
        <v>4</v>
      </c>
      <c r="D10" s="154">
        <v>43790</v>
      </c>
      <c r="E10" s="40" t="s">
        <v>222</v>
      </c>
      <c r="F10" s="40">
        <v>6995</v>
      </c>
      <c r="G10" s="62" t="s">
        <v>123</v>
      </c>
      <c r="H10" s="56">
        <v>2050</v>
      </c>
      <c r="I10" s="40">
        <v>500</v>
      </c>
      <c r="J10" s="57">
        <f t="shared" ref="J10:J11" si="13">H10*I10</f>
        <v>1025000</v>
      </c>
      <c r="K10" s="59" t="s">
        <v>228</v>
      </c>
      <c r="L10" s="56">
        <v>2063</v>
      </c>
      <c r="M10" s="40">
        <f t="shared" si="1"/>
        <v>720</v>
      </c>
      <c r="N10" s="40">
        <v>162</v>
      </c>
      <c r="O10" s="59">
        <v>92</v>
      </c>
      <c r="P10" s="56">
        <f>(H10-L10)*I10-M10-N10-O10</f>
        <v>-7474</v>
      </c>
      <c r="Q10" s="58">
        <f t="shared" ref="Q10:Q11" si="14">P10/J10</f>
        <v>-7.2917073170731704E-3</v>
      </c>
      <c r="R10" s="156">
        <f>P10+P11</f>
        <v>7012</v>
      </c>
      <c r="S10" s="157">
        <f t="shared" ref="S10" si="15">R10/(J10+J11)</f>
        <v>3.4115014109175829E-3</v>
      </c>
      <c r="U10" s="159">
        <f ca="1">$P$1</f>
        <v>43790</v>
      </c>
      <c r="V10" s="151">
        <f t="shared" ref="V10" ca="1" si="16">DATEDIF(D10,U10,"d")</f>
        <v>0</v>
      </c>
      <c r="W10" s="151"/>
    </row>
    <row r="11" spans="2:23" s="115" customFormat="1">
      <c r="B11" s="30"/>
      <c r="C11" s="153"/>
      <c r="D11" s="155">
        <v>43748</v>
      </c>
      <c r="E11" s="36" t="s">
        <v>223</v>
      </c>
      <c r="F11" s="36">
        <v>6472</v>
      </c>
      <c r="G11" s="61" t="s">
        <v>189</v>
      </c>
      <c r="H11" s="53">
        <v>322</v>
      </c>
      <c r="I11" s="53">
        <v>3200</v>
      </c>
      <c r="J11" s="54">
        <f t="shared" si="13"/>
        <v>1030400</v>
      </c>
      <c r="K11" s="45" t="s">
        <v>212</v>
      </c>
      <c r="L11" s="48">
        <v>327</v>
      </c>
      <c r="M11" s="38">
        <f t="shared" si="1"/>
        <v>720</v>
      </c>
      <c r="N11" s="147">
        <v>386</v>
      </c>
      <c r="O11" s="147">
        <v>408</v>
      </c>
      <c r="P11" s="36">
        <f>(L11-H11)*I11-M11-N11-O11</f>
        <v>14486</v>
      </c>
      <c r="Q11" s="55">
        <f t="shared" si="14"/>
        <v>1.405861801242236E-2</v>
      </c>
      <c r="R11" s="156"/>
      <c r="S11" s="158"/>
      <c r="U11" s="151"/>
      <c r="V11" s="151"/>
      <c r="W11" s="151"/>
    </row>
    <row r="12" spans="2:23" s="115" customFormat="1">
      <c r="B12" s="30" t="s">
        <v>213</v>
      </c>
      <c r="C12" s="152">
        <f>ROW()/2-1</f>
        <v>5</v>
      </c>
      <c r="D12" s="154">
        <v>43791</v>
      </c>
      <c r="E12" s="40" t="s">
        <v>222</v>
      </c>
      <c r="F12" s="40">
        <v>8601</v>
      </c>
      <c r="G12" s="62"/>
      <c r="H12" s="56">
        <v>2000</v>
      </c>
      <c r="I12" s="40">
        <v>500</v>
      </c>
      <c r="J12" s="57">
        <f t="shared" ref="J12:J13" si="17">H12*I12</f>
        <v>1000000</v>
      </c>
      <c r="K12" s="59" t="s">
        <v>228</v>
      </c>
      <c r="L12" s="56"/>
      <c r="M12" s="40">
        <f t="shared" si="1"/>
        <v>720</v>
      </c>
      <c r="N12" s="40">
        <v>162</v>
      </c>
      <c r="O12" s="59">
        <v>92</v>
      </c>
      <c r="P12" s="56">
        <f>(H12-L12)*I12-M12-N12-O12</f>
        <v>999026</v>
      </c>
      <c r="Q12" s="58">
        <f t="shared" ref="Q12:Q13" si="18">P12/J12</f>
        <v>0.99902599999999997</v>
      </c>
      <c r="R12" s="156">
        <f>P12+P13</f>
        <v>-6362488</v>
      </c>
      <c r="S12" s="157">
        <f t="shared" ref="S12" si="19">R12/(J12+J13)</f>
        <v>-0.76106315789473689</v>
      </c>
      <c r="U12" s="159">
        <f ca="1">$P$1</f>
        <v>43790</v>
      </c>
      <c r="V12" s="151" t="e">
        <f t="shared" ref="V12" ca="1" si="20">DATEDIF(D12,U12,"d")</f>
        <v>#NUM!</v>
      </c>
      <c r="W12" s="151"/>
    </row>
    <row r="13" spans="2:23" s="115" customFormat="1">
      <c r="B13" s="30"/>
      <c r="C13" s="153"/>
      <c r="D13" s="155">
        <v>43748</v>
      </c>
      <c r="E13" s="36" t="s">
        <v>223</v>
      </c>
      <c r="F13" s="36">
        <v>8308</v>
      </c>
      <c r="G13" s="61"/>
      <c r="H13" s="53">
        <v>2300</v>
      </c>
      <c r="I13" s="53">
        <v>3200</v>
      </c>
      <c r="J13" s="54">
        <f t="shared" si="17"/>
        <v>7360000</v>
      </c>
      <c r="K13" s="45" t="s">
        <v>212</v>
      </c>
      <c r="L13" s="48"/>
      <c r="M13" s="38">
        <f t="shared" si="1"/>
        <v>720</v>
      </c>
      <c r="N13" s="148">
        <v>386</v>
      </c>
      <c r="O13" s="148">
        <v>408</v>
      </c>
      <c r="P13" s="36">
        <f>(L13-H13)*I13-M13-N13-O13</f>
        <v>-7361514</v>
      </c>
      <c r="Q13" s="55">
        <f t="shared" si="18"/>
        <v>-1.0002057065217391</v>
      </c>
      <c r="R13" s="156"/>
      <c r="S13" s="158"/>
      <c r="U13" s="151"/>
      <c r="V13" s="151"/>
      <c r="W13" s="151"/>
    </row>
    <row r="14" spans="2:23">
      <c r="I14" s="31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K1:L1"/>
    <mergeCell ref="P1:Q1"/>
    <mergeCell ref="V6:V7"/>
    <mergeCell ref="W6:W7"/>
    <mergeCell ref="C6:C7"/>
    <mergeCell ref="D6:D7"/>
    <mergeCell ref="R6:R7"/>
    <mergeCell ref="S6:S7"/>
    <mergeCell ref="U6:U7"/>
    <mergeCell ref="V4:V5"/>
    <mergeCell ref="W4:W5"/>
    <mergeCell ref="C4:C5"/>
    <mergeCell ref="D4:D5"/>
    <mergeCell ref="R4:R5"/>
    <mergeCell ref="S4:S5"/>
    <mergeCell ref="U4:U5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3"/>
  <sheetViews>
    <sheetView showGridLines="0" zoomScaleNormal="100" workbookViewId="0">
      <selection activeCell="G32" sqref="G32"/>
    </sheetView>
  </sheetViews>
  <sheetFormatPr defaultRowHeight="14.25"/>
  <cols>
    <col min="1" max="1" width="0.5" customWidth="1"/>
    <col min="2" max="2" width="4.62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4" t="s">
        <v>330</v>
      </c>
      <c r="R2" s="102">
        <f>SUM(R4:R1012)</f>
        <v>523060.99999999988</v>
      </c>
      <c r="U2" s="64" t="s">
        <v>211</v>
      </c>
    </row>
    <row r="3" spans="2:29" ht="30" customHeight="1" thickBot="1">
      <c r="C3" s="65" t="s">
        <v>214</v>
      </c>
      <c r="D3" s="99" t="s">
        <v>239</v>
      </c>
      <c r="E3" s="67"/>
      <c r="F3" s="68" t="s">
        <v>98</v>
      </c>
      <c r="G3" s="68" t="s">
        <v>99</v>
      </c>
      <c r="H3" s="70" t="s">
        <v>344</v>
      </c>
      <c r="I3" s="70" t="s">
        <v>341</v>
      </c>
      <c r="J3" s="67" t="s">
        <v>46</v>
      </c>
      <c r="K3" s="67" t="s">
        <v>217</v>
      </c>
      <c r="L3" s="70" t="s">
        <v>342</v>
      </c>
      <c r="M3" s="70" t="s">
        <v>240</v>
      </c>
      <c r="N3" s="67" t="s">
        <v>219</v>
      </c>
      <c r="O3" s="70" t="s">
        <v>234</v>
      </c>
      <c r="P3" s="69" t="s">
        <v>343</v>
      </c>
      <c r="Q3" s="69" t="s">
        <v>221</v>
      </c>
      <c r="R3" s="70" t="s">
        <v>236</v>
      </c>
      <c r="S3" s="73" t="s">
        <v>237</v>
      </c>
      <c r="T3" s="72"/>
      <c r="U3" s="74" t="s">
        <v>331</v>
      </c>
      <c r="V3" s="74" t="s">
        <v>238</v>
      </c>
      <c r="W3" s="74" t="s">
        <v>235</v>
      </c>
      <c r="AA3" s="74" t="s">
        <v>338</v>
      </c>
      <c r="AB3" s="74" t="s">
        <v>339</v>
      </c>
      <c r="AC3" s="74" t="s">
        <v>340</v>
      </c>
    </row>
    <row r="4" spans="2:29">
      <c r="C4" s="177">
        <v>1</v>
      </c>
      <c r="D4" s="180">
        <v>43726</v>
      </c>
      <c r="E4" s="32" t="s">
        <v>332</v>
      </c>
      <c r="F4" s="32">
        <v>6472</v>
      </c>
      <c r="G4" s="60" t="s">
        <v>333</v>
      </c>
      <c r="H4" s="50">
        <v>320</v>
      </c>
      <c r="I4" s="33">
        <v>1200</v>
      </c>
      <c r="J4" s="51">
        <v>384000</v>
      </c>
      <c r="K4" s="44" t="s">
        <v>229</v>
      </c>
      <c r="L4" s="47">
        <v>313</v>
      </c>
      <c r="M4" s="34">
        <v>360</v>
      </c>
      <c r="N4" s="35">
        <v>162</v>
      </c>
      <c r="O4" s="35">
        <v>92</v>
      </c>
      <c r="P4" s="32">
        <v>7786</v>
      </c>
      <c r="Q4" s="52">
        <v>2.0276041666666668E-2</v>
      </c>
      <c r="R4" s="163">
        <f>P4+P5</f>
        <v>32</v>
      </c>
      <c r="S4" s="173">
        <f t="shared" ref="S4" si="0">R4/(J4+J5)</f>
        <v>4.308255694975497E-5</v>
      </c>
      <c r="U4" s="183">
        <v>43742</v>
      </c>
      <c r="V4" s="175">
        <f>DATEDIF(D4,U4,"d")</f>
        <v>16</v>
      </c>
      <c r="W4" s="169" t="s">
        <v>337</v>
      </c>
      <c r="AA4" s="163">
        <f>YEAR(U4)</f>
        <v>2019</v>
      </c>
      <c r="AB4" s="163">
        <f>MONTH(U4)</f>
        <v>10</v>
      </c>
      <c r="AC4" s="163" t="str">
        <f>IF(R4&gt;0,"○","☓")</f>
        <v>○</v>
      </c>
    </row>
    <row r="5" spans="2:29">
      <c r="C5" s="153"/>
      <c r="D5" s="181"/>
      <c r="E5" s="36" t="s">
        <v>334</v>
      </c>
      <c r="F5" s="36">
        <v>6752</v>
      </c>
      <c r="G5" s="61" t="s">
        <v>139</v>
      </c>
      <c r="H5" s="53">
        <v>896.9</v>
      </c>
      <c r="I5" s="37">
        <v>400</v>
      </c>
      <c r="J5" s="54">
        <v>358760</v>
      </c>
      <c r="K5" s="45" t="s">
        <v>230</v>
      </c>
      <c r="L5" s="48">
        <v>880.4</v>
      </c>
      <c r="M5" s="38">
        <v>360</v>
      </c>
      <c r="N5" s="39">
        <v>386</v>
      </c>
      <c r="O5" s="39">
        <v>408</v>
      </c>
      <c r="P5" s="36">
        <v>-7754</v>
      </c>
      <c r="Q5" s="55">
        <v>-2.1613334819935333E-2</v>
      </c>
      <c r="R5" s="158"/>
      <c r="S5" s="182"/>
      <c r="U5" s="184"/>
      <c r="V5" s="176"/>
      <c r="W5" s="170"/>
      <c r="AA5" s="158"/>
      <c r="AB5" s="158"/>
      <c r="AC5" s="158"/>
    </row>
    <row r="6" spans="2:29">
      <c r="C6" s="177">
        <v>2</v>
      </c>
      <c r="D6" s="171">
        <v>43732</v>
      </c>
      <c r="E6" s="32" t="s">
        <v>222</v>
      </c>
      <c r="F6" s="32">
        <v>6305</v>
      </c>
      <c r="G6" s="60" t="s">
        <v>59</v>
      </c>
      <c r="H6" s="50">
        <v>2638</v>
      </c>
      <c r="I6" s="33">
        <v>300</v>
      </c>
      <c r="J6" s="51">
        <v>791400</v>
      </c>
      <c r="K6" s="44" t="s">
        <v>229</v>
      </c>
      <c r="L6" s="47">
        <v>2464</v>
      </c>
      <c r="M6" s="34">
        <v>720</v>
      </c>
      <c r="N6" s="35">
        <v>162</v>
      </c>
      <c r="O6" s="35">
        <v>92</v>
      </c>
      <c r="P6" s="32">
        <v>51226</v>
      </c>
      <c r="Q6" s="52">
        <v>6.4728329542582771E-2</v>
      </c>
      <c r="R6" s="163">
        <f>P6+P7</f>
        <v>39212</v>
      </c>
      <c r="S6" s="157">
        <f t="shared" ref="S6" si="1">R6/(J6+J7)</f>
        <v>2.4835011717018178E-2</v>
      </c>
      <c r="T6" s="3"/>
      <c r="U6" s="178">
        <v>43748</v>
      </c>
      <c r="V6" s="179">
        <f>DATEDIF(D6,U6,"d")</f>
        <v>16</v>
      </c>
      <c r="W6" s="168" t="s">
        <v>337</v>
      </c>
      <c r="AA6" s="163">
        <f t="shared" ref="AA6" si="2">YEAR(U6)</f>
        <v>2019</v>
      </c>
      <c r="AB6" s="163">
        <f t="shared" ref="AB6" si="3">MONTH(U6)</f>
        <v>10</v>
      </c>
      <c r="AC6" s="163" t="str">
        <f>IF(R6&gt;0,"○","☓")</f>
        <v>○</v>
      </c>
    </row>
    <row r="7" spans="2:29">
      <c r="C7" s="153"/>
      <c r="D7" s="172"/>
      <c r="E7" s="36" t="s">
        <v>223</v>
      </c>
      <c r="F7" s="36">
        <v>3861</v>
      </c>
      <c r="G7" s="61" t="s">
        <v>92</v>
      </c>
      <c r="H7" s="53">
        <v>525</v>
      </c>
      <c r="I7" s="37">
        <v>1500</v>
      </c>
      <c r="J7" s="54">
        <v>787500</v>
      </c>
      <c r="K7" s="45" t="s">
        <v>230</v>
      </c>
      <c r="L7" s="48">
        <v>518</v>
      </c>
      <c r="M7" s="38">
        <v>720</v>
      </c>
      <c r="N7" s="39">
        <v>386</v>
      </c>
      <c r="O7" s="39">
        <v>408</v>
      </c>
      <c r="P7" s="36">
        <v>-12014</v>
      </c>
      <c r="Q7" s="55">
        <v>-1.5255873015873016E-2</v>
      </c>
      <c r="R7" s="158"/>
      <c r="S7" s="158"/>
      <c r="T7" s="3"/>
      <c r="U7" s="178"/>
      <c r="V7" s="179"/>
      <c r="W7" s="168"/>
      <c r="AA7" s="158"/>
      <c r="AB7" s="158"/>
      <c r="AC7" s="158"/>
    </row>
    <row r="8" spans="2:29">
      <c r="B8" s="30"/>
      <c r="C8" s="152">
        <f>ROW()/2-1</f>
        <v>3</v>
      </c>
      <c r="D8" s="171">
        <v>43747</v>
      </c>
      <c r="E8" s="40" t="s">
        <v>231</v>
      </c>
      <c r="F8" s="40">
        <v>3099</v>
      </c>
      <c r="G8" s="62" t="s">
        <v>90</v>
      </c>
      <c r="H8" s="56">
        <v>872</v>
      </c>
      <c r="I8" s="40">
        <v>1200</v>
      </c>
      <c r="J8" s="40">
        <f t="shared" ref="J8:J11" si="4">H8*I8</f>
        <v>1046400</v>
      </c>
      <c r="K8" s="59" t="s">
        <v>228</v>
      </c>
      <c r="L8" s="56">
        <v>876</v>
      </c>
      <c r="M8" s="40">
        <f t="shared" ref="M8:M11" si="5">360*2</f>
        <v>720</v>
      </c>
      <c r="N8" s="40">
        <v>162</v>
      </c>
      <c r="O8" s="59">
        <v>92</v>
      </c>
      <c r="P8" s="56">
        <f>(H8-L8)*I8-M8-N8-O8</f>
        <v>-5774</v>
      </c>
      <c r="Q8" s="58">
        <f t="shared" ref="Q8:Q11" si="6">P8/J8</f>
        <v>-5.5179663608562694E-3</v>
      </c>
      <c r="R8" s="156">
        <f>P8+P9</f>
        <v>63112</v>
      </c>
      <c r="S8" s="173">
        <f>R8/(J8+J9)</f>
        <v>3.0858595736358303E-2</v>
      </c>
      <c r="U8" s="174">
        <v>43753</v>
      </c>
      <c r="V8" s="153">
        <f t="shared" ref="V8" si="7">DATEDIF(D8,U8,"d")</f>
        <v>6</v>
      </c>
      <c r="W8" s="166" t="s">
        <v>386</v>
      </c>
      <c r="AA8" s="163">
        <f t="shared" ref="AA8:AA10" si="8">YEAR(U8)</f>
        <v>2019</v>
      </c>
      <c r="AB8" s="163">
        <f t="shared" ref="AB8" si="9">MONTH(U8)</f>
        <v>10</v>
      </c>
      <c r="AC8" s="163" t="str">
        <f t="shared" ref="AC8:AC10" si="10">IF(R8&gt;0,"○","☓")</f>
        <v>○</v>
      </c>
    </row>
    <row r="9" spans="2:29">
      <c r="B9" s="30"/>
      <c r="C9" s="153"/>
      <c r="D9" s="172">
        <v>43747</v>
      </c>
      <c r="E9" s="36" t="s">
        <v>223</v>
      </c>
      <c r="F9" s="36">
        <v>7211</v>
      </c>
      <c r="G9" s="61" t="s">
        <v>56</v>
      </c>
      <c r="H9" s="53">
        <v>454</v>
      </c>
      <c r="I9" s="53">
        <v>2200</v>
      </c>
      <c r="J9" s="54">
        <f t="shared" si="4"/>
        <v>998800</v>
      </c>
      <c r="K9" s="45" t="s">
        <v>228</v>
      </c>
      <c r="L9" s="48">
        <v>486</v>
      </c>
      <c r="M9" s="38">
        <f t="shared" si="5"/>
        <v>720</v>
      </c>
      <c r="N9" s="39">
        <v>386</v>
      </c>
      <c r="O9" s="39">
        <v>408</v>
      </c>
      <c r="P9" s="36">
        <f>(L9-H9)*I9-M9-N9-O9</f>
        <v>68886</v>
      </c>
      <c r="Q9" s="55">
        <f t="shared" si="6"/>
        <v>6.8968762515018017E-2</v>
      </c>
      <c r="R9" s="156"/>
      <c r="S9" s="158"/>
      <c r="U9" s="159"/>
      <c r="V9" s="151"/>
      <c r="W9" s="167"/>
      <c r="AA9" s="158"/>
      <c r="AB9" s="158"/>
      <c r="AC9" s="158"/>
    </row>
    <row r="10" spans="2:29">
      <c r="C10" s="152">
        <f>ROW()/2-1</f>
        <v>4</v>
      </c>
      <c r="D10" s="171">
        <v>43753</v>
      </c>
      <c r="E10" s="140" t="s">
        <v>222</v>
      </c>
      <c r="F10" s="40">
        <v>7453</v>
      </c>
      <c r="G10" s="62" t="s">
        <v>138</v>
      </c>
      <c r="H10" s="56">
        <v>2127</v>
      </c>
      <c r="I10" s="40">
        <v>500</v>
      </c>
      <c r="J10" s="40">
        <f t="shared" si="4"/>
        <v>1063500</v>
      </c>
      <c r="K10" s="59" t="s">
        <v>228</v>
      </c>
      <c r="L10" s="56">
        <v>2298</v>
      </c>
      <c r="M10" s="40">
        <f t="shared" si="5"/>
        <v>720</v>
      </c>
      <c r="N10" s="40">
        <v>162</v>
      </c>
      <c r="O10" s="59">
        <v>92</v>
      </c>
      <c r="P10" s="56">
        <f>(H10-L10)*I10-M10-N10-O10</f>
        <v>-86474</v>
      </c>
      <c r="Q10" s="58">
        <f t="shared" si="6"/>
        <v>-8.1310766337564649E-2</v>
      </c>
      <c r="R10" s="156">
        <f>P10+P11</f>
        <v>-93278.000000000029</v>
      </c>
      <c r="S10" s="157">
        <f t="shared" ref="S10" si="11">R10/(J10+J11)</f>
        <v>-4.3858585003691025E-2</v>
      </c>
      <c r="U10" s="236">
        <v>43759</v>
      </c>
      <c r="V10" s="151">
        <f>DATEDIF(D10,U10,"d")</f>
        <v>6</v>
      </c>
      <c r="W10" s="185" t="s">
        <v>357</v>
      </c>
      <c r="X10" s="1" t="s">
        <v>384</v>
      </c>
      <c r="AA10" s="163">
        <f t="shared" si="8"/>
        <v>2019</v>
      </c>
      <c r="AB10" s="163">
        <f t="shared" ref="AB10" si="12">MONTH(U10)</f>
        <v>10</v>
      </c>
      <c r="AC10" s="164" t="str">
        <f t="shared" si="10"/>
        <v>☓</v>
      </c>
    </row>
    <row r="11" spans="2:29">
      <c r="C11" s="153"/>
      <c r="D11" s="172">
        <v>43748</v>
      </c>
      <c r="E11" s="141" t="s">
        <v>223</v>
      </c>
      <c r="F11" s="36">
        <v>8308</v>
      </c>
      <c r="G11" s="61" t="s">
        <v>136</v>
      </c>
      <c r="H11" s="53">
        <v>462.3</v>
      </c>
      <c r="I11" s="53">
        <v>2300</v>
      </c>
      <c r="J11" s="54">
        <f t="shared" si="4"/>
        <v>1063290</v>
      </c>
      <c r="K11" s="45" t="s">
        <v>228</v>
      </c>
      <c r="L11" s="48">
        <v>460</v>
      </c>
      <c r="M11" s="38">
        <f t="shared" si="5"/>
        <v>720</v>
      </c>
      <c r="N11" s="114">
        <v>386</v>
      </c>
      <c r="O11" s="114">
        <v>408</v>
      </c>
      <c r="P11" s="36">
        <f>(L11-H11)*I11-M11-N11-O11</f>
        <v>-6804.0000000000264</v>
      </c>
      <c r="Q11" s="55">
        <f t="shared" si="6"/>
        <v>-6.3990068560787995E-3</v>
      </c>
      <c r="R11" s="156"/>
      <c r="S11" s="158"/>
      <c r="U11" s="174"/>
      <c r="V11" s="151"/>
      <c r="W11" s="186"/>
      <c r="X11" s="1" t="s">
        <v>385</v>
      </c>
      <c r="AA11" s="158"/>
      <c r="AB11" s="158"/>
      <c r="AC11" s="165"/>
    </row>
    <row r="12" spans="2:29">
      <c r="B12" s="30"/>
      <c r="C12" s="177">
        <f>ROW()/2-1</f>
        <v>5</v>
      </c>
      <c r="D12" s="181">
        <v>43742</v>
      </c>
      <c r="E12" s="32" t="s">
        <v>222</v>
      </c>
      <c r="F12" s="32">
        <v>8750</v>
      </c>
      <c r="G12" s="60" t="s">
        <v>58</v>
      </c>
      <c r="H12" s="50">
        <v>1635</v>
      </c>
      <c r="I12" s="33">
        <v>600</v>
      </c>
      <c r="J12" s="51">
        <f>H12*I12</f>
        <v>981000</v>
      </c>
      <c r="K12" s="44" t="s">
        <v>229</v>
      </c>
      <c r="L12" s="47">
        <v>1741.5</v>
      </c>
      <c r="M12" s="34">
        <f>360*2</f>
        <v>720</v>
      </c>
      <c r="N12" s="35">
        <v>162</v>
      </c>
      <c r="O12" s="35">
        <v>92</v>
      </c>
      <c r="P12" s="32">
        <f>(H12-L12)*I12-M12-N12-O12</f>
        <v>-64874</v>
      </c>
      <c r="Q12" s="52">
        <f>P12/J12</f>
        <v>-6.6130479102956163E-2</v>
      </c>
      <c r="R12" s="187">
        <f>P12+P13</f>
        <v>-11199.999999999898</v>
      </c>
      <c r="S12" s="173">
        <f>R12/(J12+J13)</f>
        <v>-5.7306824833502686E-3</v>
      </c>
      <c r="U12" s="236">
        <v>43759</v>
      </c>
      <c r="V12" s="151">
        <f>DATEDIF(D12,U12,"d")</f>
        <v>17</v>
      </c>
      <c r="W12" s="168" t="s">
        <v>337</v>
      </c>
      <c r="AA12" s="163">
        <f t="shared" ref="AA12" si="13">YEAR(U12)</f>
        <v>2019</v>
      </c>
      <c r="AB12" s="163">
        <f t="shared" ref="AB12" si="14">MONTH(U12)</f>
        <v>10</v>
      </c>
      <c r="AC12" s="164" t="str">
        <f t="shared" ref="AC12" si="15">IF(R12&gt;0,"○","☓")</f>
        <v>☓</v>
      </c>
    </row>
    <row r="13" spans="2:29">
      <c r="B13" s="30"/>
      <c r="C13" s="153"/>
      <c r="D13" s="172"/>
      <c r="E13" s="36" t="s">
        <v>223</v>
      </c>
      <c r="F13" s="36">
        <v>8002</v>
      </c>
      <c r="G13" s="61" t="s">
        <v>57</v>
      </c>
      <c r="H13" s="53">
        <v>695.28</v>
      </c>
      <c r="I13" s="37">
        <v>1400</v>
      </c>
      <c r="J13" s="54">
        <f>H13*I13</f>
        <v>973392</v>
      </c>
      <c r="K13" s="100" t="s">
        <v>226</v>
      </c>
      <c r="L13" s="48">
        <v>734.7</v>
      </c>
      <c r="M13" s="38">
        <f>360*2</f>
        <v>720</v>
      </c>
      <c r="N13" s="39">
        <v>386</v>
      </c>
      <c r="O13" s="39">
        <v>408</v>
      </c>
      <c r="P13" s="36">
        <f>(L13-H13)*I13-M13-N13-O13</f>
        <v>53674.000000000102</v>
      </c>
      <c r="Q13" s="55">
        <f>P13/J13</f>
        <v>5.5141196968949924E-2</v>
      </c>
      <c r="R13" s="156"/>
      <c r="S13" s="158"/>
      <c r="U13" s="174"/>
      <c r="V13" s="151"/>
      <c r="W13" s="168"/>
      <c r="AA13" s="158"/>
      <c r="AB13" s="158"/>
      <c r="AC13" s="165"/>
    </row>
    <row r="14" spans="2:29" s="115" customFormat="1">
      <c r="B14" s="30"/>
      <c r="C14" s="152">
        <f>ROW()/2-1</f>
        <v>6</v>
      </c>
      <c r="D14" s="154">
        <v>43745</v>
      </c>
      <c r="E14" s="40" t="s">
        <v>222</v>
      </c>
      <c r="F14" s="40">
        <v>6770</v>
      </c>
      <c r="G14" s="62" t="s">
        <v>50</v>
      </c>
      <c r="H14" s="56">
        <v>2105</v>
      </c>
      <c r="I14" s="41">
        <v>400</v>
      </c>
      <c r="J14" s="57">
        <f t="shared" ref="J14:J19" si="16">H14*I14</f>
        <v>842000</v>
      </c>
      <c r="K14" s="46" t="s">
        <v>229</v>
      </c>
      <c r="L14" s="49">
        <v>2145</v>
      </c>
      <c r="M14" s="42">
        <f t="shared" ref="M14:M19" si="17">360*2</f>
        <v>720</v>
      </c>
      <c r="N14" s="43">
        <v>162</v>
      </c>
      <c r="O14" s="43">
        <v>92</v>
      </c>
      <c r="P14" s="40">
        <f>(H14-L14)*I14-M14-N14-O14</f>
        <v>-16974</v>
      </c>
      <c r="Q14" s="58">
        <f t="shared" ref="Q14:Q19" si="18">P14/J14</f>
        <v>-2.0159144893111641E-2</v>
      </c>
      <c r="R14" s="156">
        <f>P14+P15</f>
        <v>-1335.0000000000437</v>
      </c>
      <c r="S14" s="157">
        <f t="shared" ref="S14" si="19">R14/(J14+J15)</f>
        <v>-7.9789761449534544E-4</v>
      </c>
      <c r="U14" s="159">
        <v>43761</v>
      </c>
      <c r="V14" s="151">
        <f t="shared" ref="V14" si="20">DATEDIF(D14,U14,"d")</f>
        <v>16</v>
      </c>
      <c r="W14" s="168" t="s">
        <v>337</v>
      </c>
      <c r="AA14" s="163">
        <f t="shared" ref="AA14" si="21">YEAR(U14)</f>
        <v>2019</v>
      </c>
      <c r="AB14" s="163">
        <f t="shared" ref="AB14" si="22">MONTH(U14)</f>
        <v>10</v>
      </c>
      <c r="AC14" s="164" t="str">
        <f t="shared" ref="AC14" si="23">IF(R14&gt;0,"○","☓")</f>
        <v>☓</v>
      </c>
    </row>
    <row r="15" spans="2:29" s="115" customFormat="1">
      <c r="B15" s="30"/>
      <c r="C15" s="153"/>
      <c r="D15" s="155">
        <v>43745</v>
      </c>
      <c r="E15" s="36" t="s">
        <v>223</v>
      </c>
      <c r="F15" s="36">
        <v>8601</v>
      </c>
      <c r="G15" s="61" t="s">
        <v>53</v>
      </c>
      <c r="H15" s="53">
        <v>488.91</v>
      </c>
      <c r="I15" s="37">
        <v>1700</v>
      </c>
      <c r="J15" s="54">
        <f t="shared" si="16"/>
        <v>831147</v>
      </c>
      <c r="K15" s="100" t="s">
        <v>443</v>
      </c>
      <c r="L15" s="48">
        <v>499</v>
      </c>
      <c r="M15" s="38">
        <f t="shared" si="17"/>
        <v>720</v>
      </c>
      <c r="N15" s="142">
        <v>386</v>
      </c>
      <c r="O15" s="142">
        <v>408</v>
      </c>
      <c r="P15" s="36">
        <f>(L15-H15)*I15-M15-N15-O15</f>
        <v>15638.999999999956</v>
      </c>
      <c r="Q15" s="55">
        <f t="shared" si="18"/>
        <v>1.8816166093362494E-2</v>
      </c>
      <c r="R15" s="156"/>
      <c r="S15" s="158"/>
      <c r="U15" s="151"/>
      <c r="V15" s="151"/>
      <c r="W15" s="168"/>
      <c r="AA15" s="158"/>
      <c r="AB15" s="158"/>
      <c r="AC15" s="165"/>
    </row>
    <row r="16" spans="2:29" s="115" customFormat="1">
      <c r="B16" s="30"/>
      <c r="C16" s="152">
        <f>ROW()/2-1</f>
        <v>7</v>
      </c>
      <c r="D16" s="154">
        <v>43745</v>
      </c>
      <c r="E16" s="40" t="s">
        <v>222</v>
      </c>
      <c r="F16" s="40">
        <v>5803</v>
      </c>
      <c r="G16" s="62" t="s">
        <v>54</v>
      </c>
      <c r="H16" s="56">
        <v>413</v>
      </c>
      <c r="I16" s="41">
        <v>1700</v>
      </c>
      <c r="J16" s="57">
        <f t="shared" si="16"/>
        <v>702100</v>
      </c>
      <c r="K16" s="46" t="s">
        <v>229</v>
      </c>
      <c r="L16" s="49">
        <v>459</v>
      </c>
      <c r="M16" s="42">
        <f t="shared" si="17"/>
        <v>720</v>
      </c>
      <c r="N16" s="43">
        <v>162</v>
      </c>
      <c r="O16" s="43">
        <v>92</v>
      </c>
      <c r="P16" s="40">
        <f>(H16-L16)*I16-M16-N16-O16</f>
        <v>-79174</v>
      </c>
      <c r="Q16" s="58">
        <f t="shared" si="18"/>
        <v>-0.11276741204956559</v>
      </c>
      <c r="R16" s="156">
        <f>P16+P17</f>
        <v>-16688</v>
      </c>
      <c r="S16" s="157">
        <f>R16/(J16+J17)</f>
        <v>-1.2074379567325086E-2</v>
      </c>
      <c r="U16" s="159">
        <v>43761</v>
      </c>
      <c r="V16" s="151">
        <f t="shared" ref="V16" si="24">DATEDIF(D16,U16,"d")</f>
        <v>16</v>
      </c>
      <c r="W16" s="168" t="s">
        <v>337</v>
      </c>
      <c r="AA16" s="163">
        <f t="shared" ref="AA16" si="25">YEAR(U16)</f>
        <v>2019</v>
      </c>
      <c r="AB16" s="163">
        <f t="shared" ref="AB16" si="26">MONTH(U16)</f>
        <v>10</v>
      </c>
      <c r="AC16" s="164" t="str">
        <f t="shared" ref="AC16" si="27">IF(R16&gt;0,"○","☓")</f>
        <v>☓</v>
      </c>
    </row>
    <row r="17" spans="2:29" s="115" customFormat="1">
      <c r="B17" s="30"/>
      <c r="C17" s="153"/>
      <c r="D17" s="155">
        <v>43745</v>
      </c>
      <c r="E17" s="36" t="s">
        <v>223</v>
      </c>
      <c r="F17" s="36">
        <v>7259</v>
      </c>
      <c r="G17" s="61" t="s">
        <v>55</v>
      </c>
      <c r="H17" s="53">
        <v>3400</v>
      </c>
      <c r="I17" s="53">
        <v>200</v>
      </c>
      <c r="J17" s="54">
        <f t="shared" si="16"/>
        <v>680000</v>
      </c>
      <c r="K17" s="100" t="s">
        <v>212</v>
      </c>
      <c r="L17" s="48">
        <v>3720</v>
      </c>
      <c r="M17" s="38">
        <f t="shared" si="17"/>
        <v>720</v>
      </c>
      <c r="N17" s="142">
        <v>386</v>
      </c>
      <c r="O17" s="142">
        <v>408</v>
      </c>
      <c r="P17" s="36">
        <f>(L17-H17)*I17-M17-N17-O17</f>
        <v>62486</v>
      </c>
      <c r="Q17" s="55">
        <f t="shared" si="18"/>
        <v>9.189117647058824E-2</v>
      </c>
      <c r="R17" s="156"/>
      <c r="S17" s="158"/>
      <c r="U17" s="151"/>
      <c r="V17" s="151"/>
      <c r="W17" s="168"/>
      <c r="AA17" s="158"/>
      <c r="AB17" s="158"/>
      <c r="AC17" s="165"/>
    </row>
    <row r="18" spans="2:29" s="115" customFormat="1">
      <c r="B18" s="30"/>
      <c r="C18" s="152">
        <f>ROW()/2-1</f>
        <v>8</v>
      </c>
      <c r="D18" s="154">
        <v>43748</v>
      </c>
      <c r="E18" s="40" t="s">
        <v>222</v>
      </c>
      <c r="F18" s="40">
        <v>7186</v>
      </c>
      <c r="G18" s="62" t="s">
        <v>224</v>
      </c>
      <c r="H18" s="56">
        <v>410</v>
      </c>
      <c r="I18" s="40">
        <v>1800</v>
      </c>
      <c r="J18" s="40">
        <f t="shared" si="16"/>
        <v>738000</v>
      </c>
      <c r="K18" s="59" t="s">
        <v>228</v>
      </c>
      <c r="L18" s="56">
        <v>444</v>
      </c>
      <c r="M18" s="40">
        <f t="shared" si="17"/>
        <v>720</v>
      </c>
      <c r="N18" s="40">
        <v>162</v>
      </c>
      <c r="O18" s="59">
        <v>92</v>
      </c>
      <c r="P18" s="56">
        <f>(H18-L18)*I18-M18-N18-O18</f>
        <v>-62174</v>
      </c>
      <c r="Q18" s="58">
        <f t="shared" si="18"/>
        <v>-8.4246612466124665E-2</v>
      </c>
      <c r="R18" s="156">
        <f>P18+P19</f>
        <v>-3088</v>
      </c>
      <c r="S18" s="157">
        <f t="shared" ref="S18" si="28">R18/(J18+J19)</f>
        <v>-2.0839519503306789E-3</v>
      </c>
      <c r="U18" s="159">
        <v>43767</v>
      </c>
      <c r="V18" s="151">
        <f t="shared" ref="V18" si="29">DATEDIF(D18,U18,"d")</f>
        <v>19</v>
      </c>
      <c r="W18" s="168" t="s">
        <v>337</v>
      </c>
      <c r="AA18" s="163">
        <f t="shared" ref="AA18" si="30">YEAR(U18)</f>
        <v>2019</v>
      </c>
      <c r="AB18" s="163">
        <f t="shared" ref="AB18" si="31">MONTH(U18)</f>
        <v>10</v>
      </c>
      <c r="AC18" s="164" t="str">
        <f t="shared" ref="AC18" si="32">IF(R18&gt;0,"○","☓")</f>
        <v>☓</v>
      </c>
    </row>
    <row r="19" spans="2:29" s="115" customFormat="1">
      <c r="B19" s="30"/>
      <c r="C19" s="153"/>
      <c r="D19" s="155">
        <v>43748</v>
      </c>
      <c r="E19" s="36" t="s">
        <v>223</v>
      </c>
      <c r="F19" s="36">
        <v>8309</v>
      </c>
      <c r="G19" s="61" t="s">
        <v>225</v>
      </c>
      <c r="H19" s="53">
        <v>3719</v>
      </c>
      <c r="I19" s="53">
        <v>200</v>
      </c>
      <c r="J19" s="54">
        <f t="shared" si="16"/>
        <v>743800</v>
      </c>
      <c r="K19" s="45" t="s">
        <v>228</v>
      </c>
      <c r="L19" s="48">
        <v>4022</v>
      </c>
      <c r="M19" s="38">
        <f t="shared" si="17"/>
        <v>720</v>
      </c>
      <c r="N19" s="143">
        <v>386</v>
      </c>
      <c r="O19" s="143">
        <v>408</v>
      </c>
      <c r="P19" s="36">
        <f>(L19-H19)*I19-M19-N19-O19</f>
        <v>59086</v>
      </c>
      <c r="Q19" s="55">
        <f t="shared" si="18"/>
        <v>7.9438020973379944E-2</v>
      </c>
      <c r="R19" s="156"/>
      <c r="S19" s="158"/>
      <c r="U19" s="151"/>
      <c r="V19" s="151"/>
      <c r="W19" s="168"/>
      <c r="AA19" s="158"/>
      <c r="AB19" s="158"/>
      <c r="AC19" s="165"/>
    </row>
    <row r="20" spans="2:29">
      <c r="B20" s="30"/>
      <c r="C20" s="152">
        <f>ROW()/2-1</f>
        <v>9</v>
      </c>
      <c r="D20" s="154">
        <v>43782</v>
      </c>
      <c r="E20" s="40" t="s">
        <v>222</v>
      </c>
      <c r="F20" s="40">
        <v>1820</v>
      </c>
      <c r="G20" s="62" t="s">
        <v>161</v>
      </c>
      <c r="H20" s="56">
        <v>2431</v>
      </c>
      <c r="I20" s="40">
        <v>400</v>
      </c>
      <c r="J20" s="57">
        <f>H20*I20</f>
        <v>972400</v>
      </c>
      <c r="K20" s="59" t="s">
        <v>228</v>
      </c>
      <c r="L20" s="56">
        <v>2375</v>
      </c>
      <c r="M20" s="40">
        <f>360*2</f>
        <v>720</v>
      </c>
      <c r="N20" s="40">
        <v>162</v>
      </c>
      <c r="O20" s="59">
        <v>92</v>
      </c>
      <c r="P20" s="56">
        <f>(H20-L20)*I20-M20-N20-O20</f>
        <v>21426</v>
      </c>
      <c r="Q20" s="58">
        <f>P20/J20</f>
        <v>2.2034142328259974E-2</v>
      </c>
      <c r="R20" s="156">
        <f>P20+P21</f>
        <v>485966</v>
      </c>
      <c r="S20" s="157">
        <f>R20/(J20+J21)</f>
        <v>0.2544948186257156</v>
      </c>
      <c r="U20" s="159">
        <f ca="1">建玉管理!$P$1</f>
        <v>43790</v>
      </c>
      <c r="V20" s="151">
        <f ca="1">DATEDIF(D20,U20,"d")</f>
        <v>8</v>
      </c>
      <c r="W20" s="166" t="s">
        <v>386</v>
      </c>
      <c r="AA20" s="163">
        <f t="shared" ref="AA20" ca="1" si="33">YEAR(U20)</f>
        <v>2019</v>
      </c>
      <c r="AB20" s="163">
        <f t="shared" ref="AB20" ca="1" si="34">MONTH(U20)</f>
        <v>11</v>
      </c>
      <c r="AC20" s="164" t="str">
        <f t="shared" ref="AC20" si="35">IF(R20&gt;0,"○","☓")</f>
        <v>○</v>
      </c>
    </row>
    <row r="21" spans="2:29">
      <c r="B21" s="30"/>
      <c r="C21" s="153"/>
      <c r="D21" s="155">
        <v>43748</v>
      </c>
      <c r="E21" s="36" t="s">
        <v>223</v>
      </c>
      <c r="F21" s="36">
        <v>4508</v>
      </c>
      <c r="G21" s="61" t="s">
        <v>407</v>
      </c>
      <c r="H21" s="53">
        <v>1338.76</v>
      </c>
      <c r="I21" s="53">
        <v>700</v>
      </c>
      <c r="J21" s="54">
        <f>H21*I21</f>
        <v>937132</v>
      </c>
      <c r="K21" s="45" t="s">
        <v>444</v>
      </c>
      <c r="L21" s="48">
        <v>2004</v>
      </c>
      <c r="M21" s="38">
        <f>360*2</f>
        <v>720</v>
      </c>
      <c r="N21" s="39">
        <v>0</v>
      </c>
      <c r="O21" s="39">
        <v>408</v>
      </c>
      <c r="P21" s="36">
        <f>(L21-H21)*I21-M21-N21-O21</f>
        <v>464540</v>
      </c>
      <c r="Q21" s="55">
        <f>P21/J21</f>
        <v>0.49570391364290195</v>
      </c>
      <c r="R21" s="156"/>
      <c r="S21" s="158"/>
      <c r="U21" s="151"/>
      <c r="V21" s="151"/>
      <c r="W21" s="167"/>
      <c r="AA21" s="158"/>
      <c r="AB21" s="158"/>
      <c r="AC21" s="165"/>
    </row>
    <row r="22" spans="2:29" s="115" customFormat="1">
      <c r="B22" s="30"/>
      <c r="C22" s="152">
        <f>ROW()/2-1</f>
        <v>10</v>
      </c>
      <c r="D22" s="154">
        <v>43782</v>
      </c>
      <c r="E22" s="40" t="s">
        <v>222</v>
      </c>
      <c r="F22" s="40">
        <v>8002</v>
      </c>
      <c r="G22" s="62" t="s">
        <v>57</v>
      </c>
      <c r="H22" s="56">
        <v>814</v>
      </c>
      <c r="I22" s="40">
        <v>1300</v>
      </c>
      <c r="J22" s="57">
        <f>H22*I22</f>
        <v>1058200</v>
      </c>
      <c r="K22" s="59" t="s">
        <v>228</v>
      </c>
      <c r="L22" s="56">
        <v>794.1</v>
      </c>
      <c r="M22" s="40">
        <f>360*2</f>
        <v>720</v>
      </c>
      <c r="N22" s="40">
        <v>162</v>
      </c>
      <c r="O22" s="59">
        <v>92</v>
      </c>
      <c r="P22" s="56">
        <f>(H22-L22)*I22-M22-N22-O22</f>
        <v>24895.999999999971</v>
      </c>
      <c r="Q22" s="58">
        <f>P22/J22</f>
        <v>2.3526743526743499E-2</v>
      </c>
      <c r="R22" s="156">
        <f>P22+P23</f>
        <v>60327.999999999913</v>
      </c>
      <c r="S22" s="157">
        <f>R22/(J22+J23)</f>
        <v>2.888939968585982E-2</v>
      </c>
      <c r="U22" s="159">
        <v>43790</v>
      </c>
      <c r="V22" s="151">
        <f>DATEDIF(D22,U22,"d")</f>
        <v>8</v>
      </c>
      <c r="W22" s="166" t="s">
        <v>386</v>
      </c>
      <c r="AA22" s="163">
        <f t="shared" ref="AA22" si="36">YEAR(U22)</f>
        <v>2019</v>
      </c>
      <c r="AB22" s="163">
        <f t="shared" ref="AB22" si="37">MONTH(U22)</f>
        <v>11</v>
      </c>
      <c r="AC22" s="164" t="str">
        <f t="shared" ref="AC22" si="38">IF(R22&gt;0,"○","☓")</f>
        <v>○</v>
      </c>
    </row>
    <row r="23" spans="2:29" s="115" customFormat="1">
      <c r="B23" s="30"/>
      <c r="C23" s="153"/>
      <c r="D23" s="155">
        <v>43748</v>
      </c>
      <c r="E23" s="36" t="s">
        <v>223</v>
      </c>
      <c r="F23" s="36">
        <v>8601</v>
      </c>
      <c r="G23" s="61" t="s">
        <v>53</v>
      </c>
      <c r="H23" s="53">
        <v>515.02</v>
      </c>
      <c r="I23" s="53">
        <v>2000</v>
      </c>
      <c r="J23" s="54">
        <f>H23*I23</f>
        <v>1030040</v>
      </c>
      <c r="K23" s="45" t="s">
        <v>444</v>
      </c>
      <c r="L23" s="48">
        <v>533.29999999999995</v>
      </c>
      <c r="M23" s="38">
        <f>360*2</f>
        <v>720</v>
      </c>
      <c r="N23" s="143">
        <v>0</v>
      </c>
      <c r="O23" s="143">
        <v>408</v>
      </c>
      <c r="P23" s="36">
        <f>(L23-H23)*I23-M23-N23-O23</f>
        <v>35431.999999999942</v>
      </c>
      <c r="Q23" s="55">
        <f>P23/J23</f>
        <v>3.4398664129548312E-2</v>
      </c>
      <c r="R23" s="156"/>
      <c r="S23" s="158"/>
      <c r="U23" s="151"/>
      <c r="V23" s="151"/>
      <c r="W23" s="167"/>
      <c r="AA23" s="158"/>
      <c r="AB23" s="158"/>
      <c r="AC23" s="165"/>
    </row>
  </sheetData>
  <autoFilter ref="B3:AC23"/>
  <mergeCells count="100">
    <mergeCell ref="AA22:AA23"/>
    <mergeCell ref="AB22:AB23"/>
    <mergeCell ref="AC22:AC23"/>
    <mergeCell ref="C18:C19"/>
    <mergeCell ref="D18:D19"/>
    <mergeCell ref="R18:R19"/>
    <mergeCell ref="S18:S19"/>
    <mergeCell ref="U18:U19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V10:V11"/>
    <mergeCell ref="W10:W11"/>
    <mergeCell ref="AA10:AA11"/>
    <mergeCell ref="AB10:AB11"/>
    <mergeCell ref="AC10:AC11"/>
    <mergeCell ref="C10:C11"/>
    <mergeCell ref="D10:D11"/>
    <mergeCell ref="R10:R11"/>
    <mergeCell ref="S10:S11"/>
    <mergeCell ref="U10:U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4:C5"/>
    <mergeCell ref="D4:D5"/>
    <mergeCell ref="R4:R5"/>
    <mergeCell ref="S4:S5"/>
    <mergeCell ref="U4:U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14:C15"/>
    <mergeCell ref="D14:D15"/>
    <mergeCell ref="R14:R15"/>
    <mergeCell ref="S14:S15"/>
    <mergeCell ref="U14:U15"/>
    <mergeCell ref="C16:C17"/>
    <mergeCell ref="D16:D17"/>
    <mergeCell ref="R16:R17"/>
    <mergeCell ref="S16:S17"/>
    <mergeCell ref="U16:U17"/>
    <mergeCell ref="D20:D21"/>
    <mergeCell ref="AA14:AA15"/>
    <mergeCell ref="AB14:AB15"/>
    <mergeCell ref="AC14:AC15"/>
    <mergeCell ref="AA16:AA17"/>
    <mergeCell ref="AB16:AB17"/>
    <mergeCell ref="AC16:AC17"/>
    <mergeCell ref="V14:V15"/>
    <mergeCell ref="W14:W15"/>
    <mergeCell ref="V16:V17"/>
    <mergeCell ref="W16:W17"/>
    <mergeCell ref="V18:V19"/>
    <mergeCell ref="W18:W19"/>
    <mergeCell ref="AA18:AA19"/>
    <mergeCell ref="AB18:AB19"/>
    <mergeCell ref="AC18:AC19"/>
    <mergeCell ref="AA20:AA21"/>
    <mergeCell ref="AB20:AB21"/>
    <mergeCell ref="AC20:AC21"/>
    <mergeCell ref="C22:C23"/>
    <mergeCell ref="D22:D23"/>
    <mergeCell ref="R22:R23"/>
    <mergeCell ref="S22:S23"/>
    <mergeCell ref="U22:U23"/>
    <mergeCell ref="V22:V23"/>
    <mergeCell ref="W22:W23"/>
    <mergeCell ref="W20:W21"/>
    <mergeCell ref="C20:C21"/>
    <mergeCell ref="R20:R21"/>
    <mergeCell ref="S20:S21"/>
    <mergeCell ref="V20:V21"/>
    <mergeCell ref="U20:U21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GridLines="0" zoomScale="115" zoomScaleNormal="115" workbookViewId="0">
      <selection activeCell="C34" sqref="C34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2</v>
      </c>
      <c r="D8" s="24">
        <v>3</v>
      </c>
      <c r="F8" s="4" t="s">
        <v>100</v>
      </c>
      <c r="G8" s="29">
        <v>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101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102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96</v>
      </c>
      <c r="C17" s="188" t="s">
        <v>94</v>
      </c>
      <c r="D17" s="189"/>
      <c r="E17" s="190"/>
      <c r="F17" s="190"/>
    </row>
    <row r="18" spans="2:7">
      <c r="B18" s="4" t="s">
        <v>93</v>
      </c>
      <c r="C18" s="188" t="s">
        <v>95</v>
      </c>
      <c r="D18" s="189"/>
      <c r="E18" s="190"/>
      <c r="F18" s="190"/>
      <c r="G18" s="190"/>
    </row>
  </sheetData>
  <mergeCells count="2">
    <mergeCell ref="C17:F17"/>
    <mergeCell ref="C18:G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C28"/>
  <sheetViews>
    <sheetView showGridLines="0" zoomScaleNormal="100" workbookViewId="0">
      <selection activeCell="H7" sqref="H7"/>
    </sheetView>
  </sheetViews>
  <sheetFormatPr defaultRowHeight="14.25"/>
  <cols>
    <col min="1" max="1" width="5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4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29" ht="15" thickBot="1"/>
    <row r="2" spans="1:29">
      <c r="A2" s="115"/>
      <c r="B2" s="195" t="s">
        <v>358</v>
      </c>
      <c r="C2" s="192"/>
      <c r="D2" s="192"/>
      <c r="E2" s="192"/>
      <c r="F2" s="192"/>
      <c r="G2" s="193"/>
      <c r="H2" s="196" t="s">
        <v>359</v>
      </c>
      <c r="I2" s="192"/>
      <c r="J2" s="192"/>
      <c r="K2" s="192"/>
      <c r="L2" s="192"/>
      <c r="M2" s="193"/>
      <c r="N2" s="191" t="s">
        <v>360</v>
      </c>
      <c r="O2" s="192"/>
      <c r="P2" s="192"/>
      <c r="Q2" s="192"/>
      <c r="R2" s="193"/>
      <c r="S2" s="194" t="s">
        <v>361</v>
      </c>
      <c r="T2" s="192"/>
      <c r="U2" s="192"/>
      <c r="V2" s="192"/>
      <c r="W2" s="192"/>
      <c r="X2" s="192"/>
      <c r="Y2" s="193"/>
      <c r="Z2" s="121" t="s">
        <v>362</v>
      </c>
      <c r="AA2" s="122"/>
      <c r="AB2" s="122"/>
      <c r="AC2" s="123"/>
    </row>
    <row r="3" spans="1:29" s="22" customFormat="1" ht="28.5" customHeight="1" thickBot="1">
      <c r="A3" s="116"/>
      <c r="B3" s="118" t="s">
        <v>363</v>
      </c>
      <c r="C3" s="137" t="s">
        <v>364</v>
      </c>
      <c r="D3" s="137" t="s">
        <v>365</v>
      </c>
      <c r="E3" s="137" t="s">
        <v>366</v>
      </c>
      <c r="F3" s="137" t="s">
        <v>367</v>
      </c>
      <c r="G3" s="138"/>
      <c r="H3" s="119" t="s">
        <v>363</v>
      </c>
      <c r="I3" s="124" t="s">
        <v>364</v>
      </c>
      <c r="J3" s="124" t="s">
        <v>365</v>
      </c>
      <c r="K3" s="124" t="s">
        <v>366</v>
      </c>
      <c r="L3" s="124" t="s">
        <v>367</v>
      </c>
      <c r="M3" s="125"/>
      <c r="N3" s="126" t="s">
        <v>368</v>
      </c>
      <c r="O3" s="127" t="s">
        <v>369</v>
      </c>
      <c r="P3" s="127" t="s">
        <v>370</v>
      </c>
      <c r="Q3" s="127" t="s">
        <v>371</v>
      </c>
      <c r="R3" s="128" t="s">
        <v>372</v>
      </c>
      <c r="S3" s="129" t="s">
        <v>373</v>
      </c>
      <c r="T3" s="130" t="s">
        <v>374</v>
      </c>
      <c r="U3" s="117" t="s">
        <v>375</v>
      </c>
      <c r="V3" s="117" t="s">
        <v>376</v>
      </c>
      <c r="W3" s="117" t="s">
        <v>377</v>
      </c>
      <c r="X3" s="130" t="s">
        <v>378</v>
      </c>
      <c r="Y3" s="131" t="s">
        <v>379</v>
      </c>
      <c r="Z3" s="132" t="s">
        <v>380</v>
      </c>
      <c r="AA3" s="133" t="s">
        <v>381</v>
      </c>
      <c r="AB3" s="133" t="s">
        <v>382</v>
      </c>
      <c r="AC3" s="133" t="s">
        <v>383</v>
      </c>
    </row>
    <row r="4" spans="1:29">
      <c r="A4" s="136" t="s">
        <v>345</v>
      </c>
      <c r="B4" s="26">
        <v>1973</v>
      </c>
      <c r="C4" s="120" t="s">
        <v>409</v>
      </c>
      <c r="D4" s="120" t="s">
        <v>110</v>
      </c>
      <c r="E4">
        <v>3510</v>
      </c>
      <c r="F4">
        <v>300</v>
      </c>
      <c r="H4" s="27">
        <v>3635</v>
      </c>
      <c r="I4" s="120" t="s">
        <v>116</v>
      </c>
      <c r="J4" s="120" t="s">
        <v>110</v>
      </c>
      <c r="K4" s="27">
        <v>2545</v>
      </c>
      <c r="L4" s="27">
        <v>400</v>
      </c>
      <c r="N4" s="27">
        <v>2.2911254144750002</v>
      </c>
      <c r="O4" s="27">
        <v>6.19</v>
      </c>
      <c r="P4" s="27">
        <v>1053000</v>
      </c>
      <c r="Q4" s="27">
        <v>1018000</v>
      </c>
      <c r="R4" s="27">
        <v>3.32</v>
      </c>
      <c r="S4" s="27">
        <v>374173</v>
      </c>
      <c r="T4" s="27">
        <v>24945</v>
      </c>
      <c r="U4" s="134">
        <v>15</v>
      </c>
      <c r="V4" s="135">
        <v>11</v>
      </c>
      <c r="W4" s="135" t="s">
        <v>483</v>
      </c>
      <c r="X4" s="27">
        <v>73.33</v>
      </c>
      <c r="Y4" s="27">
        <v>13</v>
      </c>
      <c r="Z4" s="27">
        <v>0.95768456871790497</v>
      </c>
      <c r="AA4" s="27">
        <v>0.91272784397538098</v>
      </c>
      <c r="AB4" s="27">
        <v>5.1105429905714199E-2</v>
      </c>
      <c r="AC4" s="27">
        <v>3.1863141160267998E-2</v>
      </c>
    </row>
    <row r="5" spans="1:29">
      <c r="A5" s="136" t="s">
        <v>345</v>
      </c>
      <c r="B5" s="146">
        <v>4182</v>
      </c>
      <c r="C5" s="120" t="s">
        <v>119</v>
      </c>
      <c r="D5" s="120" t="s">
        <v>88</v>
      </c>
      <c r="E5">
        <v>1632</v>
      </c>
      <c r="F5">
        <v>600</v>
      </c>
      <c r="H5" s="149">
        <v>1824</v>
      </c>
      <c r="I5" s="120" t="s">
        <v>413</v>
      </c>
      <c r="J5" s="120" t="s">
        <v>108</v>
      </c>
      <c r="K5" s="27">
        <v>972</v>
      </c>
      <c r="L5" s="27">
        <v>1000</v>
      </c>
      <c r="N5" s="27">
        <v>-2.4255923238288299</v>
      </c>
      <c r="O5" s="27">
        <v>-9.2799999999999994</v>
      </c>
      <c r="P5" s="27">
        <v>979200</v>
      </c>
      <c r="Q5" s="27">
        <v>972000</v>
      </c>
      <c r="R5" s="27">
        <v>0.74</v>
      </c>
      <c r="S5" s="27">
        <v>348724</v>
      </c>
      <c r="T5" s="27">
        <v>17436</v>
      </c>
      <c r="U5" s="134">
        <v>20</v>
      </c>
      <c r="V5" s="135">
        <v>12</v>
      </c>
      <c r="W5" s="135" t="s">
        <v>469</v>
      </c>
      <c r="X5" s="27">
        <v>60</v>
      </c>
      <c r="Y5" s="27">
        <v>10</v>
      </c>
      <c r="Z5" s="27">
        <v>0.95474837198404405</v>
      </c>
      <c r="AA5" s="27">
        <v>0.910260097285718</v>
      </c>
      <c r="AB5" s="27">
        <v>1.37178594715431E-2</v>
      </c>
      <c r="AC5" s="27">
        <v>0.128425634133918</v>
      </c>
    </row>
    <row r="6" spans="1:29">
      <c r="A6" s="136" t="s">
        <v>345</v>
      </c>
      <c r="B6" s="150">
        <v>7762</v>
      </c>
      <c r="C6" s="120" t="s">
        <v>141</v>
      </c>
      <c r="D6" s="120" t="s">
        <v>126</v>
      </c>
      <c r="E6">
        <v>590</v>
      </c>
      <c r="F6">
        <v>900</v>
      </c>
      <c r="H6" s="27">
        <v>7276</v>
      </c>
      <c r="I6" s="120" t="s">
        <v>445</v>
      </c>
      <c r="J6" s="120" t="s">
        <v>118</v>
      </c>
      <c r="K6" s="27">
        <v>5570</v>
      </c>
      <c r="L6" s="27">
        <v>100</v>
      </c>
      <c r="N6" s="27">
        <v>-2.15883482354627</v>
      </c>
      <c r="O6" s="27">
        <v>-4.87</v>
      </c>
      <c r="P6" s="27">
        <v>531000</v>
      </c>
      <c r="Q6" s="27">
        <v>557000</v>
      </c>
      <c r="R6" s="27">
        <v>4.67</v>
      </c>
      <c r="S6" s="27">
        <v>333607</v>
      </c>
      <c r="T6" s="27">
        <v>20850</v>
      </c>
      <c r="U6" s="134">
        <v>16</v>
      </c>
      <c r="V6" s="135">
        <v>11</v>
      </c>
      <c r="W6" s="135" t="s">
        <v>484</v>
      </c>
      <c r="X6" s="27">
        <v>68.75</v>
      </c>
      <c r="Y6" s="27">
        <v>13</v>
      </c>
      <c r="Z6" s="27">
        <v>0.96429960655817704</v>
      </c>
      <c r="AA6" s="27">
        <v>0.90589153536491296</v>
      </c>
      <c r="AB6" s="27">
        <v>3.026300585724E-2</v>
      </c>
      <c r="AC6" s="27">
        <v>8.2690068437522898E-2</v>
      </c>
    </row>
    <row r="7" spans="1:29">
      <c r="A7" s="136" t="s">
        <v>345</v>
      </c>
      <c r="B7" s="150">
        <v>8601</v>
      </c>
      <c r="C7" s="120" t="s">
        <v>53</v>
      </c>
      <c r="D7" s="120" t="s">
        <v>152</v>
      </c>
      <c r="E7">
        <v>532.29999999999995</v>
      </c>
      <c r="F7">
        <v>2000</v>
      </c>
      <c r="H7" s="27">
        <v>8308</v>
      </c>
      <c r="I7" s="120" t="s">
        <v>136</v>
      </c>
      <c r="J7" s="120" t="s">
        <v>113</v>
      </c>
      <c r="K7" s="27">
        <v>466.8</v>
      </c>
      <c r="L7" s="27">
        <v>2300</v>
      </c>
      <c r="N7" s="27">
        <v>-2.4912548433170101</v>
      </c>
      <c r="O7" s="27">
        <v>-5.93</v>
      </c>
      <c r="P7" s="27">
        <v>1064600</v>
      </c>
      <c r="Q7" s="27">
        <v>1073640</v>
      </c>
      <c r="R7" s="27">
        <v>0.85</v>
      </c>
      <c r="S7" s="27">
        <v>279633</v>
      </c>
      <c r="T7" s="27">
        <v>19974</v>
      </c>
      <c r="U7" s="134">
        <v>14</v>
      </c>
      <c r="V7" s="135">
        <v>9</v>
      </c>
      <c r="W7" s="135" t="s">
        <v>474</v>
      </c>
      <c r="X7" s="27">
        <v>64.290000000000006</v>
      </c>
      <c r="Y7" s="27">
        <v>14</v>
      </c>
      <c r="Z7" s="27">
        <v>0.92151471047484401</v>
      </c>
      <c r="AA7" s="27">
        <v>0.93615472653963705</v>
      </c>
      <c r="AB7" s="27">
        <v>1.5490436789184801E-2</v>
      </c>
      <c r="AC7" s="27">
        <v>6.3950837935584703E-2</v>
      </c>
    </row>
    <row r="8" spans="1:29">
      <c r="A8" s="136" t="s">
        <v>345</v>
      </c>
      <c r="B8" s="26">
        <v>8601</v>
      </c>
      <c r="C8" s="120" t="s">
        <v>53</v>
      </c>
      <c r="D8" s="120" t="s">
        <v>152</v>
      </c>
      <c r="E8">
        <v>532.29999999999995</v>
      </c>
      <c r="F8">
        <v>2000</v>
      </c>
      <c r="H8" s="27">
        <v>8411</v>
      </c>
      <c r="I8" s="120" t="s">
        <v>160</v>
      </c>
      <c r="J8" s="120" t="s">
        <v>113</v>
      </c>
      <c r="K8" s="27">
        <v>168.8</v>
      </c>
      <c r="L8" s="27">
        <v>6300</v>
      </c>
      <c r="N8" s="27">
        <v>-2.5305098843501899</v>
      </c>
      <c r="O8" s="27">
        <v>-6.1</v>
      </c>
      <c r="P8" s="27">
        <v>1064600</v>
      </c>
      <c r="Q8" s="27">
        <v>1063440</v>
      </c>
      <c r="R8" s="27">
        <v>0.11</v>
      </c>
      <c r="S8" s="27">
        <v>254740</v>
      </c>
      <c r="T8" s="27">
        <v>16983</v>
      </c>
      <c r="U8" s="134">
        <v>15</v>
      </c>
      <c r="V8" s="135">
        <v>10</v>
      </c>
      <c r="W8" s="135" t="s">
        <v>475</v>
      </c>
      <c r="X8" s="27">
        <v>66.67</v>
      </c>
      <c r="Y8" s="27">
        <v>15</v>
      </c>
      <c r="Z8" s="27">
        <v>0.93845992123542599</v>
      </c>
      <c r="AA8" s="27">
        <v>0.92624752181386505</v>
      </c>
      <c r="AB8" s="27">
        <v>2.7298497957440101E-2</v>
      </c>
      <c r="AC8" s="27">
        <v>0.30955461416685498</v>
      </c>
    </row>
    <row r="9" spans="1:29">
      <c r="A9" s="136" t="s">
        <v>345</v>
      </c>
      <c r="B9" s="26">
        <v>5802</v>
      </c>
      <c r="C9" s="120" t="s">
        <v>181</v>
      </c>
      <c r="D9" s="120" t="s">
        <v>182</v>
      </c>
      <c r="E9">
        <v>1526.5</v>
      </c>
      <c r="F9">
        <v>700</v>
      </c>
      <c r="H9" s="149">
        <v>6472</v>
      </c>
      <c r="I9" s="120" t="s">
        <v>189</v>
      </c>
      <c r="J9" s="120" t="s">
        <v>133</v>
      </c>
      <c r="K9" s="27">
        <v>327</v>
      </c>
      <c r="L9" s="27">
        <v>3300</v>
      </c>
      <c r="N9" s="27">
        <v>2.3839378273799201</v>
      </c>
      <c r="O9" s="27">
        <v>5.55</v>
      </c>
      <c r="P9" s="27">
        <v>1068550</v>
      </c>
      <c r="Q9" s="27">
        <v>1079100</v>
      </c>
      <c r="R9" s="27">
        <v>0.99</v>
      </c>
      <c r="S9" s="27">
        <v>211012</v>
      </c>
      <c r="T9" s="27">
        <v>13188</v>
      </c>
      <c r="U9" s="134">
        <v>16</v>
      </c>
      <c r="V9" s="135">
        <v>11</v>
      </c>
      <c r="W9" s="135" t="s">
        <v>484</v>
      </c>
      <c r="X9" s="27">
        <v>68.75</v>
      </c>
      <c r="Y9" s="27">
        <v>15</v>
      </c>
      <c r="Z9" s="27">
        <v>0.95796082465413301</v>
      </c>
      <c r="AA9" s="27">
        <v>0.93764185838157299</v>
      </c>
      <c r="AB9" s="27">
        <v>1.58117664579943E-2</v>
      </c>
      <c r="AC9" s="27">
        <v>1.19890670770419E-2</v>
      </c>
    </row>
    <row r="10" spans="1:29">
      <c r="A10" s="136" t="s">
        <v>345</v>
      </c>
      <c r="B10" s="26">
        <v>6923</v>
      </c>
      <c r="C10" s="120" t="s">
        <v>146</v>
      </c>
      <c r="D10" s="120" t="s">
        <v>118</v>
      </c>
      <c r="E10">
        <v>2974</v>
      </c>
      <c r="F10">
        <v>300</v>
      </c>
      <c r="H10" s="27">
        <v>4631</v>
      </c>
      <c r="I10" s="120" t="s">
        <v>188</v>
      </c>
      <c r="J10" s="120" t="s">
        <v>88</v>
      </c>
      <c r="K10" s="27">
        <v>2966</v>
      </c>
      <c r="L10" s="27">
        <v>300</v>
      </c>
      <c r="N10" s="27">
        <v>-2.2062376299029798</v>
      </c>
      <c r="O10" s="27">
        <v>-5.22</v>
      </c>
      <c r="P10" s="27">
        <v>892200</v>
      </c>
      <c r="Q10" s="27">
        <v>889800</v>
      </c>
      <c r="R10" s="27">
        <v>0.27</v>
      </c>
      <c r="S10" s="27">
        <v>201293</v>
      </c>
      <c r="T10" s="27">
        <v>20129</v>
      </c>
      <c r="U10" s="134">
        <v>10</v>
      </c>
      <c r="V10" s="135">
        <v>7</v>
      </c>
      <c r="W10" s="135" t="s">
        <v>471</v>
      </c>
      <c r="X10" s="27">
        <v>70</v>
      </c>
      <c r="Y10" s="27">
        <v>10</v>
      </c>
      <c r="Z10" s="27">
        <v>0.92043846951938102</v>
      </c>
      <c r="AA10" s="27">
        <v>0.93699806282561104</v>
      </c>
      <c r="AB10" s="27">
        <v>0.150499124832631</v>
      </c>
      <c r="AC10" s="27">
        <v>8.7376345011094692E-3</v>
      </c>
    </row>
    <row r="11" spans="1:29">
      <c r="A11" s="136" t="s">
        <v>345</v>
      </c>
      <c r="B11" s="146">
        <v>6995</v>
      </c>
      <c r="C11" s="120" t="s">
        <v>123</v>
      </c>
      <c r="D11" s="120" t="s">
        <v>115</v>
      </c>
      <c r="E11">
        <v>2063</v>
      </c>
      <c r="F11">
        <v>500</v>
      </c>
      <c r="H11" s="149">
        <v>6472</v>
      </c>
      <c r="I11" s="120" t="s">
        <v>189</v>
      </c>
      <c r="J11" s="120" t="s">
        <v>133</v>
      </c>
      <c r="K11" s="27">
        <v>327</v>
      </c>
      <c r="L11" s="27">
        <v>3200</v>
      </c>
      <c r="N11" s="27">
        <v>-2.25698194927753</v>
      </c>
      <c r="O11" s="27">
        <v>-6.49</v>
      </c>
      <c r="P11" s="27">
        <v>1031500</v>
      </c>
      <c r="Q11" s="27">
        <v>1046400</v>
      </c>
      <c r="R11" s="27">
        <v>1.44</v>
      </c>
      <c r="S11" s="27">
        <v>163682</v>
      </c>
      <c r="T11" s="27">
        <v>13640</v>
      </c>
      <c r="U11" s="134">
        <v>12</v>
      </c>
      <c r="V11" s="135">
        <v>8</v>
      </c>
      <c r="W11" s="135" t="s">
        <v>476</v>
      </c>
      <c r="X11" s="27">
        <v>66.67</v>
      </c>
      <c r="Y11" s="27">
        <v>14</v>
      </c>
      <c r="Z11" s="27">
        <v>0.93915951343190796</v>
      </c>
      <c r="AA11" s="27">
        <v>0.90833779005807902</v>
      </c>
      <c r="AB11" s="27">
        <v>4.8400745604210097E-3</v>
      </c>
      <c r="AC11" s="27">
        <v>1.1909741164101499E-2</v>
      </c>
    </row>
    <row r="12" spans="1:29">
      <c r="A12" s="136" t="s">
        <v>345</v>
      </c>
      <c r="B12" s="26">
        <v>7272</v>
      </c>
      <c r="C12" s="120" t="s">
        <v>391</v>
      </c>
      <c r="D12" s="120" t="s">
        <v>115</v>
      </c>
      <c r="E12">
        <v>2250</v>
      </c>
      <c r="F12">
        <v>400</v>
      </c>
      <c r="H12" s="149">
        <v>6472</v>
      </c>
      <c r="I12" s="120" t="s">
        <v>189</v>
      </c>
      <c r="J12" s="120" t="s">
        <v>133</v>
      </c>
      <c r="K12" s="27">
        <v>327</v>
      </c>
      <c r="L12" s="27">
        <v>2800</v>
      </c>
      <c r="N12" s="27">
        <v>-2.44166763811493</v>
      </c>
      <c r="O12" s="27">
        <v>-9.42</v>
      </c>
      <c r="P12" s="27">
        <v>900000</v>
      </c>
      <c r="Q12" s="27">
        <v>915600</v>
      </c>
      <c r="R12" s="27">
        <v>1.73</v>
      </c>
      <c r="S12" s="27">
        <v>158397</v>
      </c>
      <c r="T12" s="27">
        <v>9900</v>
      </c>
      <c r="U12" s="134">
        <v>16</v>
      </c>
      <c r="V12" s="135">
        <v>11</v>
      </c>
      <c r="W12" s="135" t="s">
        <v>472</v>
      </c>
      <c r="X12" s="27">
        <v>68.75</v>
      </c>
      <c r="Y12" s="27">
        <v>14</v>
      </c>
      <c r="Z12" s="27">
        <v>0.90720010634808301</v>
      </c>
      <c r="AA12" s="27">
        <v>0.91545307045047397</v>
      </c>
      <c r="AB12" s="27">
        <v>0.105500340010378</v>
      </c>
      <c r="AC12" s="27">
        <v>6.31739360224333E-3</v>
      </c>
    </row>
    <row r="13" spans="1:29">
      <c r="A13" s="136" t="s">
        <v>345</v>
      </c>
      <c r="B13" s="26">
        <v>1963</v>
      </c>
      <c r="C13" s="120" t="s">
        <v>180</v>
      </c>
      <c r="D13" s="120" t="s">
        <v>108</v>
      </c>
      <c r="E13">
        <v>1656</v>
      </c>
      <c r="F13">
        <v>600</v>
      </c>
      <c r="H13" s="149">
        <v>6472</v>
      </c>
      <c r="I13" s="120" t="s">
        <v>189</v>
      </c>
      <c r="J13" s="120" t="s">
        <v>133</v>
      </c>
      <c r="K13" s="27">
        <v>327</v>
      </c>
      <c r="L13" s="27">
        <v>3000</v>
      </c>
      <c r="N13" s="27">
        <v>2.9505914851967598</v>
      </c>
      <c r="O13" s="27">
        <v>9.93</v>
      </c>
      <c r="P13" s="27">
        <v>993600</v>
      </c>
      <c r="Q13" s="27">
        <v>981000</v>
      </c>
      <c r="R13" s="27">
        <v>1.27</v>
      </c>
      <c r="S13" s="27">
        <v>136633</v>
      </c>
      <c r="T13" s="27">
        <v>7191</v>
      </c>
      <c r="U13" s="134">
        <v>19</v>
      </c>
      <c r="V13" s="135">
        <v>11</v>
      </c>
      <c r="W13" s="135" t="s">
        <v>477</v>
      </c>
      <c r="X13" s="27">
        <v>57.89</v>
      </c>
      <c r="Y13" s="27">
        <v>10</v>
      </c>
      <c r="Z13" s="27">
        <v>0.93100236858101604</v>
      </c>
      <c r="AA13" s="27">
        <v>0.908759188750911</v>
      </c>
      <c r="AB13" s="27">
        <v>1.3904774743724301E-2</v>
      </c>
      <c r="AC13" s="27">
        <v>2.6506071732655602E-4</v>
      </c>
    </row>
    <row r="14" spans="1:29">
      <c r="A14" s="136" t="s">
        <v>345</v>
      </c>
      <c r="B14" s="26">
        <v>8586</v>
      </c>
      <c r="C14" s="120" t="s">
        <v>387</v>
      </c>
      <c r="D14" s="120" t="s">
        <v>388</v>
      </c>
      <c r="E14">
        <v>2603</v>
      </c>
      <c r="F14">
        <v>400</v>
      </c>
      <c r="H14" s="27">
        <v>4183</v>
      </c>
      <c r="I14" s="120" t="s">
        <v>394</v>
      </c>
      <c r="J14" s="120" t="s">
        <v>88</v>
      </c>
      <c r="K14" s="27">
        <v>2633</v>
      </c>
      <c r="L14" s="27">
        <v>400</v>
      </c>
      <c r="N14" s="27">
        <v>-2.7054233499795202</v>
      </c>
      <c r="O14" s="27">
        <v>-6.11</v>
      </c>
      <c r="P14" s="27">
        <v>1041200</v>
      </c>
      <c r="Q14" s="27">
        <v>1053200</v>
      </c>
      <c r="R14" s="27">
        <v>1.1399999999999999</v>
      </c>
      <c r="S14" s="27">
        <v>127837</v>
      </c>
      <c r="T14" s="27">
        <v>9131</v>
      </c>
      <c r="U14" s="134">
        <v>14</v>
      </c>
      <c r="V14" s="135">
        <v>7</v>
      </c>
      <c r="W14" s="135" t="s">
        <v>478</v>
      </c>
      <c r="X14" s="27">
        <v>50</v>
      </c>
      <c r="Y14" s="27">
        <v>14</v>
      </c>
      <c r="Z14" s="27">
        <v>0.96058615509988099</v>
      </c>
      <c r="AA14" s="27">
        <v>0.91413012032248198</v>
      </c>
      <c r="AB14" s="27">
        <v>1.2019506206575501E-2</v>
      </c>
      <c r="AC14" s="27">
        <v>2.5437631627760701E-3</v>
      </c>
    </row>
    <row r="15" spans="1:29">
      <c r="A15" s="136" t="s">
        <v>345</v>
      </c>
      <c r="B15" s="26">
        <v>5991</v>
      </c>
      <c r="C15" s="120" t="s">
        <v>149</v>
      </c>
      <c r="D15" s="120" t="s">
        <v>150</v>
      </c>
      <c r="E15">
        <v>957</v>
      </c>
      <c r="F15">
        <v>1000</v>
      </c>
      <c r="H15" s="27">
        <v>4208</v>
      </c>
      <c r="I15" s="120" t="s">
        <v>131</v>
      </c>
      <c r="J15" s="120" t="s">
        <v>88</v>
      </c>
      <c r="K15" s="27">
        <v>2286</v>
      </c>
      <c r="L15" s="27">
        <v>400</v>
      </c>
      <c r="N15" s="27">
        <v>-2.3744087956554898</v>
      </c>
      <c r="O15" s="27">
        <v>-10.16</v>
      </c>
      <c r="P15" s="27">
        <v>957000</v>
      </c>
      <c r="Q15" s="27">
        <v>914400</v>
      </c>
      <c r="R15" s="27">
        <v>4.66</v>
      </c>
      <c r="S15" s="27">
        <v>118186</v>
      </c>
      <c r="T15" s="27">
        <v>7879</v>
      </c>
      <c r="U15" s="134">
        <v>15</v>
      </c>
      <c r="V15" s="135">
        <v>9</v>
      </c>
      <c r="W15" s="135" t="s">
        <v>470</v>
      </c>
      <c r="X15" s="27">
        <v>60</v>
      </c>
      <c r="Y15" s="27">
        <v>11</v>
      </c>
      <c r="Z15" s="27">
        <v>0.95630375026653702</v>
      </c>
      <c r="AA15" s="27">
        <v>0.90760517257922002</v>
      </c>
      <c r="AB15" s="27">
        <v>7.7614246527892505E-2</v>
      </c>
      <c r="AC15" s="27">
        <v>7.2104557202385205E-2</v>
      </c>
    </row>
    <row r="16" spans="1:29">
      <c r="A16" s="136" t="s">
        <v>345</v>
      </c>
      <c r="B16" s="26">
        <v>8601</v>
      </c>
      <c r="C16" s="120" t="s">
        <v>53</v>
      </c>
      <c r="D16" s="120" t="s">
        <v>152</v>
      </c>
      <c r="E16">
        <v>532.29999999999995</v>
      </c>
      <c r="F16">
        <v>2000</v>
      </c>
      <c r="H16" s="27">
        <v>4005</v>
      </c>
      <c r="I16" s="120" t="s">
        <v>153</v>
      </c>
      <c r="J16" s="120" t="s">
        <v>88</v>
      </c>
      <c r="K16" s="27">
        <v>500</v>
      </c>
      <c r="L16" s="27">
        <v>2100</v>
      </c>
      <c r="N16" s="27">
        <v>-2.86562935758807</v>
      </c>
      <c r="O16" s="27">
        <v>-7.5</v>
      </c>
      <c r="P16" s="27">
        <v>1064600</v>
      </c>
      <c r="Q16" s="27">
        <v>1050000</v>
      </c>
      <c r="R16" s="27">
        <v>1.37</v>
      </c>
      <c r="S16" s="27">
        <v>94546</v>
      </c>
      <c r="T16" s="27">
        <v>5253</v>
      </c>
      <c r="U16" s="134">
        <v>18</v>
      </c>
      <c r="V16" s="135">
        <v>9</v>
      </c>
      <c r="W16" s="135" t="s">
        <v>479</v>
      </c>
      <c r="X16" s="27">
        <v>50</v>
      </c>
      <c r="Y16" s="27">
        <v>14</v>
      </c>
      <c r="Z16" s="27">
        <v>0.90003665297772095</v>
      </c>
      <c r="AA16" s="27">
        <v>0.93485130592547405</v>
      </c>
      <c r="AB16" s="27">
        <v>7.6411397471863997E-4</v>
      </c>
      <c r="AC16" s="27">
        <v>3.1488806219856199E-3</v>
      </c>
    </row>
    <row r="17" spans="1:29">
      <c r="A17" s="136" t="s">
        <v>345</v>
      </c>
      <c r="B17" s="26">
        <v>5802</v>
      </c>
      <c r="C17" s="120" t="s">
        <v>181</v>
      </c>
      <c r="D17" s="120" t="s">
        <v>182</v>
      </c>
      <c r="E17">
        <v>1526.5</v>
      </c>
      <c r="F17">
        <v>600</v>
      </c>
      <c r="H17" s="27">
        <v>4208</v>
      </c>
      <c r="I17" s="120" t="s">
        <v>131</v>
      </c>
      <c r="J17" s="120" t="s">
        <v>88</v>
      </c>
      <c r="K17" s="27">
        <v>2286</v>
      </c>
      <c r="L17" s="27">
        <v>400</v>
      </c>
      <c r="N17" s="27">
        <v>-2.02937008697885</v>
      </c>
      <c r="O17" s="27">
        <v>-6.39</v>
      </c>
      <c r="P17" s="27">
        <v>915900</v>
      </c>
      <c r="Q17" s="27">
        <v>914400</v>
      </c>
      <c r="R17" s="27">
        <v>0.16</v>
      </c>
      <c r="S17" s="27">
        <v>89209</v>
      </c>
      <c r="T17" s="27">
        <v>6862</v>
      </c>
      <c r="U17" s="134">
        <v>13</v>
      </c>
      <c r="V17" s="135">
        <v>7</v>
      </c>
      <c r="W17" s="135" t="s">
        <v>485</v>
      </c>
      <c r="X17" s="27">
        <v>53.85</v>
      </c>
      <c r="Y17" s="27">
        <v>13</v>
      </c>
      <c r="Z17" s="27">
        <v>0.97261474843990203</v>
      </c>
      <c r="AA17" s="27">
        <v>0.92342083346355897</v>
      </c>
      <c r="AB17" s="27">
        <v>2.0662425905547201E-2</v>
      </c>
      <c r="AC17" s="27">
        <v>2.1557391374348499E-2</v>
      </c>
    </row>
    <row r="18" spans="1:29">
      <c r="A18" s="136" t="s">
        <v>345</v>
      </c>
      <c r="B18" s="26">
        <v>5334</v>
      </c>
      <c r="C18" s="120" t="s">
        <v>395</v>
      </c>
      <c r="D18" s="120" t="s">
        <v>140</v>
      </c>
      <c r="E18">
        <v>2155</v>
      </c>
      <c r="F18">
        <v>400</v>
      </c>
      <c r="H18" s="27">
        <v>4631</v>
      </c>
      <c r="I18" s="120" t="s">
        <v>188</v>
      </c>
      <c r="J18" s="120" t="s">
        <v>88</v>
      </c>
      <c r="K18" s="27">
        <v>2966</v>
      </c>
      <c r="L18" s="27">
        <v>300</v>
      </c>
      <c r="N18" s="27">
        <v>-2.0276385146457998</v>
      </c>
      <c r="O18" s="27">
        <v>-5.86</v>
      </c>
      <c r="P18" s="27">
        <v>862000</v>
      </c>
      <c r="Q18" s="27">
        <v>889800</v>
      </c>
      <c r="R18" s="27">
        <v>3.12</v>
      </c>
      <c r="S18" s="27">
        <v>87079</v>
      </c>
      <c r="T18" s="27">
        <v>5442</v>
      </c>
      <c r="U18" s="134">
        <v>16</v>
      </c>
      <c r="V18" s="135">
        <v>7</v>
      </c>
      <c r="W18" s="135" t="s">
        <v>480</v>
      </c>
      <c r="X18" s="27">
        <v>43.75</v>
      </c>
      <c r="Y18" s="27">
        <v>10</v>
      </c>
      <c r="Z18" s="27">
        <v>0.93969439804280697</v>
      </c>
      <c r="AA18" s="27">
        <v>0.91125436170166596</v>
      </c>
      <c r="AB18" s="27">
        <v>8.1663484291497807E-2</v>
      </c>
      <c r="AC18" s="27">
        <v>3.0115742766118501E-3</v>
      </c>
    </row>
    <row r="19" spans="1:29">
      <c r="A19" s="136" t="s">
        <v>345</v>
      </c>
      <c r="B19" s="26">
        <v>1820</v>
      </c>
      <c r="C19" s="120" t="s">
        <v>161</v>
      </c>
      <c r="D19" s="120" t="s">
        <v>108</v>
      </c>
      <c r="E19">
        <v>2367</v>
      </c>
      <c r="F19">
        <v>400</v>
      </c>
      <c r="H19" s="27">
        <v>1860</v>
      </c>
      <c r="I19" s="120" t="s">
        <v>145</v>
      </c>
      <c r="J19" s="120" t="s">
        <v>108</v>
      </c>
      <c r="K19" s="27">
        <v>676</v>
      </c>
      <c r="L19" s="27">
        <v>1400</v>
      </c>
      <c r="N19" s="27">
        <v>2.3691553560014298</v>
      </c>
      <c r="O19" s="27">
        <v>6.23</v>
      </c>
      <c r="P19" s="27">
        <v>946800</v>
      </c>
      <c r="Q19" s="27">
        <v>946400</v>
      </c>
      <c r="R19" s="27">
        <v>0.04</v>
      </c>
      <c r="S19" s="27">
        <v>78101</v>
      </c>
      <c r="T19" s="27">
        <v>3550</v>
      </c>
      <c r="U19" s="134">
        <v>22</v>
      </c>
      <c r="V19" s="135">
        <v>13</v>
      </c>
      <c r="W19" s="135" t="s">
        <v>481</v>
      </c>
      <c r="X19" s="27">
        <v>59.09</v>
      </c>
      <c r="Y19" s="27">
        <v>14</v>
      </c>
      <c r="Z19" s="27">
        <v>0.95724298151049403</v>
      </c>
      <c r="AA19" s="27">
        <v>0.93521674914055197</v>
      </c>
      <c r="AB19" s="27">
        <v>0.13425901626296</v>
      </c>
      <c r="AC19" s="27">
        <v>4.3413647889942501E-2</v>
      </c>
    </row>
    <row r="20" spans="1:29">
      <c r="A20" s="136" t="s">
        <v>345</v>
      </c>
      <c r="B20" s="26">
        <v>5991</v>
      </c>
      <c r="C20" s="120" t="s">
        <v>149</v>
      </c>
      <c r="D20" s="120" t="s">
        <v>150</v>
      </c>
      <c r="E20">
        <v>957</v>
      </c>
      <c r="F20">
        <v>1100</v>
      </c>
      <c r="H20" s="149">
        <v>6472</v>
      </c>
      <c r="I20" s="120" t="s">
        <v>189</v>
      </c>
      <c r="J20" s="120" t="s">
        <v>133</v>
      </c>
      <c r="K20" s="27">
        <v>327</v>
      </c>
      <c r="L20" s="27">
        <v>3200</v>
      </c>
      <c r="N20" s="27">
        <v>2.9011814090250301</v>
      </c>
      <c r="O20" s="27">
        <v>8.74</v>
      </c>
      <c r="P20" s="27">
        <v>1052700</v>
      </c>
      <c r="Q20" s="27">
        <v>1046400</v>
      </c>
      <c r="R20" s="27">
        <v>0.6</v>
      </c>
      <c r="S20" s="27">
        <v>67824</v>
      </c>
      <c r="T20" s="27">
        <v>4239</v>
      </c>
      <c r="U20" s="134">
        <v>16</v>
      </c>
      <c r="V20" s="135">
        <v>7</v>
      </c>
      <c r="W20" s="135" t="s">
        <v>486</v>
      </c>
      <c r="X20" s="27">
        <v>43.75</v>
      </c>
      <c r="Y20" s="27">
        <v>14</v>
      </c>
      <c r="Z20" s="27">
        <v>0.94119933780181297</v>
      </c>
      <c r="AA20" s="27">
        <v>0.90229846874089503</v>
      </c>
      <c r="AB20" s="27">
        <v>4.4322808386941101E-3</v>
      </c>
      <c r="AC20" s="27">
        <v>0.143822844925173</v>
      </c>
    </row>
    <row r="21" spans="1:29">
      <c r="A21" s="136" t="s">
        <v>345</v>
      </c>
      <c r="B21" s="26">
        <v>8253</v>
      </c>
      <c r="C21" s="120" t="s">
        <v>459</v>
      </c>
      <c r="D21" s="120" t="s">
        <v>388</v>
      </c>
      <c r="E21">
        <v>1808</v>
      </c>
      <c r="F21">
        <v>600</v>
      </c>
      <c r="H21" s="27">
        <v>1808</v>
      </c>
      <c r="I21" s="120" t="s">
        <v>458</v>
      </c>
      <c r="J21" s="120" t="s">
        <v>108</v>
      </c>
      <c r="K21" s="27">
        <v>1401</v>
      </c>
      <c r="L21" s="27">
        <v>800</v>
      </c>
      <c r="N21" s="27">
        <v>-2.5311872947654499</v>
      </c>
      <c r="O21" s="27">
        <v>-16.079999999999998</v>
      </c>
      <c r="P21" s="27">
        <v>1084800</v>
      </c>
      <c r="Q21" s="27">
        <v>1120800</v>
      </c>
      <c r="R21" s="27">
        <v>3.32</v>
      </c>
      <c r="S21" s="27">
        <v>53774</v>
      </c>
      <c r="T21" s="27">
        <v>3361</v>
      </c>
      <c r="U21" s="134">
        <v>16</v>
      </c>
      <c r="V21" s="135">
        <v>8</v>
      </c>
      <c r="W21" s="135" t="s">
        <v>487</v>
      </c>
      <c r="X21" s="27">
        <v>50</v>
      </c>
      <c r="Y21" s="27">
        <v>11</v>
      </c>
      <c r="Z21" s="27">
        <v>0.96250361607774004</v>
      </c>
      <c r="AA21" s="27">
        <v>0.90521348629767495</v>
      </c>
      <c r="AB21" s="27">
        <v>1.7294800485008199E-2</v>
      </c>
      <c r="AC21" s="27">
        <v>9.1637372031378398E-3</v>
      </c>
    </row>
    <row r="22" spans="1:29">
      <c r="A22" s="136" t="s">
        <v>345</v>
      </c>
      <c r="B22" s="26">
        <v>1942</v>
      </c>
      <c r="C22" s="120" t="s">
        <v>107</v>
      </c>
      <c r="D22" s="120" t="s">
        <v>108</v>
      </c>
      <c r="E22">
        <v>1060</v>
      </c>
      <c r="F22">
        <v>1000</v>
      </c>
      <c r="H22" s="27">
        <v>1959</v>
      </c>
      <c r="I22" s="120" t="s">
        <v>204</v>
      </c>
      <c r="J22" s="120" t="s">
        <v>108</v>
      </c>
      <c r="K22" s="27">
        <v>3570</v>
      </c>
      <c r="L22" s="27">
        <v>300</v>
      </c>
      <c r="N22" s="27">
        <v>2.3639368481897001</v>
      </c>
      <c r="O22" s="27">
        <v>5.38</v>
      </c>
      <c r="P22" s="27">
        <v>1060000</v>
      </c>
      <c r="Q22" s="27">
        <v>1071000</v>
      </c>
      <c r="R22" s="27">
        <v>1.03</v>
      </c>
      <c r="S22" s="27">
        <v>-14484</v>
      </c>
      <c r="T22" s="27">
        <v>-1035</v>
      </c>
      <c r="U22" s="134">
        <v>14</v>
      </c>
      <c r="V22" s="135">
        <v>6</v>
      </c>
      <c r="W22" s="135" t="s">
        <v>473</v>
      </c>
      <c r="X22" s="27">
        <v>42.86</v>
      </c>
      <c r="Y22" s="27">
        <v>15</v>
      </c>
      <c r="Z22" s="27">
        <v>0.91415137729161799</v>
      </c>
      <c r="AA22" s="27">
        <v>0.92178320857826401</v>
      </c>
      <c r="AB22" s="27">
        <v>0.23395585964648799</v>
      </c>
      <c r="AC22" s="27">
        <v>1.30476526235303E-2</v>
      </c>
    </row>
    <row r="23" spans="1:29">
      <c r="A23" s="136" t="s">
        <v>345</v>
      </c>
      <c r="B23" s="26">
        <v>8002</v>
      </c>
      <c r="C23" s="120" t="s">
        <v>57</v>
      </c>
      <c r="D23" s="120" t="s">
        <v>135</v>
      </c>
      <c r="E23">
        <v>797.4</v>
      </c>
      <c r="F23">
        <v>1300</v>
      </c>
      <c r="H23" s="27">
        <v>8411</v>
      </c>
      <c r="I23" s="120" t="s">
        <v>160</v>
      </c>
      <c r="J23" s="120" t="s">
        <v>113</v>
      </c>
      <c r="K23" s="27">
        <v>168.8</v>
      </c>
      <c r="L23" s="27">
        <v>6100</v>
      </c>
      <c r="N23" s="27">
        <v>2.0731109766295899</v>
      </c>
      <c r="O23" s="27">
        <v>5.96</v>
      </c>
      <c r="P23" s="27">
        <v>1036620</v>
      </c>
      <c r="Q23" s="27">
        <v>1029680.0000000001</v>
      </c>
      <c r="R23" s="27">
        <v>0.67</v>
      </c>
      <c r="S23" s="27">
        <v>-50608</v>
      </c>
      <c r="T23" s="27">
        <v>-3615</v>
      </c>
      <c r="U23" s="134">
        <v>14</v>
      </c>
      <c r="V23" s="135">
        <v>8</v>
      </c>
      <c r="W23" s="135" t="s">
        <v>488</v>
      </c>
      <c r="X23" s="27">
        <v>57.14</v>
      </c>
      <c r="Y23" s="27">
        <v>16</v>
      </c>
      <c r="Z23" s="27">
        <v>0.92079357206647405</v>
      </c>
      <c r="AA23" s="27">
        <v>0.92455406286390596</v>
      </c>
      <c r="AB23" s="27">
        <v>0.373895895270068</v>
      </c>
      <c r="AC23" s="27">
        <v>1.39047955342792E-2</v>
      </c>
    </row>
    <row r="24" spans="1:29">
      <c r="A24" s="136" t="s">
        <v>345</v>
      </c>
      <c r="B24" s="26">
        <v>1820</v>
      </c>
      <c r="C24" s="120" t="s">
        <v>161</v>
      </c>
      <c r="D24" s="120" t="s">
        <v>108</v>
      </c>
      <c r="E24">
        <v>2367</v>
      </c>
      <c r="F24">
        <v>400</v>
      </c>
      <c r="H24" s="27">
        <v>5233</v>
      </c>
      <c r="I24" s="120" t="s">
        <v>205</v>
      </c>
      <c r="J24" s="120" t="s">
        <v>140</v>
      </c>
      <c r="K24" s="27">
        <v>3115</v>
      </c>
      <c r="L24" s="27">
        <v>300</v>
      </c>
      <c r="N24" s="27">
        <v>2.1979971267632599</v>
      </c>
      <c r="O24" s="27">
        <v>7.73</v>
      </c>
      <c r="P24" s="27">
        <v>946800</v>
      </c>
      <c r="Q24" s="27">
        <v>934500</v>
      </c>
      <c r="R24" s="27">
        <v>1.32</v>
      </c>
      <c r="S24" s="27">
        <v>-99124</v>
      </c>
      <c r="T24" s="27">
        <v>-8260</v>
      </c>
      <c r="U24" s="134">
        <v>12</v>
      </c>
      <c r="V24" s="135">
        <v>6</v>
      </c>
      <c r="W24" s="135" t="s">
        <v>489</v>
      </c>
      <c r="X24" s="27">
        <v>50</v>
      </c>
      <c r="Y24" s="27">
        <v>13</v>
      </c>
      <c r="Z24" s="27">
        <v>0.94899422347069395</v>
      </c>
      <c r="AA24" s="27">
        <v>0.90436919054021003</v>
      </c>
      <c r="AB24" s="27">
        <v>4.1015897655956701E-2</v>
      </c>
      <c r="AC24" s="27">
        <v>0.16388436450073701</v>
      </c>
    </row>
    <row r="25" spans="1:29">
      <c r="A25" s="136" t="s">
        <v>345</v>
      </c>
      <c r="B25" s="26">
        <v>8086</v>
      </c>
      <c r="C25" s="120" t="s">
        <v>392</v>
      </c>
      <c r="D25" s="120" t="s">
        <v>126</v>
      </c>
      <c r="E25">
        <v>1287</v>
      </c>
      <c r="F25">
        <v>800</v>
      </c>
      <c r="H25" s="27">
        <v>7182</v>
      </c>
      <c r="I25" s="120" t="s">
        <v>186</v>
      </c>
      <c r="J25" s="120" t="s">
        <v>113</v>
      </c>
      <c r="K25" s="27">
        <v>1051</v>
      </c>
      <c r="L25" s="27">
        <v>1000</v>
      </c>
      <c r="N25" s="27">
        <v>-2.6846739997023499</v>
      </c>
      <c r="O25" s="27">
        <v>-5.19</v>
      </c>
      <c r="P25" s="27">
        <v>1029600</v>
      </c>
      <c r="Q25" s="27">
        <v>1051000</v>
      </c>
      <c r="R25" s="27">
        <v>2.08</v>
      </c>
      <c r="S25" s="27">
        <v>-118301</v>
      </c>
      <c r="T25" s="27">
        <v>-9858</v>
      </c>
      <c r="U25" s="134">
        <v>12</v>
      </c>
      <c r="V25" s="135">
        <v>5</v>
      </c>
      <c r="W25" s="135" t="s">
        <v>490</v>
      </c>
      <c r="X25" s="27">
        <v>41.67</v>
      </c>
      <c r="Y25" s="27">
        <v>14</v>
      </c>
      <c r="Z25" s="27">
        <v>0.92311407251004496</v>
      </c>
      <c r="AA25" s="27">
        <v>0.93897292894170903</v>
      </c>
      <c r="AB25" s="27">
        <v>0.27161835690888397</v>
      </c>
      <c r="AC25" s="27">
        <v>3.59210091571249E-2</v>
      </c>
    </row>
    <row r="26" spans="1:29">
      <c r="A26" s="136" t="s">
        <v>345</v>
      </c>
      <c r="B26" s="26">
        <v>7202</v>
      </c>
      <c r="C26" s="120" t="s">
        <v>187</v>
      </c>
      <c r="D26" s="120" t="s">
        <v>115</v>
      </c>
      <c r="E26">
        <v>1298</v>
      </c>
      <c r="F26">
        <v>800</v>
      </c>
      <c r="H26" s="27">
        <v>7211</v>
      </c>
      <c r="I26" s="120" t="s">
        <v>56</v>
      </c>
      <c r="J26" s="120" t="s">
        <v>115</v>
      </c>
      <c r="K26" s="27">
        <v>487</v>
      </c>
      <c r="L26" s="27">
        <v>2100</v>
      </c>
      <c r="N26" s="27">
        <v>2.5141553610075702</v>
      </c>
      <c r="O26" s="27">
        <v>4.62</v>
      </c>
      <c r="P26" s="27">
        <v>1038400</v>
      </c>
      <c r="Q26" s="27">
        <v>1022700</v>
      </c>
      <c r="R26" s="27">
        <v>1.51</v>
      </c>
      <c r="S26" s="27">
        <v>-125493</v>
      </c>
      <c r="T26" s="27">
        <v>-6972</v>
      </c>
      <c r="U26" s="134">
        <v>18</v>
      </c>
      <c r="V26" s="135">
        <v>7</v>
      </c>
      <c r="W26" s="135" t="s">
        <v>482</v>
      </c>
      <c r="X26" s="27">
        <v>38.89</v>
      </c>
      <c r="Y26" s="27">
        <v>12</v>
      </c>
      <c r="Z26" s="27">
        <v>0.92371888601042995</v>
      </c>
      <c r="AA26" s="27">
        <v>0.97362674537539495</v>
      </c>
      <c r="AB26" s="27">
        <v>1.7457520050308501E-2</v>
      </c>
      <c r="AC26" s="27">
        <v>2.1500348950293399E-2</v>
      </c>
    </row>
    <row r="27" spans="1:29">
      <c r="A27" s="136" t="s">
        <v>345</v>
      </c>
      <c r="B27" s="26">
        <v>7167</v>
      </c>
      <c r="C27" s="120" t="s">
        <v>134</v>
      </c>
      <c r="D27" s="120" t="s">
        <v>113</v>
      </c>
      <c r="E27">
        <v>282</v>
      </c>
      <c r="F27">
        <v>3700</v>
      </c>
      <c r="H27" s="27">
        <v>5020</v>
      </c>
      <c r="I27" s="120" t="s">
        <v>173</v>
      </c>
      <c r="J27" s="120" t="s">
        <v>174</v>
      </c>
      <c r="K27" s="27">
        <v>479</v>
      </c>
      <c r="L27" s="27">
        <v>2200</v>
      </c>
      <c r="N27" s="27">
        <v>-2.6116730812309701</v>
      </c>
      <c r="O27" s="27">
        <v>-8.68</v>
      </c>
      <c r="P27" s="27">
        <v>1043400</v>
      </c>
      <c r="Q27" s="27">
        <v>1053800</v>
      </c>
      <c r="R27" s="27">
        <v>0.99</v>
      </c>
      <c r="S27" s="27">
        <v>-139732</v>
      </c>
      <c r="T27" s="27">
        <v>-8220</v>
      </c>
      <c r="U27" s="134">
        <v>17</v>
      </c>
      <c r="V27" s="135">
        <v>7</v>
      </c>
      <c r="W27" s="135" t="s">
        <v>442</v>
      </c>
      <c r="X27" s="27">
        <v>41.18</v>
      </c>
      <c r="Y27" s="27">
        <v>14</v>
      </c>
      <c r="Z27" s="27">
        <v>0.90220026226834604</v>
      </c>
      <c r="AA27" s="27">
        <v>0.92049665316837603</v>
      </c>
      <c r="AB27" s="27">
        <v>0.153083231877052</v>
      </c>
      <c r="AC27" s="27">
        <v>5.6906750530091301E-3</v>
      </c>
    </row>
    <row r="28" spans="1:29">
      <c r="A28" s="136" t="s">
        <v>345</v>
      </c>
      <c r="B28" s="26">
        <v>8002</v>
      </c>
      <c r="C28" s="120" t="s">
        <v>57</v>
      </c>
      <c r="D28" s="120" t="s">
        <v>135</v>
      </c>
      <c r="E28">
        <v>797.4</v>
      </c>
      <c r="F28">
        <v>1300</v>
      </c>
      <c r="H28" s="27">
        <v>8306</v>
      </c>
      <c r="I28" s="120" t="s">
        <v>207</v>
      </c>
      <c r="J28" s="120" t="s">
        <v>113</v>
      </c>
      <c r="K28" s="27">
        <v>571.9</v>
      </c>
      <c r="L28" s="27">
        <v>1800</v>
      </c>
      <c r="N28" s="27">
        <v>2.3141335560931702</v>
      </c>
      <c r="O28" s="27">
        <v>4.32</v>
      </c>
      <c r="P28" s="27">
        <v>1036620</v>
      </c>
      <c r="Q28" s="27">
        <v>1029420</v>
      </c>
      <c r="R28" s="27">
        <v>0.69</v>
      </c>
      <c r="S28" s="27">
        <v>-141734</v>
      </c>
      <c r="T28" s="27">
        <v>-9449</v>
      </c>
      <c r="U28" s="134">
        <v>15</v>
      </c>
      <c r="V28" s="135">
        <v>5</v>
      </c>
      <c r="W28" s="135" t="s">
        <v>468</v>
      </c>
      <c r="X28" s="27">
        <v>33.33</v>
      </c>
      <c r="Y28" s="27">
        <v>16</v>
      </c>
      <c r="Z28" s="27">
        <v>0.953653171764001</v>
      </c>
      <c r="AA28" s="27">
        <v>0.91448506874118995</v>
      </c>
      <c r="AB28" s="27">
        <v>0.239415885407988</v>
      </c>
      <c r="AC28" s="27">
        <v>7.5150090325833196E-2</v>
      </c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5" display="Select"/>
    <hyperlink ref="A6" display="Select"/>
    <hyperlink ref="A7" display="Select"/>
    <hyperlink ref="A8" display="Select"/>
    <hyperlink ref="A9" display="Select"/>
    <hyperlink ref="A10" display="Select"/>
    <hyperlink ref="A11" display="Select"/>
    <hyperlink ref="A12" display="Select"/>
    <hyperlink ref="A13" display="Select"/>
    <hyperlink ref="A14" display="Select"/>
    <hyperlink ref="A15" display="Select"/>
    <hyperlink ref="A16" display="Select"/>
    <hyperlink ref="A17" display="Select"/>
    <hyperlink ref="A18" display="Select"/>
    <hyperlink ref="A19" display="Select"/>
    <hyperlink ref="A20" display="Select"/>
    <hyperlink ref="A21" display="Select"/>
    <hyperlink ref="A22" display="Select"/>
    <hyperlink ref="A23" display="Select"/>
    <hyperlink ref="A24" display="Select"/>
    <hyperlink ref="A25" display="Select"/>
    <hyperlink ref="A26" display="Select"/>
    <hyperlink ref="A27" display="Select"/>
    <hyperlink ref="A28" display="Select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197" t="s">
        <v>210</v>
      </c>
      <c r="D2" s="190"/>
      <c r="E2">
        <v>8804</v>
      </c>
      <c r="G2" s="1" t="s">
        <v>32</v>
      </c>
    </row>
    <row r="3" spans="3:11">
      <c r="C3" s="197" t="s">
        <v>35</v>
      </c>
      <c r="D3" s="190"/>
      <c r="E3">
        <v>5711</v>
      </c>
    </row>
    <row r="4" spans="3:11">
      <c r="C4" s="197" t="s">
        <v>25</v>
      </c>
      <c r="D4" s="190"/>
    </row>
    <row r="5" spans="3:11">
      <c r="C5" s="197" t="s">
        <v>26</v>
      </c>
      <c r="D5" s="190"/>
    </row>
    <row r="6" spans="3:11">
      <c r="C6" s="197" t="s">
        <v>28</v>
      </c>
      <c r="D6" s="190"/>
    </row>
    <row r="7" spans="3:11">
      <c r="C7" s="197" t="s">
        <v>27</v>
      </c>
      <c r="D7" s="190"/>
    </row>
    <row r="8" spans="3:11">
      <c r="C8" s="197" t="s">
        <v>29</v>
      </c>
      <c r="D8" s="190"/>
      <c r="K8" s="1" t="s">
        <v>41</v>
      </c>
    </row>
    <row r="9" spans="3:11">
      <c r="C9" s="197" t="s">
        <v>20</v>
      </c>
      <c r="D9" s="190"/>
      <c r="K9" s="1" t="s">
        <v>42</v>
      </c>
    </row>
    <row r="10" spans="3:11">
      <c r="C10" s="197" t="s">
        <v>9</v>
      </c>
      <c r="D10" s="190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T777"/>
  <sheetViews>
    <sheetView showGridLines="0" workbookViewId="0">
      <selection activeCell="C17" sqref="C17"/>
    </sheetView>
  </sheetViews>
  <sheetFormatPr defaultRowHeight="14.25"/>
  <cols>
    <col min="1" max="1" width="10.875" customWidth="1"/>
  </cols>
  <sheetData>
    <row r="1" spans="1:20" ht="22.5" customHeight="1" thickBot="1">
      <c r="A1" s="198" t="s">
        <v>495</v>
      </c>
      <c r="B1" s="198"/>
      <c r="C1" s="198"/>
    </row>
    <row r="2" spans="1:2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5"/>
    </row>
    <row r="3" spans="1:20">
      <c r="B3" s="10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7"/>
    </row>
    <row r="4" spans="1:20">
      <c r="B4" s="106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7"/>
    </row>
    <row r="5" spans="1:20">
      <c r="B5" s="10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7"/>
    </row>
    <row r="6" spans="1:20">
      <c r="B6" s="106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7"/>
    </row>
    <row r="7" spans="1:20">
      <c r="B7" s="10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7"/>
    </row>
    <row r="8" spans="1:20">
      <c r="B8" s="106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7"/>
    </row>
    <row r="9" spans="1:20">
      <c r="B9" s="10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7"/>
    </row>
    <row r="10" spans="1:20">
      <c r="B10" s="106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7"/>
    </row>
    <row r="11" spans="1:20">
      <c r="B11" s="106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7"/>
    </row>
    <row r="12" spans="1:20">
      <c r="B12" s="106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7"/>
    </row>
    <row r="13" spans="1:20">
      <c r="B13" s="106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7"/>
    </row>
    <row r="14" spans="1:20">
      <c r="B14" s="106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7"/>
    </row>
    <row r="15" spans="1:20">
      <c r="B15" s="106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7"/>
    </row>
    <row r="16" spans="1:20">
      <c r="B16" s="106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7"/>
    </row>
    <row r="17" spans="2:20">
      <c r="B17" s="106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7"/>
    </row>
    <row r="18" spans="2:20">
      <c r="B18" s="106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7"/>
    </row>
    <row r="19" spans="2:20">
      <c r="B19" s="106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7"/>
    </row>
    <row r="20" spans="2:20">
      <c r="B20" s="106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7"/>
    </row>
    <row r="21" spans="2:20">
      <c r="B21" s="106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7"/>
    </row>
    <row r="22" spans="2:20">
      <c r="B22" s="106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7"/>
    </row>
    <row r="23" spans="2:20">
      <c r="B23" s="106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7"/>
    </row>
    <row r="24" spans="2:20">
      <c r="B24" s="106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7"/>
    </row>
    <row r="25" spans="2:20">
      <c r="B25" s="106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7"/>
    </row>
    <row r="26" spans="2:20">
      <c r="B26" s="106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7"/>
    </row>
    <row r="27" spans="2:20">
      <c r="B27" s="106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7"/>
    </row>
    <row r="28" spans="2:20">
      <c r="B28" s="106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7"/>
    </row>
    <row r="29" spans="2:20">
      <c r="B29" s="106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7"/>
    </row>
    <row r="30" spans="2:20">
      <c r="B30" s="106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7"/>
    </row>
    <row r="31" spans="2:20">
      <c r="B31" s="106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7"/>
    </row>
    <row r="32" spans="2:20">
      <c r="B32" s="106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7"/>
    </row>
    <row r="33" spans="1:20">
      <c r="B33" s="106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7"/>
    </row>
    <row r="34" spans="1:20">
      <c r="B34" s="106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7"/>
    </row>
    <row r="35" spans="1:20">
      <c r="B35" s="106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7"/>
    </row>
    <row r="36" spans="1:20">
      <c r="B36" s="106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7"/>
    </row>
    <row r="37" spans="1:20">
      <c r="B37" s="106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7"/>
    </row>
    <row r="38" spans="1:20" ht="15" thickBot="1">
      <c r="B38" s="108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10"/>
    </row>
    <row r="40" spans="1:20">
      <c r="A40" s="112" t="s">
        <v>352</v>
      </c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</row>
    <row r="41" spans="1:20">
      <c r="A41" s="115" t="s">
        <v>346</v>
      </c>
      <c r="B41" s="115" t="s">
        <v>491</v>
      </c>
      <c r="C41" s="115" t="s">
        <v>492</v>
      </c>
      <c r="D41" s="115" t="s">
        <v>493</v>
      </c>
      <c r="E41" s="115" t="s">
        <v>494</v>
      </c>
      <c r="F41" s="115" t="s">
        <v>347</v>
      </c>
      <c r="G41" s="115" t="s">
        <v>348</v>
      </c>
      <c r="H41" s="115" t="s">
        <v>349</v>
      </c>
      <c r="I41" s="115" t="s">
        <v>350</v>
      </c>
      <c r="J41" s="115" t="s">
        <v>351</v>
      </c>
      <c r="L41" s="115" t="s">
        <v>353</v>
      </c>
      <c r="M41" s="115" t="s">
        <v>354</v>
      </c>
      <c r="N41" s="115" t="s">
        <v>355</v>
      </c>
      <c r="O41" s="115" t="s">
        <v>356</v>
      </c>
    </row>
    <row r="42" spans="1:20">
      <c r="A42" s="19">
        <v>43790</v>
      </c>
      <c r="B42">
        <v>3475</v>
      </c>
      <c r="C42">
        <v>3510</v>
      </c>
      <c r="D42">
        <v>2553</v>
      </c>
      <c r="E42">
        <v>2545</v>
      </c>
      <c r="F42">
        <v>1.37917485265225</v>
      </c>
      <c r="G42">
        <v>1.2938334119150601</v>
      </c>
      <c r="H42">
        <v>3.7248698913650097E-2</v>
      </c>
      <c r="I42">
        <v>2.29112541447499</v>
      </c>
      <c r="J42">
        <v>6.19</v>
      </c>
      <c r="L42">
        <v>1.3310821108287101</v>
      </c>
      <c r="M42">
        <v>1.2565847130014101</v>
      </c>
      <c r="N42">
        <v>1.3683308097423603</v>
      </c>
      <c r="O42">
        <v>1.2193360140877598</v>
      </c>
    </row>
    <row r="43" spans="1:20">
      <c r="A43" s="19">
        <v>43789</v>
      </c>
      <c r="B43">
        <v>3500</v>
      </c>
      <c r="C43">
        <v>3490</v>
      </c>
      <c r="D43">
        <v>2560</v>
      </c>
      <c r="E43">
        <v>2558</v>
      </c>
      <c r="F43">
        <v>1.3643471462079699</v>
      </c>
      <c r="G43">
        <v>1.2934019146725999</v>
      </c>
      <c r="H43">
        <v>3.6436169234239597E-2</v>
      </c>
      <c r="I43">
        <v>1.9471100564739401</v>
      </c>
      <c r="J43">
        <v>5.2</v>
      </c>
      <c r="L43">
        <v>1.3298380839068396</v>
      </c>
      <c r="M43">
        <v>1.2569657454383603</v>
      </c>
      <c r="N43">
        <v>1.3662742531410792</v>
      </c>
      <c r="O43">
        <v>1.2205295762041206</v>
      </c>
    </row>
    <row r="44" spans="1:20">
      <c r="A44" s="19">
        <v>43788</v>
      </c>
      <c r="B44">
        <v>3470</v>
      </c>
      <c r="C44">
        <v>3500</v>
      </c>
      <c r="D44">
        <v>2559</v>
      </c>
      <c r="E44">
        <v>2564</v>
      </c>
      <c r="F44">
        <v>1.3650546021840799</v>
      </c>
      <c r="G44">
        <v>1.2926538920008801</v>
      </c>
      <c r="H44">
        <v>3.5536783071581701E-2</v>
      </c>
      <c r="I44">
        <v>2.03734564373385</v>
      </c>
      <c r="J44">
        <v>5.3</v>
      </c>
      <c r="L44">
        <v>1.3281906750724617</v>
      </c>
      <c r="M44">
        <v>1.2571171089292985</v>
      </c>
      <c r="N44">
        <v>1.3637274581440435</v>
      </c>
      <c r="O44">
        <v>1.2215803258577167</v>
      </c>
    </row>
    <row r="45" spans="1:20">
      <c r="A45" s="19">
        <v>43787</v>
      </c>
      <c r="B45">
        <v>3410</v>
      </c>
      <c r="C45">
        <v>3435</v>
      </c>
      <c r="D45">
        <v>2529</v>
      </c>
      <c r="E45">
        <v>2559</v>
      </c>
      <c r="F45">
        <v>1.3423212192262599</v>
      </c>
      <c r="G45">
        <v>1.29200712080629</v>
      </c>
      <c r="H45">
        <v>3.4643393653497903E-2</v>
      </c>
      <c r="I45">
        <v>1.4523432352847301</v>
      </c>
      <c r="J45">
        <v>3.75</v>
      </c>
      <c r="L45">
        <v>1.326650514459788</v>
      </c>
      <c r="M45">
        <v>1.257363727152792</v>
      </c>
      <c r="N45">
        <v>1.3612939081132858</v>
      </c>
      <c r="O45">
        <v>1.2227203334992942</v>
      </c>
    </row>
    <row r="46" spans="1:20">
      <c r="A46" s="19">
        <v>43784</v>
      </c>
      <c r="B46">
        <v>3370</v>
      </c>
      <c r="C46">
        <v>3390</v>
      </c>
      <c r="D46">
        <v>2516</v>
      </c>
      <c r="E46">
        <v>2533</v>
      </c>
      <c r="F46">
        <v>1.3383339913146399</v>
      </c>
      <c r="G46">
        <v>1.29194332284933</v>
      </c>
      <c r="H46">
        <v>3.4554971331618299E-2</v>
      </c>
      <c r="I46">
        <v>1.3425179265845999</v>
      </c>
      <c r="J46">
        <v>3.47</v>
      </c>
      <c r="L46">
        <v>1.3264982941809482</v>
      </c>
      <c r="M46">
        <v>1.2573883515177118</v>
      </c>
      <c r="N46">
        <v>1.3610532655125667</v>
      </c>
      <c r="O46">
        <v>1.2228333801860933</v>
      </c>
    </row>
    <row r="47" spans="1:20">
      <c r="A47" s="19">
        <v>43783</v>
      </c>
      <c r="B47">
        <v>3340</v>
      </c>
      <c r="C47">
        <v>3300</v>
      </c>
      <c r="D47">
        <v>2502</v>
      </c>
      <c r="E47">
        <v>2512</v>
      </c>
      <c r="F47">
        <v>1.31369426751592</v>
      </c>
      <c r="G47">
        <v>1.2915856293814401</v>
      </c>
      <c r="H47">
        <v>3.42100375215032E-2</v>
      </c>
      <c r="I47">
        <v>0.64626173299530998</v>
      </c>
      <c r="J47">
        <v>1.68</v>
      </c>
      <c r="L47">
        <v>1.3257956669029434</v>
      </c>
      <c r="M47">
        <v>1.2573755918599367</v>
      </c>
      <c r="N47">
        <v>1.3600057044244465</v>
      </c>
      <c r="O47">
        <v>1.2231655543384337</v>
      </c>
    </row>
    <row r="48" spans="1:20">
      <c r="A48" s="19">
        <v>43782</v>
      </c>
      <c r="B48">
        <v>3345</v>
      </c>
      <c r="C48">
        <v>3305</v>
      </c>
      <c r="D48">
        <v>2526</v>
      </c>
      <c r="E48">
        <v>2515</v>
      </c>
      <c r="F48">
        <v>1.3141153081510899</v>
      </c>
      <c r="G48">
        <v>1.2917435199795999</v>
      </c>
      <c r="H48">
        <v>3.43387963978799E-2</v>
      </c>
      <c r="I48">
        <v>0.65150181480644997</v>
      </c>
      <c r="J48">
        <v>1.7</v>
      </c>
      <c r="L48">
        <v>1.3260823163774798</v>
      </c>
      <c r="M48">
        <v>1.2574047235817201</v>
      </c>
      <c r="N48">
        <v>1.3604211127753598</v>
      </c>
      <c r="O48">
        <v>1.22306592718384</v>
      </c>
    </row>
    <row r="49" spans="1:15">
      <c r="A49" s="19">
        <v>43781</v>
      </c>
      <c r="B49">
        <v>3395</v>
      </c>
      <c r="C49">
        <v>3345</v>
      </c>
      <c r="D49">
        <v>2509</v>
      </c>
      <c r="E49">
        <v>2523</v>
      </c>
      <c r="F49">
        <v>1.32580261593341</v>
      </c>
      <c r="G49">
        <v>1.29175392496036</v>
      </c>
      <c r="H49">
        <v>3.4345691223414597E-2</v>
      </c>
      <c r="I49">
        <v>0.99135261979637501</v>
      </c>
      <c r="J49">
        <v>2.57</v>
      </c>
      <c r="L49">
        <v>1.3260996161837746</v>
      </c>
      <c r="M49">
        <v>1.2574082337369454</v>
      </c>
      <c r="N49">
        <v>1.3604453074071892</v>
      </c>
      <c r="O49">
        <v>1.2230625425135309</v>
      </c>
    </row>
    <row r="50" spans="1:15">
      <c r="A50" s="19">
        <v>43780</v>
      </c>
      <c r="B50">
        <v>3380</v>
      </c>
      <c r="C50">
        <v>3365</v>
      </c>
      <c r="D50">
        <v>2510</v>
      </c>
      <c r="E50">
        <v>2529</v>
      </c>
      <c r="F50">
        <v>1.3305654408857199</v>
      </c>
      <c r="G50">
        <v>1.2916633880236299</v>
      </c>
      <c r="H50">
        <v>3.4264672048411403E-2</v>
      </c>
      <c r="I50">
        <v>1.13534000287888</v>
      </c>
      <c r="J50">
        <v>2.92</v>
      </c>
      <c r="L50">
        <v>1.3259280600720413</v>
      </c>
      <c r="M50">
        <v>1.2573987159752185</v>
      </c>
      <c r="N50">
        <v>1.3601927321204528</v>
      </c>
      <c r="O50">
        <v>1.223134043926807</v>
      </c>
    </row>
    <row r="51" spans="1:15">
      <c r="A51" s="19">
        <v>43777</v>
      </c>
      <c r="B51">
        <v>3445</v>
      </c>
      <c r="C51">
        <v>3360</v>
      </c>
      <c r="D51">
        <v>2510</v>
      </c>
      <c r="E51">
        <v>2478</v>
      </c>
      <c r="F51">
        <v>1.35593220338983</v>
      </c>
      <c r="G51">
        <v>1.29197472431383</v>
      </c>
      <c r="H51">
        <v>3.4719790226289397E-2</v>
      </c>
      <c r="I51">
        <v>1.84210442111388</v>
      </c>
      <c r="J51">
        <v>4.72</v>
      </c>
      <c r="L51">
        <v>1.3266945145401194</v>
      </c>
      <c r="M51">
        <v>1.2572549340875405</v>
      </c>
      <c r="N51">
        <v>1.3614143047664087</v>
      </c>
      <c r="O51">
        <v>1.2225351438612513</v>
      </c>
    </row>
    <row r="52" spans="1:15">
      <c r="A52" s="19">
        <v>43776</v>
      </c>
      <c r="B52">
        <v>3435</v>
      </c>
      <c r="C52">
        <v>3460</v>
      </c>
      <c r="D52">
        <v>2510</v>
      </c>
      <c r="E52">
        <v>2503</v>
      </c>
      <c r="F52">
        <v>1.3823411905713101</v>
      </c>
      <c r="G52">
        <v>1.29207067482357</v>
      </c>
      <c r="H52">
        <v>3.4905853661224402E-2</v>
      </c>
      <c r="I52">
        <v>2.5861139688446801</v>
      </c>
      <c r="J52">
        <v>6.53</v>
      </c>
      <c r="L52">
        <v>1.3269765284847943</v>
      </c>
      <c r="M52">
        <v>1.2571648211623456</v>
      </c>
      <c r="N52">
        <v>1.3618823821460189</v>
      </c>
      <c r="O52">
        <v>1.2222589675011211</v>
      </c>
    </row>
    <row r="53" spans="1:15">
      <c r="A53" s="19">
        <v>43775</v>
      </c>
      <c r="B53">
        <v>3440</v>
      </c>
      <c r="C53">
        <v>3450</v>
      </c>
      <c r="D53">
        <v>2576</v>
      </c>
      <c r="E53">
        <v>2511</v>
      </c>
      <c r="F53">
        <v>1.3739545997610501</v>
      </c>
      <c r="G53">
        <v>1.2918497051236</v>
      </c>
      <c r="H53">
        <v>3.4382230370819597E-2</v>
      </c>
      <c r="I53">
        <v>2.38800373774259</v>
      </c>
      <c r="J53">
        <v>5.98</v>
      </c>
      <c r="L53">
        <v>1.3262319354944196</v>
      </c>
      <c r="M53">
        <v>1.2574674747527803</v>
      </c>
      <c r="N53">
        <v>1.3606141658652391</v>
      </c>
      <c r="O53">
        <v>1.2230852443819609</v>
      </c>
    </row>
    <row r="54" spans="1:15">
      <c r="A54" s="19">
        <v>43774</v>
      </c>
      <c r="B54">
        <v>3475</v>
      </c>
      <c r="C54">
        <v>3425</v>
      </c>
      <c r="D54">
        <v>2595</v>
      </c>
      <c r="E54">
        <v>2578</v>
      </c>
      <c r="F54">
        <v>1.3285492629945601</v>
      </c>
      <c r="G54">
        <v>1.2917433008986301</v>
      </c>
      <c r="H54">
        <v>3.4139463491455899E-2</v>
      </c>
      <c r="I54">
        <v>1.07810604888809</v>
      </c>
      <c r="J54">
        <v>2.77</v>
      </c>
      <c r="L54">
        <v>1.3258827643900859</v>
      </c>
      <c r="M54">
        <v>1.2576038374071743</v>
      </c>
      <c r="N54">
        <v>1.3600222278815419</v>
      </c>
      <c r="O54">
        <v>1.2234643739157183</v>
      </c>
    </row>
    <row r="55" spans="1:15">
      <c r="A55" s="19">
        <v>43770</v>
      </c>
      <c r="B55">
        <v>3410</v>
      </c>
      <c r="C55">
        <v>3440</v>
      </c>
      <c r="D55">
        <v>2530</v>
      </c>
      <c r="E55">
        <v>2546</v>
      </c>
      <c r="F55">
        <v>1.3511390416339299</v>
      </c>
      <c r="G55">
        <v>1.29205665447537</v>
      </c>
      <c r="H55">
        <v>3.45808562872683E-2</v>
      </c>
      <c r="I55">
        <v>1.7085287497728101</v>
      </c>
      <c r="J55">
        <v>4.37</v>
      </c>
      <c r="L55">
        <v>1.3266375107626383</v>
      </c>
      <c r="M55">
        <v>1.2574757981881017</v>
      </c>
      <c r="N55">
        <v>1.3612183670499065</v>
      </c>
      <c r="O55">
        <v>1.2228949419008335</v>
      </c>
    </row>
    <row r="56" spans="1:15">
      <c r="A56" s="19">
        <v>43769</v>
      </c>
      <c r="B56">
        <v>3325</v>
      </c>
      <c r="C56">
        <v>3430</v>
      </c>
      <c r="D56">
        <v>2501</v>
      </c>
      <c r="E56">
        <v>2505</v>
      </c>
      <c r="F56">
        <v>1.3692614770459</v>
      </c>
      <c r="G56">
        <v>1.29222387241904</v>
      </c>
      <c r="H56">
        <v>3.4895043607179703E-2</v>
      </c>
      <c r="I56">
        <v>2.2076947515552501</v>
      </c>
      <c r="J56">
        <v>5.63</v>
      </c>
      <c r="L56">
        <v>1.3271189160262198</v>
      </c>
      <c r="M56">
        <v>1.2573288288118603</v>
      </c>
      <c r="N56">
        <v>1.3620139596333993</v>
      </c>
      <c r="O56">
        <v>1.2224337852046807</v>
      </c>
    </row>
    <row r="57" spans="1:15">
      <c r="A57" s="19">
        <v>43768</v>
      </c>
      <c r="B57">
        <v>3200</v>
      </c>
      <c r="C57">
        <v>3255</v>
      </c>
      <c r="D57">
        <v>2479</v>
      </c>
      <c r="E57">
        <v>2492</v>
      </c>
      <c r="F57">
        <v>1.3061797752808899</v>
      </c>
      <c r="G57">
        <v>1.2923323270903699</v>
      </c>
      <c r="H57">
        <v>3.5146047619764698E-2</v>
      </c>
      <c r="I57">
        <v>0.39399730918070303</v>
      </c>
      <c r="J57">
        <v>1.06</v>
      </c>
      <c r="L57">
        <v>1.3274783747101346</v>
      </c>
      <c r="M57">
        <v>1.2571862794706052</v>
      </c>
      <c r="N57">
        <v>1.3626244223298993</v>
      </c>
      <c r="O57">
        <v>1.2220402318508405</v>
      </c>
    </row>
    <row r="58" spans="1:15">
      <c r="A58" s="19">
        <v>43767</v>
      </c>
      <c r="B58">
        <v>3145</v>
      </c>
      <c r="C58">
        <v>3105</v>
      </c>
      <c r="D58">
        <v>2469</v>
      </c>
      <c r="E58">
        <v>2476</v>
      </c>
      <c r="F58">
        <v>1.25403877221324</v>
      </c>
      <c r="G58">
        <v>1.2934546375290199</v>
      </c>
      <c r="H58">
        <v>3.6871885060700098E-2</v>
      </c>
      <c r="I58">
        <v>-1.0689951232732999</v>
      </c>
      <c r="J58">
        <v>-3.14</v>
      </c>
      <c r="L58">
        <v>1.3303265225897201</v>
      </c>
      <c r="M58">
        <v>1.2565827524683197</v>
      </c>
      <c r="N58">
        <v>1.36719840765042</v>
      </c>
      <c r="O58">
        <v>1.2197108674076198</v>
      </c>
    </row>
    <row r="59" spans="1:15">
      <c r="A59" s="19">
        <v>43766</v>
      </c>
      <c r="B59">
        <v>3100</v>
      </c>
      <c r="C59">
        <v>3115</v>
      </c>
      <c r="D59">
        <v>2449</v>
      </c>
      <c r="E59">
        <v>2441</v>
      </c>
      <c r="F59">
        <v>1.27611634575993</v>
      </c>
      <c r="G59">
        <v>1.2953155391475999</v>
      </c>
      <c r="H59">
        <v>3.8328794274269697E-2</v>
      </c>
      <c r="I59">
        <v>-0.50090783577187903</v>
      </c>
      <c r="J59">
        <v>-1.5</v>
      </c>
      <c r="L59">
        <v>1.3336443334218695</v>
      </c>
      <c r="M59">
        <v>1.2569867448733303</v>
      </c>
      <c r="N59">
        <v>1.3719731276961393</v>
      </c>
      <c r="O59">
        <v>1.2186579505990605</v>
      </c>
    </row>
    <row r="60" spans="1:15">
      <c r="A60" s="19">
        <v>43763</v>
      </c>
      <c r="B60">
        <v>3080</v>
      </c>
      <c r="C60">
        <v>3095</v>
      </c>
      <c r="D60">
        <v>2398</v>
      </c>
      <c r="E60">
        <v>2419</v>
      </c>
      <c r="F60">
        <v>1.2794543199669199</v>
      </c>
      <c r="G60">
        <v>1.2967884914868399</v>
      </c>
      <c r="H60">
        <v>3.96621612223515E-2</v>
      </c>
      <c r="I60">
        <v>-0.43704556145443801</v>
      </c>
      <c r="J60">
        <v>-1.35</v>
      </c>
      <c r="L60">
        <v>1.3364506527091915</v>
      </c>
      <c r="M60">
        <v>1.2571263302644884</v>
      </c>
      <c r="N60">
        <v>1.3761128139315431</v>
      </c>
      <c r="O60">
        <v>1.2174641690421368</v>
      </c>
    </row>
    <row r="61" spans="1:15">
      <c r="A61" s="19">
        <v>43762</v>
      </c>
      <c r="B61">
        <v>3050</v>
      </c>
      <c r="C61">
        <v>3060</v>
      </c>
      <c r="D61">
        <v>2400</v>
      </c>
      <c r="E61">
        <v>2407</v>
      </c>
      <c r="F61">
        <v>1.27129206481096</v>
      </c>
      <c r="G61">
        <v>1.2981257250265199</v>
      </c>
      <c r="H61">
        <v>4.07314827091253E-2</v>
      </c>
      <c r="I61">
        <v>-0.65879409318800197</v>
      </c>
      <c r="J61">
        <v>-2.11</v>
      </c>
      <c r="L61">
        <v>1.3388572077356451</v>
      </c>
      <c r="M61">
        <v>1.2573942423173947</v>
      </c>
      <c r="N61">
        <v>1.3795886904447705</v>
      </c>
      <c r="O61">
        <v>1.2166627596082693</v>
      </c>
    </row>
    <row r="62" spans="1:15">
      <c r="A62" s="19">
        <v>43761</v>
      </c>
      <c r="B62">
        <v>3085</v>
      </c>
      <c r="C62">
        <v>3090</v>
      </c>
      <c r="D62">
        <v>2421</v>
      </c>
      <c r="E62">
        <v>2389</v>
      </c>
      <c r="F62">
        <v>1.2934282126412699</v>
      </c>
      <c r="G62">
        <v>1.2994441128176299</v>
      </c>
      <c r="H62">
        <v>4.1435759614844699E-2</v>
      </c>
      <c r="I62">
        <v>-0.145186192609633</v>
      </c>
      <c r="J62">
        <v>-0.47</v>
      </c>
      <c r="L62">
        <v>1.3408798724324746</v>
      </c>
      <c r="M62">
        <v>1.2580083532027853</v>
      </c>
      <c r="N62">
        <v>1.3823156320473193</v>
      </c>
      <c r="O62">
        <v>1.2165725935879406</v>
      </c>
    </row>
    <row r="63" spans="1:15">
      <c r="A63" s="19">
        <v>43759</v>
      </c>
      <c r="B63">
        <v>3055</v>
      </c>
      <c r="C63">
        <v>3085</v>
      </c>
      <c r="D63">
        <v>2405</v>
      </c>
      <c r="E63">
        <v>2424</v>
      </c>
      <c r="F63">
        <v>1.2726897689768899</v>
      </c>
      <c r="G63">
        <v>1.3002444358282299</v>
      </c>
      <c r="H63">
        <v>4.1889033175197599E-2</v>
      </c>
      <c r="I63">
        <v>-0.65780145213872498</v>
      </c>
      <c r="J63">
        <v>-2.17</v>
      </c>
      <c r="L63">
        <v>1.3421334690034274</v>
      </c>
      <c r="M63">
        <v>1.2583554026530324</v>
      </c>
      <c r="N63">
        <v>1.3840225021786252</v>
      </c>
      <c r="O63">
        <v>1.2164663694778346</v>
      </c>
    </row>
    <row r="64" spans="1:15">
      <c r="A64" s="19">
        <v>43756</v>
      </c>
      <c r="B64">
        <v>3075</v>
      </c>
      <c r="C64">
        <v>3050</v>
      </c>
      <c r="D64">
        <v>2405</v>
      </c>
      <c r="E64">
        <v>2380</v>
      </c>
      <c r="F64">
        <v>1.28151260504201</v>
      </c>
      <c r="G64">
        <v>1.3012800581856401</v>
      </c>
      <c r="H64">
        <v>4.2154295791050497E-2</v>
      </c>
      <c r="I64">
        <v>-0.46893093035196798</v>
      </c>
      <c r="J64">
        <v>-1.54</v>
      </c>
      <c r="L64">
        <v>1.3434343539766906</v>
      </c>
      <c r="M64">
        <v>1.2591257623945895</v>
      </c>
      <c r="N64">
        <v>1.385588649767741</v>
      </c>
      <c r="O64">
        <v>1.2169714666035392</v>
      </c>
    </row>
    <row r="65" spans="1:15">
      <c r="A65" s="19">
        <v>43755</v>
      </c>
      <c r="B65">
        <v>3065</v>
      </c>
      <c r="C65">
        <v>3080</v>
      </c>
      <c r="D65">
        <v>2368</v>
      </c>
      <c r="E65">
        <v>2389</v>
      </c>
      <c r="F65">
        <v>1.28924236082042</v>
      </c>
      <c r="G65">
        <v>1.3024741877077699</v>
      </c>
      <c r="H65">
        <v>4.2840340897845199E-2</v>
      </c>
      <c r="I65">
        <v>-0.308863716068564</v>
      </c>
      <c r="J65">
        <v>-1.03</v>
      </c>
      <c r="L65">
        <v>1.3453145286056152</v>
      </c>
      <c r="M65">
        <v>1.2596338468099246</v>
      </c>
      <c r="N65">
        <v>1.3881548695034602</v>
      </c>
      <c r="O65">
        <v>1.2167935059120796</v>
      </c>
    </row>
    <row r="66" spans="1:15">
      <c r="A66" s="19">
        <v>43754</v>
      </c>
      <c r="B66">
        <v>3090</v>
      </c>
      <c r="C66">
        <v>3070</v>
      </c>
      <c r="D66">
        <v>2397</v>
      </c>
      <c r="E66">
        <v>2352</v>
      </c>
      <c r="F66">
        <v>1.30527210884353</v>
      </c>
      <c r="G66">
        <v>1.3040062588772801</v>
      </c>
      <c r="H66">
        <v>4.4367178412863299E-2</v>
      </c>
      <c r="I66">
        <v>2.8531225368350701E-2</v>
      </c>
      <c r="J66">
        <v>0.1</v>
      </c>
      <c r="L66">
        <v>1.3483734372901433</v>
      </c>
      <c r="M66">
        <v>1.2596390804644169</v>
      </c>
      <c r="N66">
        <v>1.3927406157030067</v>
      </c>
      <c r="O66">
        <v>1.2152719020515534</v>
      </c>
    </row>
    <row r="67" spans="1:15">
      <c r="A67" s="19">
        <v>43753</v>
      </c>
      <c r="B67">
        <v>3110</v>
      </c>
      <c r="C67">
        <v>3110</v>
      </c>
      <c r="D67">
        <v>2380</v>
      </c>
      <c r="E67">
        <v>2386</v>
      </c>
      <c r="F67">
        <v>1.30343671416596</v>
      </c>
      <c r="G67">
        <v>1.3055643793932401</v>
      </c>
      <c r="H67">
        <v>4.63901276140972E-2</v>
      </c>
      <c r="I67">
        <v>-4.5864612509351102E-2</v>
      </c>
      <c r="J67">
        <v>-0.16</v>
      </c>
      <c r="L67">
        <v>1.3519545070073373</v>
      </c>
      <c r="M67">
        <v>1.2591742517791429</v>
      </c>
      <c r="N67">
        <v>1.3983446346214345</v>
      </c>
      <c r="O67">
        <v>1.2127841241650457</v>
      </c>
    </row>
    <row r="68" spans="1:15">
      <c r="A68" s="19">
        <v>43749</v>
      </c>
      <c r="B68">
        <v>3085</v>
      </c>
      <c r="C68">
        <v>3080</v>
      </c>
      <c r="D68">
        <v>2362</v>
      </c>
      <c r="E68">
        <v>2350</v>
      </c>
      <c r="F68">
        <v>1.3106382978723401</v>
      </c>
      <c r="G68">
        <v>1.30721060391502</v>
      </c>
      <c r="H68">
        <v>4.8431217140826002E-2</v>
      </c>
      <c r="I68">
        <v>7.0774474805057899E-2</v>
      </c>
      <c r="J68">
        <v>0.26</v>
      </c>
      <c r="L68">
        <v>1.3556418210558461</v>
      </c>
      <c r="M68">
        <v>1.2587793867741939</v>
      </c>
      <c r="N68">
        <v>1.404073038196672</v>
      </c>
      <c r="O68">
        <v>1.210348169633368</v>
      </c>
    </row>
    <row r="69" spans="1:15">
      <c r="A69" s="19">
        <v>43748</v>
      </c>
      <c r="B69">
        <v>3095</v>
      </c>
      <c r="C69">
        <v>3060</v>
      </c>
      <c r="D69">
        <v>2372</v>
      </c>
      <c r="E69">
        <v>2374</v>
      </c>
      <c r="F69">
        <v>1.2889637742207201</v>
      </c>
      <c r="G69">
        <v>1.3088130800519</v>
      </c>
      <c r="H69">
        <v>5.0463800810185498E-2</v>
      </c>
      <c r="I69">
        <v>-0.39333751149354101</v>
      </c>
      <c r="J69">
        <v>-1.54</v>
      </c>
      <c r="L69">
        <v>1.3592768808620854</v>
      </c>
      <c r="M69">
        <v>1.2583492792417146</v>
      </c>
      <c r="N69">
        <v>1.4097406816722711</v>
      </c>
      <c r="O69">
        <v>1.2078854784315289</v>
      </c>
    </row>
    <row r="70" spans="1:15">
      <c r="A70" s="19">
        <v>43747</v>
      </c>
      <c r="B70">
        <v>3065</v>
      </c>
      <c r="C70">
        <v>3110</v>
      </c>
      <c r="D70">
        <v>2319</v>
      </c>
      <c r="E70">
        <v>2367</v>
      </c>
      <c r="F70">
        <v>1.31389945078158</v>
      </c>
      <c r="G70">
        <v>1.31081272504492</v>
      </c>
      <c r="H70">
        <v>5.25652640954926E-2</v>
      </c>
      <c r="I70">
        <v>5.87217773898552E-2</v>
      </c>
      <c r="J70">
        <v>0.23</v>
      </c>
      <c r="L70">
        <v>1.3633779891404125</v>
      </c>
      <c r="M70">
        <v>1.2582474609494274</v>
      </c>
      <c r="N70">
        <v>1.4159432532359051</v>
      </c>
      <c r="O70">
        <v>1.2056821968539349</v>
      </c>
    </row>
    <row r="71" spans="1:15">
      <c r="A71" s="19">
        <v>43746</v>
      </c>
      <c r="B71">
        <v>3040</v>
      </c>
      <c r="C71">
        <v>3065</v>
      </c>
      <c r="D71">
        <v>2296</v>
      </c>
      <c r="E71">
        <v>2298</v>
      </c>
      <c r="F71">
        <v>1.3337684943429</v>
      </c>
      <c r="G71">
        <v>1.31283921166179</v>
      </c>
      <c r="H71">
        <v>5.5493327155952898E-2</v>
      </c>
      <c r="I71">
        <v>0.37714953767853099</v>
      </c>
      <c r="J71">
        <v>1.57</v>
      </c>
      <c r="L71">
        <v>1.368332538817743</v>
      </c>
      <c r="M71">
        <v>1.257345884505837</v>
      </c>
      <c r="N71">
        <v>1.4238258659736958</v>
      </c>
      <c r="O71">
        <v>1.2018525573498842</v>
      </c>
    </row>
    <row r="72" spans="1:15">
      <c r="A72" s="19">
        <v>43745</v>
      </c>
      <c r="B72">
        <v>3005</v>
      </c>
      <c r="C72">
        <v>3040</v>
      </c>
      <c r="D72">
        <v>2275</v>
      </c>
      <c r="E72">
        <v>2287</v>
      </c>
      <c r="F72">
        <v>1.32925229558373</v>
      </c>
      <c r="G72">
        <v>1.3148271577389199</v>
      </c>
      <c r="H72">
        <v>5.8780649200713901E-2</v>
      </c>
      <c r="I72">
        <v>0.245406235571659</v>
      </c>
      <c r="J72">
        <v>1.0900000000000001</v>
      </c>
      <c r="L72">
        <v>1.3736078069396338</v>
      </c>
      <c r="M72">
        <v>1.256046508538206</v>
      </c>
      <c r="N72">
        <v>1.4323884561403477</v>
      </c>
      <c r="O72">
        <v>1.1972658593374921</v>
      </c>
    </row>
    <row r="73" spans="1:15">
      <c r="A73" s="19">
        <v>43742</v>
      </c>
      <c r="B73">
        <v>2968</v>
      </c>
      <c r="C73">
        <v>3005</v>
      </c>
      <c r="D73">
        <v>2260</v>
      </c>
      <c r="E73">
        <v>2271</v>
      </c>
      <c r="F73">
        <v>1.32320563628357</v>
      </c>
      <c r="G73">
        <v>1.31616682042403</v>
      </c>
      <c r="H73">
        <v>6.0221440288186899E-2</v>
      </c>
      <c r="I73">
        <v>0.11688222377042801</v>
      </c>
      <c r="J73">
        <v>0.53</v>
      </c>
      <c r="L73">
        <v>1.3763882607122169</v>
      </c>
      <c r="M73">
        <v>1.2559453801358431</v>
      </c>
      <c r="N73">
        <v>1.4366097010004037</v>
      </c>
      <c r="O73">
        <v>1.1957239398476562</v>
      </c>
    </row>
    <row r="74" spans="1:15">
      <c r="A74" s="19">
        <v>43741</v>
      </c>
      <c r="B74">
        <v>2940</v>
      </c>
      <c r="C74">
        <v>2989</v>
      </c>
      <c r="D74">
        <v>2259</v>
      </c>
      <c r="E74">
        <v>2256</v>
      </c>
      <c r="F74">
        <v>1.3249113475177301</v>
      </c>
      <c r="G74">
        <v>1.31745701053533</v>
      </c>
      <c r="H74">
        <v>6.1383746955871198E-2</v>
      </c>
      <c r="I74">
        <v>0.121438285410524</v>
      </c>
      <c r="J74">
        <v>0.56000000000000005</v>
      </c>
      <c r="L74">
        <v>1.3788407574912012</v>
      </c>
      <c r="M74">
        <v>1.2560732635794589</v>
      </c>
      <c r="N74">
        <v>1.4402245044470725</v>
      </c>
      <c r="O74">
        <v>1.1946895166235876</v>
      </c>
    </row>
    <row r="75" spans="1:15">
      <c r="A75" s="19">
        <v>43740</v>
      </c>
      <c r="B75">
        <v>2932</v>
      </c>
      <c r="C75">
        <v>2984</v>
      </c>
      <c r="D75">
        <v>2321</v>
      </c>
      <c r="E75">
        <v>2298</v>
      </c>
      <c r="F75">
        <v>1.2985204525674401</v>
      </c>
      <c r="G75">
        <v>1.31853116105931</v>
      </c>
      <c r="H75">
        <v>6.2204177528982302E-2</v>
      </c>
      <c r="I75">
        <v>-0.32169396472670098</v>
      </c>
      <c r="J75">
        <v>-1.54</v>
      </c>
      <c r="L75">
        <v>1.3807353385882923</v>
      </c>
      <c r="M75">
        <v>1.2563269835303277</v>
      </c>
      <c r="N75">
        <v>1.4429395161172747</v>
      </c>
      <c r="O75">
        <v>1.1941228060013453</v>
      </c>
    </row>
    <row r="76" spans="1:15">
      <c r="A76" s="19">
        <v>43739</v>
      </c>
      <c r="B76">
        <v>2926</v>
      </c>
      <c r="C76">
        <v>2949</v>
      </c>
      <c r="D76">
        <v>2332</v>
      </c>
      <c r="E76">
        <v>2324</v>
      </c>
      <c r="F76">
        <v>1.26893287435456</v>
      </c>
      <c r="G76">
        <v>1.3199281997027399</v>
      </c>
      <c r="H76">
        <v>6.2911646710583899E-2</v>
      </c>
      <c r="I76">
        <v>-0.81058640195472698</v>
      </c>
      <c r="J76">
        <v>-4.0199999999999996</v>
      </c>
      <c r="L76">
        <v>1.3828398464133238</v>
      </c>
      <c r="M76">
        <v>1.257016552992156</v>
      </c>
      <c r="N76">
        <v>1.4457514931239077</v>
      </c>
      <c r="O76">
        <v>1.1941049062815721</v>
      </c>
    </row>
    <row r="77" spans="1:15">
      <c r="A77" s="19">
        <v>43738</v>
      </c>
      <c r="B77">
        <v>2924</v>
      </c>
      <c r="C77">
        <v>2931</v>
      </c>
      <c r="D77">
        <v>2324</v>
      </c>
      <c r="E77">
        <v>2347</v>
      </c>
      <c r="F77">
        <v>1.2488282914358699</v>
      </c>
      <c r="G77">
        <v>1.32152652230093</v>
      </c>
      <c r="H77">
        <v>6.3118177488658694E-2</v>
      </c>
      <c r="I77">
        <v>-1.1517796260534501</v>
      </c>
      <c r="J77">
        <v>-5.82</v>
      </c>
      <c r="L77">
        <v>1.3846446997895887</v>
      </c>
      <c r="M77">
        <v>1.2584083448122714</v>
      </c>
      <c r="N77">
        <v>1.4477628772782474</v>
      </c>
      <c r="O77">
        <v>1.1952901673236127</v>
      </c>
    </row>
    <row r="78" spans="1:15">
      <c r="A78" s="19">
        <v>43735</v>
      </c>
      <c r="B78">
        <v>2985</v>
      </c>
      <c r="C78">
        <v>2983</v>
      </c>
      <c r="D78">
        <v>2354</v>
      </c>
      <c r="E78">
        <v>2342</v>
      </c>
      <c r="F78">
        <v>1.27369769427839</v>
      </c>
      <c r="G78">
        <v>1.32314756726046</v>
      </c>
      <c r="H78">
        <v>6.2790654944575794E-2</v>
      </c>
      <c r="I78">
        <v>-0.78753555008652198</v>
      </c>
      <c r="J78">
        <v>-3.88</v>
      </c>
      <c r="L78">
        <v>1.3859382222050358</v>
      </c>
      <c r="M78">
        <v>1.2603569123158842</v>
      </c>
      <c r="N78">
        <v>1.4487288771496116</v>
      </c>
      <c r="O78">
        <v>1.1975662573713084</v>
      </c>
    </row>
    <row r="79" spans="1:15">
      <c r="A79" s="19">
        <v>43734</v>
      </c>
      <c r="B79">
        <v>2987</v>
      </c>
      <c r="C79">
        <v>2987</v>
      </c>
      <c r="D79">
        <v>2346</v>
      </c>
      <c r="E79">
        <v>2339</v>
      </c>
      <c r="F79">
        <v>1.2770414707139801</v>
      </c>
      <c r="G79">
        <v>1.32439849365274</v>
      </c>
      <c r="H79">
        <v>6.2727557676284601E-2</v>
      </c>
      <c r="I79">
        <v>-0.75496360281012997</v>
      </c>
      <c r="J79">
        <v>-3.71</v>
      </c>
      <c r="L79">
        <v>1.3871260513290247</v>
      </c>
      <c r="M79">
        <v>1.2616709359764553</v>
      </c>
      <c r="N79">
        <v>1.4498536090053091</v>
      </c>
      <c r="O79">
        <v>1.1989433783001708</v>
      </c>
    </row>
    <row r="80" spans="1:15">
      <c r="A80" s="19">
        <v>43733</v>
      </c>
      <c r="B80">
        <v>2954</v>
      </c>
      <c r="C80">
        <v>2972</v>
      </c>
      <c r="D80">
        <v>2318</v>
      </c>
      <c r="E80">
        <v>2338</v>
      </c>
      <c r="F80">
        <v>1.27117194183062</v>
      </c>
      <c r="G80">
        <v>1.3257602459747999</v>
      </c>
      <c r="H80">
        <v>6.27932540543686E-2</v>
      </c>
      <c r="I80">
        <v>-0.86933389527659299</v>
      </c>
      <c r="J80">
        <v>-4.29</v>
      </c>
      <c r="L80">
        <v>1.3885535000291684</v>
      </c>
      <c r="M80">
        <v>1.2629669919204314</v>
      </c>
      <c r="N80">
        <v>1.4513467540835372</v>
      </c>
      <c r="O80">
        <v>1.2001737378660626</v>
      </c>
    </row>
    <row r="81" spans="1:15">
      <c r="A81" s="19">
        <v>43732</v>
      </c>
      <c r="B81">
        <v>2953</v>
      </c>
      <c r="C81">
        <v>2963</v>
      </c>
      <c r="D81">
        <v>2309</v>
      </c>
      <c r="E81">
        <v>2324</v>
      </c>
      <c r="F81">
        <v>1.2749569707401001</v>
      </c>
      <c r="G81">
        <v>1.3270124505076599</v>
      </c>
      <c r="H81">
        <v>6.2628384213329599E-2</v>
      </c>
      <c r="I81">
        <v>-0.83118030939849896</v>
      </c>
      <c r="J81">
        <v>-4.08</v>
      </c>
      <c r="L81">
        <v>1.3896408347209894</v>
      </c>
      <c r="M81">
        <v>1.2643840662943304</v>
      </c>
      <c r="N81">
        <v>1.4522692189343192</v>
      </c>
      <c r="O81">
        <v>1.2017556820810007</v>
      </c>
    </row>
    <row r="82" spans="1:15">
      <c r="A82" s="19">
        <v>43728</v>
      </c>
      <c r="B82">
        <v>3005</v>
      </c>
      <c r="C82">
        <v>2981</v>
      </c>
      <c r="D82">
        <v>2313</v>
      </c>
      <c r="E82">
        <v>2285</v>
      </c>
      <c r="F82">
        <v>1.30459518599562</v>
      </c>
      <c r="G82">
        <v>1.3281576308407601</v>
      </c>
      <c r="H82">
        <v>6.2451061620327E-2</v>
      </c>
      <c r="I82">
        <v>-0.37729454446084199</v>
      </c>
      <c r="J82">
        <v>-1.81</v>
      </c>
      <c r="L82">
        <v>1.3906086924610872</v>
      </c>
      <c r="M82">
        <v>1.265706569220433</v>
      </c>
      <c r="N82">
        <v>1.4530597540814141</v>
      </c>
      <c r="O82">
        <v>1.2032555076001061</v>
      </c>
    </row>
    <row r="83" spans="1:15">
      <c r="A83" s="19">
        <v>43727</v>
      </c>
      <c r="B83">
        <v>2940</v>
      </c>
      <c r="C83">
        <v>3005</v>
      </c>
      <c r="D83">
        <v>2272</v>
      </c>
      <c r="E83">
        <v>2309</v>
      </c>
      <c r="F83">
        <v>1.3014291901255901</v>
      </c>
      <c r="G83">
        <v>1.32906082693942</v>
      </c>
      <c r="H83">
        <v>6.2593438611754704E-2</v>
      </c>
      <c r="I83">
        <v>-0.44144621907134701</v>
      </c>
      <c r="J83">
        <v>-2.12</v>
      </c>
      <c r="L83">
        <v>1.3916542655511748</v>
      </c>
      <c r="M83">
        <v>1.2664673883276651</v>
      </c>
      <c r="N83">
        <v>1.4542477041629294</v>
      </c>
      <c r="O83">
        <v>1.2038739497159106</v>
      </c>
    </row>
    <row r="84" spans="1:15">
      <c r="A84" s="19">
        <v>43726</v>
      </c>
      <c r="B84">
        <v>2890</v>
      </c>
      <c r="C84">
        <v>2919</v>
      </c>
      <c r="D84">
        <v>2245</v>
      </c>
      <c r="E84">
        <v>2257</v>
      </c>
      <c r="F84">
        <v>1.2933097031457601</v>
      </c>
      <c r="G84">
        <v>1.3295196827176701</v>
      </c>
      <c r="H84">
        <v>6.2515288394772994E-2</v>
      </c>
      <c r="I84">
        <v>-0.57921798813829095</v>
      </c>
      <c r="J84">
        <v>-2.8</v>
      </c>
      <c r="L84">
        <v>1.3920349711124431</v>
      </c>
      <c r="M84">
        <v>1.267004394322897</v>
      </c>
      <c r="N84">
        <v>1.4545502595072159</v>
      </c>
      <c r="O84">
        <v>1.2044891059281242</v>
      </c>
    </row>
    <row r="85" spans="1:15">
      <c r="A85" s="19">
        <v>43725</v>
      </c>
      <c r="B85">
        <v>2840</v>
      </c>
      <c r="C85">
        <v>2873</v>
      </c>
      <c r="D85">
        <v>2280</v>
      </c>
      <c r="E85">
        <v>2256</v>
      </c>
      <c r="F85">
        <v>1.2734929078014099</v>
      </c>
      <c r="G85">
        <v>1.3306821560036699</v>
      </c>
      <c r="H85">
        <v>6.2641635368282295E-2</v>
      </c>
      <c r="I85">
        <v>-0.91295905456536797</v>
      </c>
      <c r="J85">
        <v>-4.49</v>
      </c>
      <c r="L85">
        <v>1.3933237913719523</v>
      </c>
      <c r="M85">
        <v>1.2680405206353875</v>
      </c>
      <c r="N85">
        <v>1.4559654267402344</v>
      </c>
      <c r="O85">
        <v>1.2053988852671054</v>
      </c>
    </row>
    <row r="86" spans="1:15">
      <c r="A86" s="19">
        <v>43721</v>
      </c>
      <c r="B86">
        <v>2833</v>
      </c>
      <c r="C86">
        <v>2859</v>
      </c>
      <c r="D86">
        <v>2280</v>
      </c>
      <c r="E86">
        <v>2276</v>
      </c>
      <c r="F86">
        <v>1.256151142355</v>
      </c>
      <c r="G86">
        <v>1.3321524843672501</v>
      </c>
      <c r="H86">
        <v>6.2576182217560103E-2</v>
      </c>
      <c r="I86">
        <v>-1.2145410493087001</v>
      </c>
      <c r="J86">
        <v>-6.05</v>
      </c>
      <c r="L86">
        <v>1.3947286665848102</v>
      </c>
      <c r="M86">
        <v>1.26957630214969</v>
      </c>
      <c r="N86">
        <v>1.4573048488023703</v>
      </c>
      <c r="O86">
        <v>1.2070001199321299</v>
      </c>
    </row>
    <row r="87" spans="1:15">
      <c r="A87" s="19">
        <v>43720</v>
      </c>
      <c r="B87">
        <v>2818</v>
      </c>
      <c r="C87">
        <v>2832</v>
      </c>
      <c r="D87">
        <v>2260</v>
      </c>
      <c r="E87">
        <v>2279</v>
      </c>
      <c r="F87">
        <v>1.2426502852128101</v>
      </c>
      <c r="G87">
        <v>1.33406109361266</v>
      </c>
      <c r="H87">
        <v>6.2411787808814199E-2</v>
      </c>
      <c r="I87">
        <v>-1.46464012022656</v>
      </c>
      <c r="J87">
        <v>-7.36</v>
      </c>
      <c r="L87">
        <v>1.3964728814214742</v>
      </c>
      <c r="M87">
        <v>1.2716493058038458</v>
      </c>
      <c r="N87">
        <v>1.4588846692302884</v>
      </c>
      <c r="O87">
        <v>1.2092375179950317</v>
      </c>
    </row>
    <row r="88" spans="1:15">
      <c r="A88" s="19">
        <v>43719</v>
      </c>
      <c r="B88">
        <v>2787</v>
      </c>
      <c r="C88">
        <v>2806</v>
      </c>
      <c r="D88">
        <v>2226</v>
      </c>
      <c r="E88">
        <v>2252</v>
      </c>
      <c r="F88">
        <v>1.2460035523978601</v>
      </c>
      <c r="G88">
        <v>1.33631866778543</v>
      </c>
      <c r="H88">
        <v>6.2126076183449598E-2</v>
      </c>
      <c r="I88">
        <v>-1.45373924985825</v>
      </c>
      <c r="J88">
        <v>-7.25</v>
      </c>
      <c r="L88">
        <v>1.3984447439688796</v>
      </c>
      <c r="M88">
        <v>1.2741925916019803</v>
      </c>
      <c r="N88">
        <v>1.4605708201523291</v>
      </c>
      <c r="O88">
        <v>1.2120665154185308</v>
      </c>
    </row>
    <row r="89" spans="1:15">
      <c r="A89" s="19">
        <v>43718</v>
      </c>
      <c r="B89">
        <v>2820</v>
      </c>
      <c r="C89">
        <v>2803</v>
      </c>
      <c r="D89">
        <v>2278</v>
      </c>
      <c r="E89">
        <v>2226</v>
      </c>
      <c r="F89">
        <v>1.2592093441150001</v>
      </c>
      <c r="G89">
        <v>1.3387261726339901</v>
      </c>
      <c r="H89">
        <v>6.20781046396943E-2</v>
      </c>
      <c r="I89">
        <v>-1.28091585560663</v>
      </c>
      <c r="J89">
        <v>-6.31</v>
      </c>
      <c r="L89">
        <v>1.4008042772736844</v>
      </c>
      <c r="M89">
        <v>1.2766480679942958</v>
      </c>
      <c r="N89">
        <v>1.4628823819133787</v>
      </c>
      <c r="O89">
        <v>1.2145699633546014</v>
      </c>
    </row>
    <row r="90" spans="1:15">
      <c r="A90" s="19">
        <v>43717</v>
      </c>
      <c r="B90">
        <v>2819</v>
      </c>
      <c r="C90">
        <v>2824</v>
      </c>
      <c r="D90">
        <v>2244</v>
      </c>
      <c r="E90">
        <v>2277</v>
      </c>
      <c r="F90">
        <v>1.2402283706631501</v>
      </c>
      <c r="G90">
        <v>1.3408405961051</v>
      </c>
      <c r="H90">
        <v>6.2034383917644001E-2</v>
      </c>
      <c r="I90">
        <v>-1.62187836951066</v>
      </c>
      <c r="J90">
        <v>-8.11</v>
      </c>
      <c r="L90">
        <v>1.402874980022744</v>
      </c>
      <c r="M90">
        <v>1.2788062121874559</v>
      </c>
      <c r="N90">
        <v>1.4649093639403881</v>
      </c>
      <c r="O90">
        <v>1.2167718282698119</v>
      </c>
    </row>
    <row r="91" spans="1:15">
      <c r="A91" s="19">
        <v>43714</v>
      </c>
      <c r="B91">
        <v>2831</v>
      </c>
      <c r="C91">
        <v>2813</v>
      </c>
      <c r="D91">
        <v>2216</v>
      </c>
      <c r="E91">
        <v>2227</v>
      </c>
      <c r="F91">
        <v>1.26313426133812</v>
      </c>
      <c r="G91">
        <v>1.34302888416671</v>
      </c>
      <c r="H91">
        <v>6.1337463820019499E-2</v>
      </c>
      <c r="I91">
        <v>-1.30254200048152</v>
      </c>
      <c r="J91">
        <v>-6.33</v>
      </c>
      <c r="L91">
        <v>1.4043663479867294</v>
      </c>
      <c r="M91">
        <v>1.2816914203466905</v>
      </c>
      <c r="N91">
        <v>1.4657038118067489</v>
      </c>
      <c r="O91">
        <v>1.220353956526671</v>
      </c>
    </row>
    <row r="92" spans="1:15">
      <c r="A92" s="19">
        <v>43713</v>
      </c>
      <c r="B92">
        <v>2814</v>
      </c>
      <c r="C92">
        <v>2843</v>
      </c>
      <c r="D92">
        <v>2191</v>
      </c>
      <c r="E92">
        <v>2216</v>
      </c>
      <c r="F92">
        <v>1.28294223826714</v>
      </c>
      <c r="G92">
        <v>1.34524623380048</v>
      </c>
      <c r="H92">
        <v>6.1415040161300699E-2</v>
      </c>
      <c r="I92">
        <v>-1.01447455492501</v>
      </c>
      <c r="J92">
        <v>-4.8600000000000003</v>
      </c>
      <c r="L92">
        <v>1.4066612739617808</v>
      </c>
      <c r="M92">
        <v>1.2838311936391793</v>
      </c>
      <c r="N92">
        <v>1.4680763141230815</v>
      </c>
      <c r="O92">
        <v>1.2224161534778786</v>
      </c>
    </row>
    <row r="93" spans="1:15">
      <c r="A93" s="19">
        <v>43712</v>
      </c>
      <c r="B93">
        <v>2762</v>
      </c>
      <c r="C93">
        <v>2795</v>
      </c>
      <c r="D93">
        <v>2161</v>
      </c>
      <c r="E93">
        <v>2152</v>
      </c>
      <c r="F93">
        <v>1.2987918215613301</v>
      </c>
      <c r="G93">
        <v>1.3470855909316399</v>
      </c>
      <c r="H93">
        <v>6.1587075962299398E-2</v>
      </c>
      <c r="I93">
        <v>-0.78415428262689302</v>
      </c>
      <c r="J93">
        <v>-3.72</v>
      </c>
      <c r="L93">
        <v>1.4086726668939393</v>
      </c>
      <c r="M93">
        <v>1.2854985149693405</v>
      </c>
      <c r="N93">
        <v>1.4702597428562387</v>
      </c>
      <c r="O93">
        <v>1.2239114390070411</v>
      </c>
    </row>
    <row r="94" spans="1:15">
      <c r="A94" s="19">
        <v>43711</v>
      </c>
      <c r="B94">
        <v>2783</v>
      </c>
      <c r="C94">
        <v>2782</v>
      </c>
      <c r="D94">
        <v>2174</v>
      </c>
      <c r="E94">
        <v>2177</v>
      </c>
      <c r="F94">
        <v>1.2779053743683899</v>
      </c>
      <c r="G94">
        <v>1.3484563453321301</v>
      </c>
      <c r="H94">
        <v>6.1641006936807297E-2</v>
      </c>
      <c r="I94">
        <v>-1.14454604928935</v>
      </c>
      <c r="J94">
        <v>-5.52</v>
      </c>
      <c r="L94">
        <v>1.4100973522689375</v>
      </c>
      <c r="M94">
        <v>1.2868153383953227</v>
      </c>
      <c r="N94">
        <v>1.4717383592057447</v>
      </c>
      <c r="O94">
        <v>1.2251743314585155</v>
      </c>
    </row>
    <row r="95" spans="1:15">
      <c r="A95" s="19">
        <v>43710</v>
      </c>
      <c r="B95">
        <v>2824</v>
      </c>
      <c r="C95">
        <v>2782</v>
      </c>
      <c r="D95">
        <v>2191</v>
      </c>
      <c r="E95">
        <v>2174</v>
      </c>
      <c r="F95">
        <v>1.2796688132474701</v>
      </c>
      <c r="G95">
        <v>1.3502060942896801</v>
      </c>
      <c r="H95">
        <v>6.1475854976217097E-2</v>
      </c>
      <c r="I95">
        <v>-1.14739813003832</v>
      </c>
      <c r="J95">
        <v>-5.51</v>
      </c>
      <c r="L95">
        <v>1.4116819492658972</v>
      </c>
      <c r="M95">
        <v>1.288730239313463</v>
      </c>
      <c r="N95">
        <v>1.4731578042421143</v>
      </c>
      <c r="O95">
        <v>1.2272543843372459</v>
      </c>
    </row>
    <row r="96" spans="1:15">
      <c r="A96" s="19">
        <v>43707</v>
      </c>
      <c r="B96">
        <v>2754</v>
      </c>
      <c r="C96">
        <v>2775</v>
      </c>
      <c r="D96">
        <v>2190</v>
      </c>
      <c r="E96">
        <v>2217</v>
      </c>
      <c r="F96">
        <v>1.2516914749661701</v>
      </c>
      <c r="G96">
        <v>1.35175055439852</v>
      </c>
      <c r="H96">
        <v>6.1138475051331298E-2</v>
      </c>
      <c r="I96">
        <v>-1.6365975655812</v>
      </c>
      <c r="J96">
        <v>-7.99</v>
      </c>
      <c r="L96">
        <v>1.4128890294498513</v>
      </c>
      <c r="M96">
        <v>1.2906120793471887</v>
      </c>
      <c r="N96">
        <v>1.4740275045011826</v>
      </c>
      <c r="O96">
        <v>1.2294736042958574</v>
      </c>
    </row>
    <row r="97" spans="1:15">
      <c r="A97" s="19">
        <v>43706</v>
      </c>
      <c r="B97">
        <v>2747</v>
      </c>
      <c r="C97">
        <v>2711</v>
      </c>
      <c r="D97">
        <v>2179</v>
      </c>
      <c r="E97">
        <v>2175</v>
      </c>
      <c r="F97">
        <v>1.2464367816091899</v>
      </c>
      <c r="G97">
        <v>1.3540920799120899</v>
      </c>
      <c r="H97">
        <v>6.0622225668173602E-2</v>
      </c>
      <c r="I97">
        <v>-1.77583876402306</v>
      </c>
      <c r="J97">
        <v>-8.64</v>
      </c>
      <c r="L97">
        <v>1.4147143055802636</v>
      </c>
      <c r="M97">
        <v>1.2934698542439163</v>
      </c>
      <c r="N97">
        <v>1.4753365312484372</v>
      </c>
      <c r="O97">
        <v>1.2328476285757426</v>
      </c>
    </row>
    <row r="98" spans="1:15">
      <c r="A98" s="19">
        <v>43705</v>
      </c>
      <c r="B98">
        <v>2727</v>
      </c>
      <c r="C98">
        <v>2702</v>
      </c>
      <c r="D98">
        <v>2182</v>
      </c>
      <c r="E98">
        <v>2189</v>
      </c>
      <c r="F98">
        <v>1.23435358611238</v>
      </c>
      <c r="G98">
        <v>1.3570049041032199</v>
      </c>
      <c r="H98">
        <v>6.0627952657389197E-2</v>
      </c>
      <c r="I98">
        <v>-2.0230159953437301</v>
      </c>
      <c r="J98">
        <v>-9.94</v>
      </c>
      <c r="L98">
        <v>1.4176328567606091</v>
      </c>
      <c r="M98">
        <v>1.2963769514458308</v>
      </c>
      <c r="N98">
        <v>1.4782608094179983</v>
      </c>
      <c r="O98">
        <v>1.2357489987884416</v>
      </c>
    </row>
    <row r="99" spans="1:15">
      <c r="A99" s="19">
        <v>43704</v>
      </c>
      <c r="B99">
        <v>2748</v>
      </c>
      <c r="C99">
        <v>2731</v>
      </c>
      <c r="D99">
        <v>2178</v>
      </c>
      <c r="E99">
        <v>2181</v>
      </c>
      <c r="F99">
        <v>1.2521779000458499</v>
      </c>
      <c r="G99">
        <v>1.3592135229550499</v>
      </c>
      <c r="H99">
        <v>5.9118021046133097E-2</v>
      </c>
      <c r="I99">
        <v>-1.8105413715672101</v>
      </c>
      <c r="J99">
        <v>-8.5500000000000007</v>
      </c>
      <c r="L99">
        <v>1.418331544001183</v>
      </c>
      <c r="M99">
        <v>1.3000955019089169</v>
      </c>
      <c r="N99">
        <v>1.4774495650473161</v>
      </c>
      <c r="O99">
        <v>1.2409774808627838</v>
      </c>
    </row>
    <row r="100" spans="1:15">
      <c r="A100" s="19">
        <v>43703</v>
      </c>
      <c r="B100">
        <v>2673</v>
      </c>
      <c r="C100">
        <v>2719</v>
      </c>
      <c r="D100">
        <v>2110</v>
      </c>
      <c r="E100">
        <v>2156</v>
      </c>
      <c r="F100">
        <v>1.2611317254174299</v>
      </c>
      <c r="G100">
        <v>1.36130380444039</v>
      </c>
      <c r="H100">
        <v>5.8058571508795301E-2</v>
      </c>
      <c r="I100">
        <v>-1.7253624472621001</v>
      </c>
      <c r="J100">
        <v>-7.94</v>
      </c>
      <c r="L100">
        <v>1.4193623759491854</v>
      </c>
      <c r="M100">
        <v>1.3032452329315947</v>
      </c>
      <c r="N100">
        <v>1.4774209474579807</v>
      </c>
      <c r="O100">
        <v>1.2451866614227993</v>
      </c>
    </row>
    <row r="101" spans="1:15">
      <c r="A101" s="19">
        <v>43700</v>
      </c>
      <c r="B101">
        <v>2740</v>
      </c>
      <c r="C101">
        <v>2750</v>
      </c>
      <c r="D101">
        <v>2105</v>
      </c>
      <c r="E101">
        <v>2158</v>
      </c>
      <c r="F101">
        <v>1.27432808155699</v>
      </c>
      <c r="G101">
        <v>1.3634217691614601</v>
      </c>
      <c r="H101">
        <v>5.7257516399561802E-2</v>
      </c>
      <c r="I101">
        <v>-1.5560173267514299</v>
      </c>
      <c r="J101">
        <v>-6.99</v>
      </c>
      <c r="L101">
        <v>1.420679285561022</v>
      </c>
      <c r="M101">
        <v>1.3061642527618982</v>
      </c>
      <c r="N101">
        <v>1.4779368019605836</v>
      </c>
      <c r="O101">
        <v>1.2489067363623365</v>
      </c>
    </row>
    <row r="102" spans="1:15">
      <c r="A102" s="19">
        <v>43699</v>
      </c>
      <c r="B102">
        <v>2758</v>
      </c>
      <c r="C102">
        <v>2747</v>
      </c>
      <c r="D102">
        <v>2119</v>
      </c>
      <c r="E102">
        <v>2108</v>
      </c>
      <c r="F102">
        <v>1.3031309297912701</v>
      </c>
      <c r="G102">
        <v>1.36474095909714</v>
      </c>
      <c r="H102">
        <v>5.6321750564046598E-2</v>
      </c>
      <c r="I102">
        <v>-1.0938940762470299</v>
      </c>
      <c r="J102">
        <v>-4.7300000000000004</v>
      </c>
      <c r="L102">
        <v>1.4210627096611865</v>
      </c>
      <c r="M102">
        <v>1.3084192085330935</v>
      </c>
      <c r="N102">
        <v>1.4773844602252333</v>
      </c>
      <c r="O102">
        <v>1.2520974579690467</v>
      </c>
    </row>
    <row r="103" spans="1:15">
      <c r="A103" s="19">
        <v>43698</v>
      </c>
      <c r="B103">
        <v>2736</v>
      </c>
      <c r="C103">
        <v>2761</v>
      </c>
      <c r="D103">
        <v>2101</v>
      </c>
      <c r="E103">
        <v>2128</v>
      </c>
      <c r="F103">
        <v>1.2974624060150299</v>
      </c>
      <c r="G103">
        <v>1.3654221207831301</v>
      </c>
      <c r="H103">
        <v>5.58797048638318E-2</v>
      </c>
      <c r="I103">
        <v>-1.21617884227745</v>
      </c>
      <c r="J103">
        <v>-5.24</v>
      </c>
      <c r="L103">
        <v>1.4213018256469618</v>
      </c>
      <c r="M103">
        <v>1.3095424159192983</v>
      </c>
      <c r="N103">
        <v>1.4771815305107936</v>
      </c>
      <c r="O103">
        <v>1.2536627110554666</v>
      </c>
    </row>
    <row r="104" spans="1:15">
      <c r="A104" s="19">
        <v>43697</v>
      </c>
      <c r="B104">
        <v>2751</v>
      </c>
      <c r="C104">
        <v>2763</v>
      </c>
      <c r="D104">
        <v>2094</v>
      </c>
      <c r="E104">
        <v>2132</v>
      </c>
      <c r="F104">
        <v>1.29596622889305</v>
      </c>
      <c r="G104">
        <v>1.3657751113208001</v>
      </c>
      <c r="H104">
        <v>5.5531826143337397E-2</v>
      </c>
      <c r="I104">
        <v>-1.2570968267378799</v>
      </c>
      <c r="J104">
        <v>-5.39</v>
      </c>
      <c r="L104">
        <v>1.4213069374641374</v>
      </c>
      <c r="M104">
        <v>1.3102432851774628</v>
      </c>
      <c r="N104">
        <v>1.4768387636074749</v>
      </c>
      <c r="O104">
        <v>1.2547114590341253</v>
      </c>
    </row>
    <row r="105" spans="1:15">
      <c r="A105" s="19">
        <v>43696</v>
      </c>
      <c r="B105">
        <v>2707</v>
      </c>
      <c r="C105">
        <v>2747</v>
      </c>
      <c r="D105">
        <v>2115</v>
      </c>
      <c r="E105">
        <v>2083</v>
      </c>
      <c r="F105">
        <v>1.31877100336053</v>
      </c>
      <c r="G105">
        <v>1.3656729681257</v>
      </c>
      <c r="H105">
        <v>5.5667016972354003E-2</v>
      </c>
      <c r="I105">
        <v>-0.84254496317734096</v>
      </c>
      <c r="J105">
        <v>-3.56</v>
      </c>
      <c r="L105">
        <v>1.4213399850980541</v>
      </c>
      <c r="M105">
        <v>1.3100059511533459</v>
      </c>
      <c r="N105">
        <v>1.477007002070408</v>
      </c>
      <c r="O105">
        <v>1.2543389341809921</v>
      </c>
    </row>
    <row r="106" spans="1:15">
      <c r="A106" s="19">
        <v>43693</v>
      </c>
      <c r="B106">
        <v>2629</v>
      </c>
      <c r="C106">
        <v>2682</v>
      </c>
      <c r="D106">
        <v>2048</v>
      </c>
      <c r="E106">
        <v>2096</v>
      </c>
      <c r="F106">
        <v>1.2795801526717501</v>
      </c>
      <c r="G106">
        <v>1.36519663444104</v>
      </c>
      <c r="H106">
        <v>5.6216446789570503E-2</v>
      </c>
      <c r="I106">
        <v>-1.52297924644317</v>
      </c>
      <c r="J106">
        <v>-6.69</v>
      </c>
      <c r="L106">
        <v>1.4214130812306105</v>
      </c>
      <c r="M106">
        <v>1.3089801876514695</v>
      </c>
      <c r="N106">
        <v>1.477629528020181</v>
      </c>
      <c r="O106">
        <v>1.252763740861899</v>
      </c>
    </row>
    <row r="107" spans="1:15">
      <c r="A107" s="19">
        <v>43692</v>
      </c>
      <c r="B107">
        <v>2551</v>
      </c>
      <c r="C107">
        <v>2632</v>
      </c>
      <c r="D107">
        <v>2016</v>
      </c>
      <c r="E107">
        <v>2054</v>
      </c>
      <c r="F107">
        <v>1.28140214216163</v>
      </c>
      <c r="G107">
        <v>1.36542642802962</v>
      </c>
      <c r="H107">
        <v>5.5900341943310602E-2</v>
      </c>
      <c r="I107">
        <v>-1.50310862057329</v>
      </c>
      <c r="J107">
        <v>-6.56</v>
      </c>
      <c r="L107">
        <v>1.4213267699729306</v>
      </c>
      <c r="M107">
        <v>1.3095260860863094</v>
      </c>
      <c r="N107">
        <v>1.4772271119162412</v>
      </c>
      <c r="O107">
        <v>1.2536257441429988</v>
      </c>
    </row>
    <row r="108" spans="1:15">
      <c r="A108" s="19">
        <v>43691</v>
      </c>
      <c r="B108">
        <v>2611</v>
      </c>
      <c r="C108">
        <v>2635</v>
      </c>
      <c r="D108">
        <v>2076</v>
      </c>
      <c r="E108">
        <v>2041</v>
      </c>
      <c r="F108">
        <v>1.2910338069573699</v>
      </c>
      <c r="G108">
        <v>1.36562860040279</v>
      </c>
      <c r="H108">
        <v>5.5622819977858798E-2</v>
      </c>
      <c r="I108">
        <v>-1.3410825534397099</v>
      </c>
      <c r="J108">
        <v>-5.78</v>
      </c>
      <c r="L108">
        <v>1.4212514203806488</v>
      </c>
      <c r="M108">
        <v>1.3100057804249312</v>
      </c>
      <c r="N108">
        <v>1.4768742403585076</v>
      </c>
      <c r="O108">
        <v>1.2543829604470724</v>
      </c>
    </row>
    <row r="109" spans="1:15">
      <c r="A109" s="19">
        <v>43690</v>
      </c>
      <c r="B109">
        <v>2621</v>
      </c>
      <c r="C109">
        <v>2607</v>
      </c>
      <c r="D109">
        <v>2047</v>
      </c>
      <c r="E109">
        <v>2055</v>
      </c>
      <c r="F109">
        <v>1.2686131386861299</v>
      </c>
      <c r="G109">
        <v>1.3656332738769901</v>
      </c>
      <c r="H109">
        <v>5.56165666403989E-2</v>
      </c>
      <c r="I109">
        <v>-1.74444668291309</v>
      </c>
      <c r="J109">
        <v>-7.65</v>
      </c>
      <c r="L109">
        <v>1.421249840517389</v>
      </c>
      <c r="M109">
        <v>1.3100167072365911</v>
      </c>
      <c r="N109">
        <v>1.4768664071577879</v>
      </c>
      <c r="O109">
        <v>1.2544001405961922</v>
      </c>
    </row>
    <row r="110" spans="1:15">
      <c r="A110" s="19">
        <v>43686</v>
      </c>
      <c r="B110">
        <v>2616</v>
      </c>
      <c r="C110">
        <v>2623</v>
      </c>
      <c r="D110">
        <v>2066</v>
      </c>
      <c r="E110">
        <v>2074</v>
      </c>
      <c r="F110">
        <v>1.26470588235294</v>
      </c>
      <c r="G110">
        <v>1.3660446004043201</v>
      </c>
      <c r="H110">
        <v>5.5008259363307999E-2</v>
      </c>
      <c r="I110">
        <v>-1.8422454959369601</v>
      </c>
      <c r="J110">
        <v>-8.01</v>
      </c>
      <c r="L110">
        <v>1.4210528597676282</v>
      </c>
      <c r="M110">
        <v>1.311036341041012</v>
      </c>
      <c r="N110">
        <v>1.4760611191309361</v>
      </c>
      <c r="O110">
        <v>1.2560280816777041</v>
      </c>
    </row>
    <row r="111" spans="1:15">
      <c r="A111" s="19">
        <v>43685</v>
      </c>
      <c r="B111">
        <v>2577</v>
      </c>
      <c r="C111">
        <v>2595</v>
      </c>
      <c r="D111">
        <v>2062</v>
      </c>
      <c r="E111">
        <v>2056</v>
      </c>
      <c r="F111">
        <v>1.2621595330739299</v>
      </c>
      <c r="G111">
        <v>1.3665075477609201</v>
      </c>
      <c r="H111">
        <v>5.42949289875619E-2</v>
      </c>
      <c r="I111">
        <v>-1.92187404298651</v>
      </c>
      <c r="J111">
        <v>-8.27</v>
      </c>
      <c r="L111">
        <v>1.4208024767484819</v>
      </c>
      <c r="M111">
        <v>1.3122126187733583</v>
      </c>
      <c r="N111">
        <v>1.475097405736044</v>
      </c>
      <c r="O111">
        <v>1.2579176897857962</v>
      </c>
    </row>
    <row r="112" spans="1:15">
      <c r="A112" s="19">
        <v>43684</v>
      </c>
      <c r="B112">
        <v>2565</v>
      </c>
      <c r="C112">
        <v>2571</v>
      </c>
      <c r="D112">
        <v>2041</v>
      </c>
      <c r="E112">
        <v>2072</v>
      </c>
      <c r="F112">
        <v>1.24083011583011</v>
      </c>
      <c r="G112">
        <v>1.3671555391290899</v>
      </c>
      <c r="H112">
        <v>5.3327086516487501E-2</v>
      </c>
      <c r="I112">
        <v>-2.3688791484965201</v>
      </c>
      <c r="J112">
        <v>-10.18</v>
      </c>
      <c r="L112">
        <v>1.4204826256455774</v>
      </c>
      <c r="M112">
        <v>1.3138284526126025</v>
      </c>
      <c r="N112">
        <v>1.473809712162065</v>
      </c>
      <c r="O112">
        <v>1.2605013660961149</v>
      </c>
    </row>
    <row r="113" spans="1:15">
      <c r="A113" s="19">
        <v>43683</v>
      </c>
      <c r="B113">
        <v>2534</v>
      </c>
      <c r="C113">
        <v>2596</v>
      </c>
      <c r="D113">
        <v>2054</v>
      </c>
      <c r="E113">
        <v>2060</v>
      </c>
      <c r="F113">
        <v>1.26019417475728</v>
      </c>
      <c r="G113">
        <v>1.368111936562</v>
      </c>
      <c r="H113">
        <v>5.1670407806639902E-2</v>
      </c>
      <c r="I113">
        <v>-2.0885796413406799</v>
      </c>
      <c r="J113">
        <v>-8.56</v>
      </c>
      <c r="L113">
        <v>1.4197823443686399</v>
      </c>
      <c r="M113">
        <v>1.3164415287553601</v>
      </c>
      <c r="N113">
        <v>1.4714527521752798</v>
      </c>
      <c r="O113">
        <v>1.2647711209487202</v>
      </c>
    </row>
    <row r="114" spans="1:15">
      <c r="A114" s="19">
        <v>43682</v>
      </c>
      <c r="B114">
        <v>2687</v>
      </c>
      <c r="C114">
        <v>2584</v>
      </c>
      <c r="D114">
        <v>2069</v>
      </c>
      <c r="E114">
        <v>2126</v>
      </c>
      <c r="F114">
        <v>1.2154280338664101</v>
      </c>
      <c r="G114">
        <v>1.36873879442864</v>
      </c>
      <c r="H114">
        <v>5.0632116340486297E-2</v>
      </c>
      <c r="I114">
        <v>-3.0279350665743299</v>
      </c>
      <c r="J114">
        <v>-12.61</v>
      </c>
      <c r="L114">
        <v>1.4193709107691264</v>
      </c>
      <c r="M114">
        <v>1.3181066780881536</v>
      </c>
      <c r="N114">
        <v>1.4700030271096125</v>
      </c>
      <c r="O114">
        <v>1.2674745617476675</v>
      </c>
    </row>
    <row r="115" spans="1:15">
      <c r="A115" s="19">
        <v>43679</v>
      </c>
      <c r="B115">
        <v>2726</v>
      </c>
      <c r="C115">
        <v>2704</v>
      </c>
      <c r="D115">
        <v>2086</v>
      </c>
      <c r="E115">
        <v>2093</v>
      </c>
      <c r="F115">
        <v>1.2919254658385</v>
      </c>
      <c r="G115">
        <v>1.3702023581437599</v>
      </c>
      <c r="H115">
        <v>4.7679769922812601E-2</v>
      </c>
      <c r="I115">
        <v>-1.64172126736289</v>
      </c>
      <c r="J115">
        <v>-6.06</v>
      </c>
      <c r="L115">
        <v>1.4178821280665725</v>
      </c>
      <c r="M115">
        <v>1.3225225882209473</v>
      </c>
      <c r="N115">
        <v>1.4655618979893852</v>
      </c>
      <c r="O115">
        <v>1.2748428182981346</v>
      </c>
    </row>
    <row r="116" spans="1:15">
      <c r="A116" s="19">
        <v>43678</v>
      </c>
      <c r="B116">
        <v>2807</v>
      </c>
      <c r="C116">
        <v>2786</v>
      </c>
      <c r="D116">
        <v>2120</v>
      </c>
      <c r="E116">
        <v>2108</v>
      </c>
      <c r="F116">
        <v>1.32163187855787</v>
      </c>
      <c r="G116">
        <v>1.3709536967601601</v>
      </c>
      <c r="H116">
        <v>4.6877598861195698E-2</v>
      </c>
      <c r="I116">
        <v>-1.0521404551528599</v>
      </c>
      <c r="J116">
        <v>-3.73</v>
      </c>
      <c r="L116">
        <v>1.4178312956213559</v>
      </c>
      <c r="M116">
        <v>1.3240760978989643</v>
      </c>
      <c r="N116">
        <v>1.4647088944825515</v>
      </c>
      <c r="O116">
        <v>1.2771984990377687</v>
      </c>
    </row>
    <row r="117" spans="1:15">
      <c r="A117" s="19">
        <v>43677</v>
      </c>
      <c r="B117">
        <v>2705</v>
      </c>
      <c r="C117">
        <v>2831</v>
      </c>
      <c r="D117">
        <v>2071</v>
      </c>
      <c r="E117">
        <v>2102</v>
      </c>
      <c r="F117">
        <v>1.34681255946717</v>
      </c>
      <c r="G117">
        <v>1.3711380108573501</v>
      </c>
      <c r="H117">
        <v>4.6710189113285998E-2</v>
      </c>
      <c r="I117">
        <v>-0.52077398640341999</v>
      </c>
      <c r="J117">
        <v>-1.81</v>
      </c>
      <c r="L117">
        <v>1.417848199970636</v>
      </c>
      <c r="M117">
        <v>1.3244278217440641</v>
      </c>
      <c r="N117">
        <v>1.464558389083922</v>
      </c>
      <c r="O117">
        <v>1.2777176326307782</v>
      </c>
    </row>
    <row r="118" spans="1:15">
      <c r="A118" s="19">
        <v>43676</v>
      </c>
      <c r="B118">
        <v>2740</v>
      </c>
      <c r="C118">
        <v>2729</v>
      </c>
      <c r="D118">
        <v>2087</v>
      </c>
      <c r="E118">
        <v>2086</v>
      </c>
      <c r="F118">
        <v>1.30824544582933</v>
      </c>
      <c r="G118">
        <v>1.3709410779895901</v>
      </c>
      <c r="H118">
        <v>4.6843277402722198E-2</v>
      </c>
      <c r="I118">
        <v>-1.3384125884542999</v>
      </c>
      <c r="J118">
        <v>-4.79</v>
      </c>
      <c r="L118">
        <v>1.4177843553923122</v>
      </c>
      <c r="M118">
        <v>1.324097800586868</v>
      </c>
      <c r="N118">
        <v>1.4646276327950345</v>
      </c>
      <c r="O118">
        <v>1.2772545231841457</v>
      </c>
    </row>
    <row r="119" spans="1:15">
      <c r="A119" s="19">
        <v>43675</v>
      </c>
      <c r="B119">
        <v>2743</v>
      </c>
      <c r="C119">
        <v>2745</v>
      </c>
      <c r="D119">
        <v>2082</v>
      </c>
      <c r="E119">
        <v>2085</v>
      </c>
      <c r="F119">
        <v>1.3165467625899201</v>
      </c>
      <c r="G119">
        <v>1.3711186951270899</v>
      </c>
      <c r="H119">
        <v>4.6629985429019902E-2</v>
      </c>
      <c r="I119">
        <v>-1.1703184557119699</v>
      </c>
      <c r="J119">
        <v>-4.1500000000000004</v>
      </c>
      <c r="L119">
        <v>1.4177486805561099</v>
      </c>
      <c r="M119">
        <v>1.32448870969807</v>
      </c>
      <c r="N119">
        <v>1.4643786659851297</v>
      </c>
      <c r="O119">
        <v>1.2778587242690502</v>
      </c>
    </row>
    <row r="120" spans="1:15">
      <c r="A120" s="19">
        <v>43672</v>
      </c>
      <c r="B120">
        <v>2720</v>
      </c>
      <c r="C120">
        <v>2758</v>
      </c>
      <c r="D120">
        <v>2059</v>
      </c>
      <c r="E120">
        <v>2062</v>
      </c>
      <c r="F120">
        <v>1.33753637245392</v>
      </c>
      <c r="G120">
        <v>1.3711983137566399</v>
      </c>
      <c r="H120">
        <v>4.6541752776256003E-2</v>
      </c>
      <c r="I120">
        <v>-0.72326329144799795</v>
      </c>
      <c r="J120">
        <v>-2.52</v>
      </c>
      <c r="L120">
        <v>1.4177400665328959</v>
      </c>
      <c r="M120">
        <v>1.324656560980384</v>
      </c>
      <c r="N120">
        <v>1.464281819309152</v>
      </c>
      <c r="O120">
        <v>1.2781148082041278</v>
      </c>
    </row>
    <row r="121" spans="1:15">
      <c r="A121" s="19">
        <v>43671</v>
      </c>
      <c r="B121">
        <v>2739</v>
      </c>
      <c r="C121">
        <v>2724</v>
      </c>
      <c r="D121">
        <v>2108</v>
      </c>
      <c r="E121">
        <v>2077</v>
      </c>
      <c r="F121">
        <v>1.3115069812229101</v>
      </c>
      <c r="G121">
        <v>1.3709460693536</v>
      </c>
      <c r="H121">
        <v>4.6774194164512402E-2</v>
      </c>
      <c r="I121">
        <v>-1.27076669502066</v>
      </c>
      <c r="J121">
        <v>-4.53</v>
      </c>
      <c r="L121">
        <v>1.4177202635181123</v>
      </c>
      <c r="M121">
        <v>1.3241718751890876</v>
      </c>
      <c r="N121">
        <v>1.4644944576826249</v>
      </c>
      <c r="O121">
        <v>1.2773976810245751</v>
      </c>
    </row>
    <row r="122" spans="1:15">
      <c r="A122" s="19">
        <v>43670</v>
      </c>
      <c r="B122">
        <v>2710</v>
      </c>
      <c r="C122">
        <v>2720</v>
      </c>
      <c r="D122">
        <v>2066</v>
      </c>
      <c r="E122">
        <v>2052</v>
      </c>
      <c r="F122">
        <v>1.32553606237816</v>
      </c>
      <c r="G122">
        <v>1.3709762834157999</v>
      </c>
      <c r="H122">
        <v>4.6736506084167399E-2</v>
      </c>
      <c r="I122">
        <v>-0.97226397188963098</v>
      </c>
      <c r="J122">
        <v>-3.43</v>
      </c>
      <c r="L122">
        <v>1.4177127894999673</v>
      </c>
      <c r="M122">
        <v>1.3242397773316326</v>
      </c>
      <c r="N122">
        <v>1.4644492955841346</v>
      </c>
      <c r="O122">
        <v>1.2775032712474652</v>
      </c>
    </row>
    <row r="123" spans="1:15">
      <c r="A123" s="19">
        <v>43669</v>
      </c>
      <c r="B123">
        <v>2662</v>
      </c>
      <c r="C123">
        <v>2710</v>
      </c>
      <c r="D123">
        <v>2025</v>
      </c>
      <c r="E123">
        <v>2061</v>
      </c>
      <c r="F123">
        <v>1.3148956817079001</v>
      </c>
      <c r="G123">
        <v>1.3705965123432799</v>
      </c>
      <c r="H123">
        <v>4.7217449030100597E-2</v>
      </c>
      <c r="I123">
        <v>-1.17966624160205</v>
      </c>
      <c r="J123">
        <v>-4.24</v>
      </c>
      <c r="L123">
        <v>1.4178139613733804</v>
      </c>
      <c r="M123">
        <v>1.3233790633131794</v>
      </c>
      <c r="N123">
        <v>1.4650314104034812</v>
      </c>
      <c r="O123">
        <v>1.2761616142830787</v>
      </c>
    </row>
    <row r="124" spans="1:15">
      <c r="A124" s="19">
        <v>43668</v>
      </c>
      <c r="B124">
        <v>2696</v>
      </c>
      <c r="C124">
        <v>2671</v>
      </c>
      <c r="D124">
        <v>2000</v>
      </c>
      <c r="E124">
        <v>2025</v>
      </c>
      <c r="F124">
        <v>1.3190123456790099</v>
      </c>
      <c r="G124">
        <v>1.36977809694331</v>
      </c>
      <c r="H124">
        <v>4.8684964894994097E-2</v>
      </c>
      <c r="I124">
        <v>-1.0427398145155999</v>
      </c>
      <c r="J124">
        <v>-3.85</v>
      </c>
      <c r="L124">
        <v>1.4184630618383041</v>
      </c>
      <c r="M124">
        <v>1.3210931320483159</v>
      </c>
      <c r="N124">
        <v>1.4671480267332981</v>
      </c>
      <c r="O124">
        <v>1.2724081671533218</v>
      </c>
    </row>
    <row r="125" spans="1:15">
      <c r="A125" s="19">
        <v>43665</v>
      </c>
      <c r="B125">
        <v>2676</v>
      </c>
      <c r="C125">
        <v>2697</v>
      </c>
      <c r="D125">
        <v>1974</v>
      </c>
      <c r="E125">
        <v>1992</v>
      </c>
      <c r="F125">
        <v>1.3539156626505999</v>
      </c>
      <c r="G125">
        <v>1.36936171472602</v>
      </c>
      <c r="H125">
        <v>4.9247653813556801E-2</v>
      </c>
      <c r="I125">
        <v>-0.31364036414601199</v>
      </c>
      <c r="J125">
        <v>-1.1399999999999999</v>
      </c>
      <c r="L125">
        <v>1.4186093685395769</v>
      </c>
      <c r="M125">
        <v>1.3201140609124631</v>
      </c>
      <c r="N125">
        <v>1.4678570223531335</v>
      </c>
      <c r="O125">
        <v>1.2708664070989064</v>
      </c>
    </row>
    <row r="126" spans="1:15">
      <c r="A126" s="19">
        <v>43664</v>
      </c>
      <c r="B126">
        <v>2738</v>
      </c>
      <c r="C126">
        <v>2684</v>
      </c>
      <c r="D126">
        <v>1995</v>
      </c>
      <c r="E126">
        <v>1969</v>
      </c>
      <c r="F126">
        <v>1.3631284916201101</v>
      </c>
      <c r="G126">
        <v>1.36873454998239</v>
      </c>
      <c r="H126">
        <v>4.9737437411654498E-2</v>
      </c>
      <c r="I126">
        <v>-0.11271305185834</v>
      </c>
      <c r="J126">
        <v>-0.41</v>
      </c>
      <c r="L126">
        <v>1.4184719873940446</v>
      </c>
      <c r="M126">
        <v>1.3189971125707354</v>
      </c>
      <c r="N126">
        <v>1.4682094248056989</v>
      </c>
      <c r="O126">
        <v>1.269259675159081</v>
      </c>
    </row>
    <row r="127" spans="1:15">
      <c r="A127" s="19">
        <v>43663</v>
      </c>
      <c r="B127">
        <v>2735</v>
      </c>
      <c r="C127">
        <v>2737</v>
      </c>
      <c r="D127">
        <v>2018</v>
      </c>
      <c r="E127">
        <v>2004</v>
      </c>
      <c r="F127">
        <v>1.36576846307385</v>
      </c>
      <c r="G127">
        <v>1.3673449943592899</v>
      </c>
      <c r="H127">
        <v>5.1305716421440002E-2</v>
      </c>
      <c r="I127">
        <v>-3.0728179926142699E-2</v>
      </c>
      <c r="J127">
        <v>-0.12</v>
      </c>
      <c r="L127">
        <v>1.41865071078073</v>
      </c>
      <c r="M127">
        <v>1.3160392779378498</v>
      </c>
      <c r="N127">
        <v>1.4699564272021699</v>
      </c>
      <c r="O127">
        <v>1.2647335615164099</v>
      </c>
    </row>
    <row r="128" spans="1:15">
      <c r="A128" s="19">
        <v>43662</v>
      </c>
      <c r="B128">
        <v>2773</v>
      </c>
      <c r="C128">
        <v>2762</v>
      </c>
      <c r="D128">
        <v>2037</v>
      </c>
      <c r="E128">
        <v>2022</v>
      </c>
      <c r="F128">
        <v>1.36597428288822</v>
      </c>
      <c r="G128">
        <v>1.3659382247663301</v>
      </c>
      <c r="H128">
        <v>5.2755646341922098E-2</v>
      </c>
      <c r="I128">
        <v>6.8349313099466799E-4</v>
      </c>
      <c r="J128">
        <v>0</v>
      </c>
      <c r="L128">
        <v>1.4186938711082522</v>
      </c>
      <c r="M128">
        <v>1.313182578424408</v>
      </c>
      <c r="N128">
        <v>1.4714495174501743</v>
      </c>
      <c r="O128">
        <v>1.2604269320824859</v>
      </c>
    </row>
    <row r="129" spans="1:15">
      <c r="A129" s="19">
        <v>43658</v>
      </c>
      <c r="B129">
        <v>2816</v>
      </c>
      <c r="C129">
        <v>2769</v>
      </c>
      <c r="D129">
        <v>2055</v>
      </c>
      <c r="E129">
        <v>2048</v>
      </c>
      <c r="F129">
        <v>1.35205078125</v>
      </c>
      <c r="G129">
        <v>1.36469088318278</v>
      </c>
      <c r="H129">
        <v>5.3834951316888598E-2</v>
      </c>
      <c r="I129">
        <v>-0.234793598277489</v>
      </c>
      <c r="J129">
        <v>-0.93</v>
      </c>
      <c r="L129">
        <v>1.4185258344996685</v>
      </c>
      <c r="M129">
        <v>1.3108559318658914</v>
      </c>
      <c r="N129">
        <v>1.4723607858165573</v>
      </c>
      <c r="O129">
        <v>1.2570209805490027</v>
      </c>
    </row>
    <row r="130" spans="1:15">
      <c r="A130" s="19">
        <v>43657</v>
      </c>
      <c r="B130">
        <v>2804</v>
      </c>
      <c r="C130">
        <v>2816</v>
      </c>
      <c r="D130">
        <v>2056</v>
      </c>
      <c r="E130">
        <v>2065</v>
      </c>
      <c r="F130">
        <v>1.3636803874092001</v>
      </c>
      <c r="G130">
        <v>1.36432469913476</v>
      </c>
      <c r="H130">
        <v>5.4012793916794803E-2</v>
      </c>
      <c r="I130">
        <v>-1.19288723807424E-2</v>
      </c>
      <c r="J130">
        <v>-0.05</v>
      </c>
      <c r="L130">
        <v>1.4183374930515547</v>
      </c>
      <c r="M130">
        <v>1.3103119052179653</v>
      </c>
      <c r="N130">
        <v>1.4723502869683496</v>
      </c>
      <c r="O130">
        <v>1.2562991113011703</v>
      </c>
    </row>
    <row r="131" spans="1:15">
      <c r="A131" s="19">
        <v>43656</v>
      </c>
      <c r="B131">
        <v>2785</v>
      </c>
      <c r="C131">
        <v>2803</v>
      </c>
      <c r="D131">
        <v>2021</v>
      </c>
      <c r="E131">
        <v>2035</v>
      </c>
      <c r="F131">
        <v>1.3773955773955699</v>
      </c>
      <c r="G131">
        <v>1.3636398309151101</v>
      </c>
      <c r="H131">
        <v>5.4341271013286299E-2</v>
      </c>
      <c r="I131">
        <v>0.25313626685500101</v>
      </c>
      <c r="J131">
        <v>1</v>
      </c>
      <c r="L131">
        <v>1.4179811019283963</v>
      </c>
      <c r="M131">
        <v>1.3092985599018239</v>
      </c>
      <c r="N131">
        <v>1.4723223729416828</v>
      </c>
      <c r="O131">
        <v>1.2549572888885374</v>
      </c>
    </row>
    <row r="132" spans="1:15">
      <c r="A132" s="19">
        <v>43655</v>
      </c>
      <c r="B132">
        <v>2807</v>
      </c>
      <c r="C132">
        <v>2796</v>
      </c>
      <c r="D132">
        <v>2000</v>
      </c>
      <c r="E132">
        <v>2011</v>
      </c>
      <c r="F132">
        <v>1.3903530581800001</v>
      </c>
      <c r="G132">
        <v>1.3628191110052801</v>
      </c>
      <c r="H132">
        <v>5.4591569971252002E-2</v>
      </c>
      <c r="I132">
        <v>0.50436261842661001</v>
      </c>
      <c r="J132">
        <v>1.98</v>
      </c>
      <c r="L132">
        <v>1.4174106809765321</v>
      </c>
      <c r="M132">
        <v>1.3082275410340281</v>
      </c>
      <c r="N132">
        <v>1.4720022509477841</v>
      </c>
      <c r="O132">
        <v>1.253635971062776</v>
      </c>
    </row>
    <row r="133" spans="1:15">
      <c r="A133" s="19">
        <v>43654</v>
      </c>
      <c r="B133">
        <v>2806</v>
      </c>
      <c r="C133">
        <v>2790</v>
      </c>
      <c r="D133">
        <v>2013</v>
      </c>
      <c r="E133">
        <v>2002</v>
      </c>
      <c r="F133">
        <v>1.39360639360639</v>
      </c>
      <c r="G133">
        <v>1.3616791153930199</v>
      </c>
      <c r="H133">
        <v>5.4896557393831799E-2</v>
      </c>
      <c r="I133">
        <v>0.581589806885776</v>
      </c>
      <c r="J133">
        <v>2.29</v>
      </c>
      <c r="L133">
        <v>1.4165756727868517</v>
      </c>
      <c r="M133">
        <v>1.3067825579991881</v>
      </c>
      <c r="N133">
        <v>1.4714722301806835</v>
      </c>
      <c r="O133">
        <v>1.2518860006053563</v>
      </c>
    </row>
    <row r="134" spans="1:15">
      <c r="A134" s="19">
        <v>43651</v>
      </c>
      <c r="B134">
        <v>2845</v>
      </c>
      <c r="C134">
        <v>2812</v>
      </c>
      <c r="D134">
        <v>2054</v>
      </c>
      <c r="E134">
        <v>2028</v>
      </c>
      <c r="F134">
        <v>1.38658777120315</v>
      </c>
      <c r="G134">
        <v>1.36061269252711</v>
      </c>
      <c r="H134">
        <v>5.5042648251781803E-2</v>
      </c>
      <c r="I134">
        <v>0.47190822936472099</v>
      </c>
      <c r="J134">
        <v>1.87</v>
      </c>
      <c r="L134">
        <v>1.4156553407788919</v>
      </c>
      <c r="M134">
        <v>1.3055700442753282</v>
      </c>
      <c r="N134">
        <v>1.4706979890306737</v>
      </c>
      <c r="O134">
        <v>1.2505273960235463</v>
      </c>
    </row>
    <row r="135" spans="1:15">
      <c r="A135" s="19">
        <v>43650</v>
      </c>
      <c r="B135">
        <v>2810</v>
      </c>
      <c r="C135">
        <v>2834</v>
      </c>
      <c r="D135">
        <v>2080</v>
      </c>
      <c r="E135">
        <v>2054</v>
      </c>
      <c r="F135">
        <v>1.37974683544303</v>
      </c>
      <c r="G135">
        <v>1.3596058874442001</v>
      </c>
      <c r="H135">
        <v>5.52485296024922E-2</v>
      </c>
      <c r="I135">
        <v>0.36455174723650902</v>
      </c>
      <c r="J135">
        <v>1.46</v>
      </c>
      <c r="L135">
        <v>1.4148544170466923</v>
      </c>
      <c r="M135">
        <v>1.3043573578417078</v>
      </c>
      <c r="N135">
        <v>1.4701029466491844</v>
      </c>
      <c r="O135">
        <v>1.2491088282392158</v>
      </c>
    </row>
    <row r="136" spans="1:15">
      <c r="A136" s="19">
        <v>43649</v>
      </c>
      <c r="B136">
        <v>2797</v>
      </c>
      <c r="C136">
        <v>2802</v>
      </c>
      <c r="D136">
        <v>2071</v>
      </c>
      <c r="E136">
        <v>2045</v>
      </c>
      <c r="F136">
        <v>1.3701711491442501</v>
      </c>
      <c r="G136">
        <v>1.3591115032974901</v>
      </c>
      <c r="H136">
        <v>5.5231983968630702E-2</v>
      </c>
      <c r="I136">
        <v>0.200239880085472</v>
      </c>
      <c r="J136">
        <v>0.81</v>
      </c>
      <c r="L136">
        <v>1.4143434872661207</v>
      </c>
      <c r="M136">
        <v>1.3038795193288595</v>
      </c>
      <c r="N136">
        <v>1.4695754712347515</v>
      </c>
      <c r="O136">
        <v>1.2486475353602287</v>
      </c>
    </row>
    <row r="137" spans="1:15">
      <c r="A137" s="19">
        <v>43648</v>
      </c>
      <c r="B137">
        <v>2792</v>
      </c>
      <c r="C137">
        <v>2803</v>
      </c>
      <c r="D137">
        <v>2067</v>
      </c>
      <c r="E137">
        <v>2071</v>
      </c>
      <c r="F137">
        <v>1.35345243843553</v>
      </c>
      <c r="G137">
        <v>1.3588935188295601</v>
      </c>
      <c r="H137">
        <v>5.5220165392466998E-2</v>
      </c>
      <c r="I137">
        <v>-9.8534300927101803E-2</v>
      </c>
      <c r="J137">
        <v>-0.4</v>
      </c>
      <c r="L137">
        <v>1.4141136842220272</v>
      </c>
      <c r="M137">
        <v>1.303673353437093</v>
      </c>
      <c r="N137">
        <v>1.4693338496144941</v>
      </c>
      <c r="O137">
        <v>1.2484531880446261</v>
      </c>
    </row>
    <row r="138" spans="1:15">
      <c r="A138" s="19">
        <v>43647</v>
      </c>
      <c r="B138">
        <v>2796</v>
      </c>
      <c r="C138">
        <v>2802</v>
      </c>
      <c r="D138">
        <v>2022</v>
      </c>
      <c r="E138">
        <v>2075</v>
      </c>
      <c r="F138">
        <v>1.3503614457831301</v>
      </c>
      <c r="G138">
        <v>1.3587400483005601</v>
      </c>
      <c r="H138">
        <v>5.5251060568883299E-2</v>
      </c>
      <c r="I138">
        <v>-0.151646003373686</v>
      </c>
      <c r="J138">
        <v>-0.62</v>
      </c>
      <c r="L138">
        <v>1.4139911088694435</v>
      </c>
      <c r="M138">
        <v>1.3034889877316767</v>
      </c>
      <c r="N138">
        <v>1.4692421694383266</v>
      </c>
      <c r="O138">
        <v>1.2482379271627935</v>
      </c>
    </row>
    <row r="139" spans="1:15">
      <c r="A139" s="19">
        <v>43644</v>
      </c>
      <c r="B139">
        <v>2773</v>
      </c>
      <c r="C139">
        <v>2749</v>
      </c>
      <c r="D139">
        <v>1976</v>
      </c>
      <c r="E139">
        <v>2005</v>
      </c>
      <c r="F139">
        <v>1.37107231920199</v>
      </c>
      <c r="G139">
        <v>1.3590660332723099</v>
      </c>
      <c r="H139">
        <v>5.5272785309864098E-2</v>
      </c>
      <c r="I139">
        <v>0.21721876077661001</v>
      </c>
      <c r="J139">
        <v>0.88</v>
      </c>
      <c r="L139">
        <v>1.4143388185821739</v>
      </c>
      <c r="M139">
        <v>1.3037932479624459</v>
      </c>
      <c r="N139">
        <v>1.4696116038920382</v>
      </c>
      <c r="O139">
        <v>1.2485204626525817</v>
      </c>
    </row>
    <row r="140" spans="1:15">
      <c r="A140" s="19">
        <v>43643</v>
      </c>
      <c r="B140">
        <v>2777</v>
      </c>
      <c r="C140">
        <v>2776</v>
      </c>
      <c r="D140">
        <v>1945</v>
      </c>
      <c r="E140">
        <v>1977</v>
      </c>
      <c r="F140">
        <v>1.40414769853313</v>
      </c>
      <c r="G140">
        <v>1.3592112763786599</v>
      </c>
      <c r="H140">
        <v>5.5318437503913603E-2</v>
      </c>
      <c r="I140">
        <v>0.81232269351943098</v>
      </c>
      <c r="J140">
        <v>3.2</v>
      </c>
      <c r="L140">
        <v>1.4145297138825734</v>
      </c>
      <c r="M140">
        <v>1.3038928388747464</v>
      </c>
      <c r="N140">
        <v>1.4698481513864872</v>
      </c>
      <c r="O140">
        <v>1.2485744013708326</v>
      </c>
    </row>
    <row r="141" spans="1:15">
      <c r="A141" s="19">
        <v>43642</v>
      </c>
      <c r="B141">
        <v>2785</v>
      </c>
      <c r="C141">
        <v>2776</v>
      </c>
      <c r="D141">
        <v>1973</v>
      </c>
      <c r="E141">
        <v>1952</v>
      </c>
      <c r="F141">
        <v>1.4221311475409799</v>
      </c>
      <c r="G141">
        <v>1.3592007346674599</v>
      </c>
      <c r="H141">
        <v>5.5309947909513602E-2</v>
      </c>
      <c r="I141">
        <v>1.13777747497556</v>
      </c>
      <c r="J141">
        <v>4.43</v>
      </c>
      <c r="L141">
        <v>1.4145106825769735</v>
      </c>
      <c r="M141">
        <v>1.3038907867579463</v>
      </c>
      <c r="N141">
        <v>1.4698206304864871</v>
      </c>
      <c r="O141">
        <v>1.2485808388484327</v>
      </c>
    </row>
    <row r="142" spans="1:15">
      <c r="A142" s="19">
        <v>43641</v>
      </c>
      <c r="B142">
        <v>2813</v>
      </c>
      <c r="C142">
        <v>2811</v>
      </c>
      <c r="D142">
        <v>1958</v>
      </c>
      <c r="E142">
        <v>1970</v>
      </c>
      <c r="F142">
        <v>1.42690355329949</v>
      </c>
      <c r="G142">
        <v>1.3584459290736901</v>
      </c>
      <c r="H142">
        <v>5.4830192524623803E-2</v>
      </c>
      <c r="I142">
        <v>1.2485388263966599</v>
      </c>
      <c r="J142">
        <v>4.8</v>
      </c>
      <c r="L142">
        <v>1.4132761215983138</v>
      </c>
      <c r="M142">
        <v>1.3036157365490664</v>
      </c>
      <c r="N142">
        <v>1.4681063141229378</v>
      </c>
      <c r="O142">
        <v>1.2487855440244424</v>
      </c>
    </row>
    <row r="143" spans="1:15">
      <c r="A143" s="19">
        <v>43640</v>
      </c>
      <c r="B143">
        <v>2818</v>
      </c>
      <c r="C143">
        <v>2813</v>
      </c>
      <c r="D143">
        <v>1968</v>
      </c>
      <c r="E143">
        <v>1966</v>
      </c>
      <c r="F143">
        <v>1.4308240081383501</v>
      </c>
      <c r="G143">
        <v>1.3574641368070199</v>
      </c>
      <c r="H143">
        <v>5.4251796912456102E-2</v>
      </c>
      <c r="I143">
        <v>1.3522109037180801</v>
      </c>
      <c r="J143">
        <v>5.13</v>
      </c>
      <c r="L143">
        <v>1.411715933719476</v>
      </c>
      <c r="M143">
        <v>1.3032123398945639</v>
      </c>
      <c r="N143">
        <v>1.4659677306319321</v>
      </c>
      <c r="O143">
        <v>1.2489605429821078</v>
      </c>
    </row>
    <row r="144" spans="1:15">
      <c r="A144" s="19">
        <v>43637</v>
      </c>
      <c r="B144">
        <v>2880</v>
      </c>
      <c r="C144">
        <v>2816</v>
      </c>
      <c r="D144">
        <v>1964</v>
      </c>
      <c r="E144">
        <v>1957</v>
      </c>
      <c r="F144">
        <v>1.43893714869698</v>
      </c>
      <c r="G144">
        <v>1.35640486264672</v>
      </c>
      <c r="H144">
        <v>5.3580533827840199E-2</v>
      </c>
      <c r="I144">
        <v>1.5403408692314899</v>
      </c>
      <c r="J144">
        <v>5.74</v>
      </c>
      <c r="L144">
        <v>1.4099853964745601</v>
      </c>
      <c r="M144">
        <v>1.3028243288188799</v>
      </c>
      <c r="N144">
        <v>1.4635659303024005</v>
      </c>
      <c r="O144">
        <v>1.2492437949910395</v>
      </c>
    </row>
    <row r="145" spans="1:15">
      <c r="A145" s="19">
        <v>43636</v>
      </c>
      <c r="B145">
        <v>2900</v>
      </c>
      <c r="C145">
        <v>2879</v>
      </c>
      <c r="D145">
        <v>1971</v>
      </c>
      <c r="E145">
        <v>1964</v>
      </c>
      <c r="F145">
        <v>1.4658859470468399</v>
      </c>
      <c r="G145">
        <v>1.3554686066470001</v>
      </c>
      <c r="H145">
        <v>5.2737059846798898E-2</v>
      </c>
      <c r="I145">
        <v>2.0937333389575299</v>
      </c>
      <c r="J145">
        <v>7.53</v>
      </c>
      <c r="L145">
        <v>1.408205666493799</v>
      </c>
      <c r="M145">
        <v>1.3027315468002012</v>
      </c>
      <c r="N145">
        <v>1.4609427263405979</v>
      </c>
      <c r="O145">
        <v>1.2499944869534023</v>
      </c>
    </row>
    <row r="146" spans="1:15">
      <c r="A146" s="19">
        <v>43635</v>
      </c>
      <c r="B146">
        <v>2861</v>
      </c>
      <c r="C146">
        <v>2899</v>
      </c>
      <c r="D146">
        <v>1986</v>
      </c>
      <c r="E146">
        <v>1955</v>
      </c>
      <c r="F146">
        <v>1.48286445012787</v>
      </c>
      <c r="G146">
        <v>1.3541665162419301</v>
      </c>
      <c r="H146">
        <v>5.1177273077110098E-2</v>
      </c>
      <c r="I146">
        <v>2.5147477805632898</v>
      </c>
      <c r="J146">
        <v>8.68</v>
      </c>
      <c r="L146">
        <v>1.4053437893190401</v>
      </c>
      <c r="M146">
        <v>1.30298924316482</v>
      </c>
      <c r="N146">
        <v>1.4565210623961502</v>
      </c>
      <c r="O146">
        <v>1.2518119700877099</v>
      </c>
    </row>
    <row r="147" spans="1:15">
      <c r="A147" s="19">
        <v>43634</v>
      </c>
      <c r="B147">
        <v>2834</v>
      </c>
      <c r="C147">
        <v>2828</v>
      </c>
      <c r="D147">
        <v>2003</v>
      </c>
      <c r="E147">
        <v>1978</v>
      </c>
      <c r="F147">
        <v>1.42972699696663</v>
      </c>
      <c r="G147">
        <v>1.3524455317564701</v>
      </c>
      <c r="H147">
        <v>4.8941917278469298E-2</v>
      </c>
      <c r="I147">
        <v>1.57904449820476</v>
      </c>
      <c r="J147">
        <v>5.41</v>
      </c>
      <c r="L147">
        <v>1.4013874490349394</v>
      </c>
      <c r="M147">
        <v>1.3035036144780008</v>
      </c>
      <c r="N147">
        <v>1.4503293663134087</v>
      </c>
      <c r="O147">
        <v>1.2545616971995315</v>
      </c>
    </row>
    <row r="148" spans="1:15">
      <c r="A148" s="19">
        <v>43633</v>
      </c>
      <c r="B148">
        <v>2826</v>
      </c>
      <c r="C148">
        <v>2830</v>
      </c>
      <c r="D148">
        <v>2009</v>
      </c>
      <c r="E148">
        <v>1993</v>
      </c>
      <c r="F148">
        <v>1.4199698946312</v>
      </c>
      <c r="G148">
        <v>1.35156110813644</v>
      </c>
      <c r="H148">
        <v>4.8129983802023497E-2</v>
      </c>
      <c r="I148">
        <v>1.4213340851341101</v>
      </c>
      <c r="J148">
        <v>4.82</v>
      </c>
      <c r="L148">
        <v>1.3996910919384635</v>
      </c>
      <c r="M148">
        <v>1.3034311243344165</v>
      </c>
      <c r="N148">
        <v>1.447821075740487</v>
      </c>
      <c r="O148">
        <v>1.2553011405323931</v>
      </c>
    </row>
    <row r="149" spans="1:15">
      <c r="A149" s="19">
        <v>43630</v>
      </c>
      <c r="B149">
        <v>2830</v>
      </c>
      <c r="C149">
        <v>2825</v>
      </c>
      <c r="D149">
        <v>2007</v>
      </c>
      <c r="E149">
        <v>2010</v>
      </c>
      <c r="F149">
        <v>1.4054726368159201</v>
      </c>
      <c r="G149">
        <v>1.35082284146151</v>
      </c>
      <c r="H149">
        <v>4.74954763600203E-2</v>
      </c>
      <c r="I149">
        <v>1.15063158731489</v>
      </c>
      <c r="J149">
        <v>3.89</v>
      </c>
      <c r="L149">
        <v>1.3983183178215304</v>
      </c>
      <c r="M149">
        <v>1.3033273651014896</v>
      </c>
      <c r="N149">
        <v>1.4458137941815505</v>
      </c>
      <c r="O149">
        <v>1.2558318887414694</v>
      </c>
    </row>
    <row r="150" spans="1:15">
      <c r="A150" s="19">
        <v>43629</v>
      </c>
      <c r="B150">
        <v>2808</v>
      </c>
      <c r="C150">
        <v>2808</v>
      </c>
      <c r="D150">
        <v>2023</v>
      </c>
      <c r="E150">
        <v>2001</v>
      </c>
      <c r="F150">
        <v>1.40329835082458</v>
      </c>
      <c r="G150">
        <v>1.35036707030828</v>
      </c>
      <c r="H150">
        <v>4.7131480961508397E-2</v>
      </c>
      <c r="I150">
        <v>1.1230557461059001</v>
      </c>
      <c r="J150">
        <v>3.77</v>
      </c>
      <c r="L150">
        <v>1.3974985512697884</v>
      </c>
      <c r="M150">
        <v>1.3032355893467715</v>
      </c>
      <c r="N150">
        <v>1.4446300322312968</v>
      </c>
      <c r="O150">
        <v>1.2561041083852631</v>
      </c>
    </row>
    <row r="151" spans="1:15">
      <c r="A151" s="19">
        <v>43628</v>
      </c>
      <c r="B151">
        <v>2806</v>
      </c>
      <c r="C151">
        <v>2829</v>
      </c>
      <c r="D151">
        <v>2037</v>
      </c>
      <c r="E151">
        <v>2037</v>
      </c>
      <c r="F151">
        <v>1.3888070692194401</v>
      </c>
      <c r="G151">
        <v>1.3492210012763799</v>
      </c>
      <c r="H151">
        <v>4.6874809732983198E-2</v>
      </c>
      <c r="I151">
        <v>0.84450621066106801</v>
      </c>
      <c r="J151">
        <v>2.85</v>
      </c>
      <c r="L151">
        <v>1.3960958110093631</v>
      </c>
      <c r="M151">
        <v>1.3023461915433967</v>
      </c>
      <c r="N151">
        <v>1.4429706207423463</v>
      </c>
      <c r="O151">
        <v>1.2554713818104135</v>
      </c>
    </row>
    <row r="152" spans="1:15">
      <c r="A152" s="19">
        <v>43627</v>
      </c>
      <c r="B152">
        <v>2793</v>
      </c>
      <c r="C152">
        <v>2797</v>
      </c>
      <c r="D152">
        <v>2050</v>
      </c>
      <c r="E152">
        <v>2041</v>
      </c>
      <c r="F152">
        <v>1.37040666340029</v>
      </c>
      <c r="G152">
        <v>1.34870501668823</v>
      </c>
      <c r="H152">
        <v>4.66486650679378E-2</v>
      </c>
      <c r="I152">
        <v>0.46521474259676499</v>
      </c>
      <c r="J152">
        <v>1.58</v>
      </c>
      <c r="L152">
        <v>1.3953536817561678</v>
      </c>
      <c r="M152">
        <v>1.3020563516202921</v>
      </c>
      <c r="N152">
        <v>1.4420023468241054</v>
      </c>
      <c r="O152">
        <v>1.2554076865523545</v>
      </c>
    </row>
    <row r="153" spans="1:15">
      <c r="A153" s="19">
        <v>43626</v>
      </c>
      <c r="B153">
        <v>2799</v>
      </c>
      <c r="C153">
        <v>2787</v>
      </c>
      <c r="D153">
        <v>2022</v>
      </c>
      <c r="E153">
        <v>2038</v>
      </c>
      <c r="F153">
        <v>1.3675171736997001</v>
      </c>
      <c r="G153">
        <v>1.34842349730245</v>
      </c>
      <c r="H153">
        <v>4.6580508995643498E-2</v>
      </c>
      <c r="I153">
        <v>0.40990699348176701</v>
      </c>
      <c r="J153">
        <v>1.4</v>
      </c>
      <c r="L153">
        <v>1.3950040062980935</v>
      </c>
      <c r="M153">
        <v>1.3018429883068066</v>
      </c>
      <c r="N153">
        <v>1.441584515293737</v>
      </c>
      <c r="O153">
        <v>1.2552624793111631</v>
      </c>
    </row>
    <row r="154" spans="1:15">
      <c r="A154" s="19">
        <v>43623</v>
      </c>
      <c r="B154">
        <v>2737</v>
      </c>
      <c r="C154">
        <v>2768</v>
      </c>
      <c r="D154">
        <v>2008</v>
      </c>
      <c r="E154">
        <v>2007</v>
      </c>
      <c r="F154">
        <v>1.37917289486796</v>
      </c>
      <c r="G154">
        <v>1.34829291601626</v>
      </c>
      <c r="H154">
        <v>4.6540510027283002E-2</v>
      </c>
      <c r="I154">
        <v>0.66350752996893703</v>
      </c>
      <c r="J154">
        <v>2.2400000000000002</v>
      </c>
      <c r="L154">
        <v>1.3948334260435431</v>
      </c>
      <c r="M154">
        <v>1.3017524059889769</v>
      </c>
      <c r="N154">
        <v>1.441373936070826</v>
      </c>
      <c r="O154">
        <v>1.255211895961694</v>
      </c>
    </row>
    <row r="155" spans="1:15">
      <c r="A155" s="19">
        <v>43622</v>
      </c>
      <c r="B155">
        <v>2707</v>
      </c>
      <c r="C155">
        <v>2737</v>
      </c>
      <c r="D155">
        <v>1989</v>
      </c>
      <c r="E155">
        <v>2005</v>
      </c>
      <c r="F155">
        <v>1.36508728179551</v>
      </c>
      <c r="G155">
        <v>1.3474342795593499</v>
      </c>
      <c r="H155">
        <v>4.6556919014883201E-2</v>
      </c>
      <c r="I155">
        <v>0.37917032762659297</v>
      </c>
      <c r="J155">
        <v>1.29</v>
      </c>
      <c r="L155">
        <v>1.393991198574233</v>
      </c>
      <c r="M155">
        <v>1.3008773605444668</v>
      </c>
      <c r="N155">
        <v>1.4405481175891164</v>
      </c>
      <c r="O155">
        <v>1.2543204415295834</v>
      </c>
    </row>
    <row r="156" spans="1:15">
      <c r="A156" s="19">
        <v>43621</v>
      </c>
      <c r="B156">
        <v>2716</v>
      </c>
      <c r="C156">
        <v>2704</v>
      </c>
      <c r="D156">
        <v>1956</v>
      </c>
      <c r="E156">
        <v>1987</v>
      </c>
      <c r="F156">
        <v>1.36084549572219</v>
      </c>
      <c r="G156">
        <v>1.3474957420647</v>
      </c>
      <c r="H156">
        <v>4.6583218533877702E-2</v>
      </c>
      <c r="I156">
        <v>0.28657860228742199</v>
      </c>
      <c r="J156">
        <v>0.98</v>
      </c>
      <c r="L156">
        <v>1.3940789605985777</v>
      </c>
      <c r="M156">
        <v>1.3009125235308223</v>
      </c>
      <c r="N156">
        <v>1.4406621791324554</v>
      </c>
      <c r="O156">
        <v>1.2543293049969446</v>
      </c>
    </row>
    <row r="157" spans="1:15">
      <c r="A157" s="19">
        <v>43620</v>
      </c>
      <c r="B157">
        <v>2669</v>
      </c>
      <c r="C157">
        <v>2639</v>
      </c>
      <c r="D157">
        <v>1980</v>
      </c>
      <c r="E157">
        <v>1923</v>
      </c>
      <c r="F157">
        <v>1.37233489339573</v>
      </c>
      <c r="G157">
        <v>1.3480929194926301</v>
      </c>
      <c r="H157">
        <v>4.7035417902172902E-2</v>
      </c>
      <c r="I157">
        <v>0.51539828887074002</v>
      </c>
      <c r="J157">
        <v>1.77</v>
      </c>
      <c r="L157">
        <v>1.3951283373948029</v>
      </c>
      <c r="M157">
        <v>1.3010575015904573</v>
      </c>
      <c r="N157">
        <v>1.4421637552969759</v>
      </c>
      <c r="O157">
        <v>1.2540220836882843</v>
      </c>
    </row>
    <row r="158" spans="1:15">
      <c r="A158" s="19">
        <v>43619</v>
      </c>
      <c r="B158">
        <v>2682</v>
      </c>
      <c r="C158">
        <v>2661</v>
      </c>
      <c r="D158">
        <v>1960</v>
      </c>
      <c r="E158">
        <v>1992</v>
      </c>
      <c r="F158">
        <v>1.3358433734939701</v>
      </c>
      <c r="G158">
        <v>1.34816695809774</v>
      </c>
      <c r="H158">
        <v>4.7077870257810198E-2</v>
      </c>
      <c r="I158">
        <v>-0.26177022317027698</v>
      </c>
      <c r="J158">
        <v>-0.92</v>
      </c>
      <c r="L158">
        <v>1.3952448283555503</v>
      </c>
      <c r="M158">
        <v>1.3010890878399297</v>
      </c>
      <c r="N158">
        <v>1.4423226986133604</v>
      </c>
      <c r="O158">
        <v>1.2540112175821196</v>
      </c>
    </row>
    <row r="159" spans="1:15">
      <c r="A159" s="19">
        <v>43616</v>
      </c>
      <c r="B159">
        <v>2748</v>
      </c>
      <c r="C159">
        <v>2732</v>
      </c>
      <c r="D159">
        <v>1976</v>
      </c>
      <c r="E159">
        <v>1979</v>
      </c>
      <c r="F159">
        <v>1.38049519959575</v>
      </c>
      <c r="G159">
        <v>1.3488049884801401</v>
      </c>
      <c r="H159">
        <v>4.7230544673046403E-2</v>
      </c>
      <c r="I159">
        <v>0.67096857203294202</v>
      </c>
      <c r="J159">
        <v>2.2999999999999998</v>
      </c>
      <c r="L159">
        <v>1.3960355331531864</v>
      </c>
      <c r="M159">
        <v>1.3015744438070938</v>
      </c>
      <c r="N159">
        <v>1.443266077826233</v>
      </c>
      <c r="O159">
        <v>1.2543438991340472</v>
      </c>
    </row>
    <row r="160" spans="1:15">
      <c r="A160" s="19">
        <v>43615</v>
      </c>
      <c r="B160">
        <v>2758</v>
      </c>
      <c r="C160">
        <v>2762</v>
      </c>
      <c r="D160">
        <v>1975</v>
      </c>
      <c r="E160">
        <v>1996</v>
      </c>
      <c r="F160">
        <v>1.3837675350701399</v>
      </c>
      <c r="G160">
        <v>1.34845990227094</v>
      </c>
      <c r="H160">
        <v>4.70920894934495E-2</v>
      </c>
      <c r="I160">
        <v>0.74975719232229998</v>
      </c>
      <c r="J160">
        <v>2.5499999999999998</v>
      </c>
      <c r="L160">
        <v>1.3955519917643895</v>
      </c>
      <c r="M160">
        <v>1.3013678127774906</v>
      </c>
      <c r="N160">
        <v>1.4426440812578389</v>
      </c>
      <c r="O160">
        <v>1.2542757232840411</v>
      </c>
    </row>
    <row r="161" spans="1:15">
      <c r="A161" s="19">
        <v>43614</v>
      </c>
      <c r="B161">
        <v>2820</v>
      </c>
      <c r="C161">
        <v>2786</v>
      </c>
      <c r="D161">
        <v>1997</v>
      </c>
      <c r="E161">
        <v>1991</v>
      </c>
      <c r="F161">
        <v>1.3992968357609199</v>
      </c>
      <c r="G161">
        <v>1.3486806454814999</v>
      </c>
      <c r="H161">
        <v>4.7295439242196702E-2</v>
      </c>
      <c r="I161">
        <v>1.07021292307323</v>
      </c>
      <c r="J161">
        <v>3.62</v>
      </c>
      <c r="L161">
        <v>1.3959760847236966</v>
      </c>
      <c r="M161">
        <v>1.3013852062393032</v>
      </c>
      <c r="N161">
        <v>1.4432715239658933</v>
      </c>
      <c r="O161">
        <v>1.2540897669971065</v>
      </c>
    </row>
    <row r="162" spans="1:15">
      <c r="A162" s="19">
        <v>43613</v>
      </c>
      <c r="B162">
        <v>2865</v>
      </c>
      <c r="C162">
        <v>2855</v>
      </c>
      <c r="D162">
        <v>1989</v>
      </c>
      <c r="E162">
        <v>2022</v>
      </c>
      <c r="F162">
        <v>1.41196834817012</v>
      </c>
      <c r="G162">
        <v>1.3484848927995501</v>
      </c>
      <c r="H162">
        <v>4.7115577863831103E-2</v>
      </c>
      <c r="I162">
        <v>1.3473984242333299</v>
      </c>
      <c r="J162">
        <v>4.5</v>
      </c>
      <c r="L162">
        <v>1.3956004706633811</v>
      </c>
      <c r="M162">
        <v>1.3013693149357191</v>
      </c>
      <c r="N162">
        <v>1.4427160485272124</v>
      </c>
      <c r="O162">
        <v>1.2542537370718878</v>
      </c>
    </row>
    <row r="163" spans="1:15">
      <c r="A163" s="19">
        <v>43612</v>
      </c>
      <c r="B163">
        <v>2837</v>
      </c>
      <c r="C163">
        <v>2846</v>
      </c>
      <c r="D163">
        <v>2010</v>
      </c>
      <c r="E163">
        <v>1995</v>
      </c>
      <c r="F163">
        <v>1.4265664160400999</v>
      </c>
      <c r="G163">
        <v>1.3472290835762399</v>
      </c>
      <c r="H163">
        <v>4.6659764931630897E-2</v>
      </c>
      <c r="I163">
        <v>1.7003371658666799</v>
      </c>
      <c r="J163">
        <v>5.56</v>
      </c>
      <c r="L163">
        <v>1.3938888485078709</v>
      </c>
      <c r="M163">
        <v>1.300569318644609</v>
      </c>
      <c r="N163">
        <v>1.4405486134395018</v>
      </c>
      <c r="O163">
        <v>1.2539095537129781</v>
      </c>
    </row>
    <row r="164" spans="1:15">
      <c r="A164" s="19">
        <v>43609</v>
      </c>
      <c r="B164">
        <v>2801</v>
      </c>
      <c r="C164">
        <v>2837</v>
      </c>
      <c r="D164">
        <v>2015</v>
      </c>
      <c r="E164">
        <v>2001</v>
      </c>
      <c r="F164">
        <v>1.41779110444777</v>
      </c>
      <c r="G164">
        <v>1.3448525432671301</v>
      </c>
      <c r="H164">
        <v>4.7095485669648898E-2</v>
      </c>
      <c r="I164">
        <v>1.5487378491489501</v>
      </c>
      <c r="J164">
        <v>5.14</v>
      </c>
      <c r="L164">
        <v>1.3919480289367789</v>
      </c>
      <c r="M164">
        <v>1.2977570575974813</v>
      </c>
      <c r="N164">
        <v>1.439043514606428</v>
      </c>
      <c r="O164">
        <v>1.2506615719278322</v>
      </c>
    </row>
    <row r="165" spans="1:15">
      <c r="A165" s="19">
        <v>43608</v>
      </c>
      <c r="B165">
        <v>2831</v>
      </c>
      <c r="C165">
        <v>2841</v>
      </c>
      <c r="D165">
        <v>1979</v>
      </c>
      <c r="E165">
        <v>2023</v>
      </c>
      <c r="F165">
        <v>1.4043499752842299</v>
      </c>
      <c r="G165">
        <v>1.3429136424192401</v>
      </c>
      <c r="H165">
        <v>4.7046087989058898E-2</v>
      </c>
      <c r="I165">
        <v>1.3058754827663901</v>
      </c>
      <c r="J165">
        <v>4.37</v>
      </c>
      <c r="L165">
        <v>1.3899597304082989</v>
      </c>
      <c r="M165">
        <v>1.2958675544301812</v>
      </c>
      <c r="N165">
        <v>1.4370058183973577</v>
      </c>
      <c r="O165">
        <v>1.2488214664411224</v>
      </c>
    </row>
    <row r="166" spans="1:15">
      <c r="A166" s="19">
        <v>43607</v>
      </c>
      <c r="B166">
        <v>2819</v>
      </c>
      <c r="C166">
        <v>2836</v>
      </c>
      <c r="D166">
        <v>2003</v>
      </c>
      <c r="E166">
        <v>1984</v>
      </c>
      <c r="F166">
        <v>1.42943548387096</v>
      </c>
      <c r="G166">
        <v>1.34065575079849</v>
      </c>
      <c r="H166">
        <v>4.8095309032815801E-2</v>
      </c>
      <c r="I166">
        <v>1.8459125194911901</v>
      </c>
      <c r="J166">
        <v>6.21</v>
      </c>
      <c r="L166">
        <v>1.3887510598313058</v>
      </c>
      <c r="M166">
        <v>1.2925604417656742</v>
      </c>
      <c r="N166">
        <v>1.4368463688641215</v>
      </c>
      <c r="O166">
        <v>1.2444651327328584</v>
      </c>
    </row>
    <row r="167" spans="1:15">
      <c r="A167" s="19">
        <v>43606</v>
      </c>
      <c r="B167">
        <v>2802</v>
      </c>
      <c r="C167">
        <v>2829</v>
      </c>
      <c r="D167">
        <v>1963</v>
      </c>
      <c r="E167">
        <v>1991</v>
      </c>
      <c r="F167">
        <v>1.42089402310396</v>
      </c>
      <c r="G167">
        <v>1.33808275936028</v>
      </c>
      <c r="H167">
        <v>4.8437597488305902E-2</v>
      </c>
      <c r="I167">
        <v>1.7096484556995899</v>
      </c>
      <c r="J167">
        <v>5.83</v>
      </c>
      <c r="L167">
        <v>1.386520356848586</v>
      </c>
      <c r="M167">
        <v>1.289645161871974</v>
      </c>
      <c r="N167">
        <v>1.4349579543368918</v>
      </c>
      <c r="O167">
        <v>1.2412075643836682</v>
      </c>
    </row>
    <row r="168" spans="1:15">
      <c r="A168" s="19">
        <v>43605</v>
      </c>
      <c r="B168">
        <v>2810</v>
      </c>
      <c r="C168">
        <v>2806</v>
      </c>
      <c r="D168">
        <v>2001</v>
      </c>
      <c r="E168">
        <v>2002</v>
      </c>
      <c r="F168">
        <v>1.4015984015984</v>
      </c>
      <c r="G168">
        <v>1.33654039140147</v>
      </c>
      <c r="H168">
        <v>4.7610802250041002E-2</v>
      </c>
      <c r="I168">
        <v>1.36645481954401</v>
      </c>
      <c r="J168">
        <v>4.6399999999999997</v>
      </c>
      <c r="L168">
        <v>1.384151193651511</v>
      </c>
      <c r="M168">
        <v>1.288929589151429</v>
      </c>
      <c r="N168">
        <v>1.431761995901552</v>
      </c>
      <c r="O168">
        <v>1.241318786901388</v>
      </c>
    </row>
    <row r="169" spans="1:15">
      <c r="A169" s="19">
        <v>43602</v>
      </c>
      <c r="B169">
        <v>2758</v>
      </c>
      <c r="C169">
        <v>2807</v>
      </c>
      <c r="D169">
        <v>1989</v>
      </c>
      <c r="E169">
        <v>1992</v>
      </c>
      <c r="F169">
        <v>1.4091365461847301</v>
      </c>
      <c r="G169">
        <v>1.33504846966859</v>
      </c>
      <c r="H169">
        <v>4.7300919928607299E-2</v>
      </c>
      <c r="I169">
        <v>1.5663136494590799</v>
      </c>
      <c r="J169">
        <v>5.26</v>
      </c>
      <c r="L169">
        <v>1.3823493895971972</v>
      </c>
      <c r="M169">
        <v>1.2877475497399828</v>
      </c>
      <c r="N169">
        <v>1.4296503095258046</v>
      </c>
      <c r="O169">
        <v>1.2404466298113754</v>
      </c>
    </row>
    <row r="170" spans="1:15">
      <c r="A170" s="19">
        <v>43601</v>
      </c>
      <c r="B170">
        <v>2739</v>
      </c>
      <c r="C170">
        <v>2731</v>
      </c>
      <c r="D170">
        <v>1953</v>
      </c>
      <c r="E170">
        <v>1957</v>
      </c>
      <c r="F170">
        <v>1.3955033214103201</v>
      </c>
      <c r="G170">
        <v>1.33350211050773</v>
      </c>
      <c r="H170">
        <v>4.6746061297755701E-2</v>
      </c>
      <c r="I170">
        <v>1.32634085485111</v>
      </c>
      <c r="J170">
        <v>4.4400000000000004</v>
      </c>
      <c r="L170">
        <v>1.3802481718054858</v>
      </c>
      <c r="M170">
        <v>1.2867560492099743</v>
      </c>
      <c r="N170">
        <v>1.4269942331032415</v>
      </c>
      <c r="O170">
        <v>1.2400099879122186</v>
      </c>
    </row>
    <row r="171" spans="1:15">
      <c r="A171" s="19">
        <v>43600</v>
      </c>
      <c r="B171">
        <v>2812</v>
      </c>
      <c r="C171">
        <v>2739</v>
      </c>
      <c r="D171">
        <v>1940</v>
      </c>
      <c r="E171">
        <v>1919</v>
      </c>
      <c r="F171">
        <v>1.4273058884835801</v>
      </c>
      <c r="G171">
        <v>1.3318818956465699</v>
      </c>
      <c r="H171">
        <v>4.6674841175448803E-2</v>
      </c>
      <c r="I171">
        <v>2.0444417256465899</v>
      </c>
      <c r="J171">
        <v>6.69</v>
      </c>
      <c r="L171">
        <v>1.3785567368220186</v>
      </c>
      <c r="M171">
        <v>1.2852070544711212</v>
      </c>
      <c r="N171">
        <v>1.4252315779974676</v>
      </c>
      <c r="O171">
        <v>1.2385322132956722</v>
      </c>
    </row>
    <row r="172" spans="1:15">
      <c r="A172" s="19">
        <v>43599</v>
      </c>
      <c r="B172">
        <v>2700</v>
      </c>
      <c r="C172">
        <v>2817</v>
      </c>
      <c r="D172">
        <v>1921</v>
      </c>
      <c r="E172">
        <v>1923</v>
      </c>
      <c r="F172">
        <v>1.4648985959438301</v>
      </c>
      <c r="G172">
        <v>1.3298137590083401</v>
      </c>
      <c r="H172">
        <v>4.5829609257256203E-2</v>
      </c>
      <c r="I172">
        <v>2.9475450287437202</v>
      </c>
      <c r="J172">
        <v>9.2200000000000006</v>
      </c>
      <c r="L172">
        <v>1.3756433682655962</v>
      </c>
      <c r="M172">
        <v>1.283984149751084</v>
      </c>
      <c r="N172">
        <v>1.4214729775228525</v>
      </c>
      <c r="O172">
        <v>1.2381545404938277</v>
      </c>
    </row>
    <row r="173" spans="1:15">
      <c r="A173" s="19">
        <v>43598</v>
      </c>
      <c r="B173">
        <v>2716</v>
      </c>
      <c r="C173">
        <v>2723</v>
      </c>
      <c r="D173">
        <v>1921</v>
      </c>
      <c r="E173">
        <v>1945</v>
      </c>
      <c r="F173">
        <v>1.4</v>
      </c>
      <c r="G173">
        <v>1.3273045697518799</v>
      </c>
      <c r="H173">
        <v>4.3455178232342601E-2</v>
      </c>
      <c r="I173">
        <v>1.6728830304050799</v>
      </c>
      <c r="J173">
        <v>5.19</v>
      </c>
      <c r="L173">
        <v>1.3707597479842226</v>
      </c>
      <c r="M173">
        <v>1.2838493915195373</v>
      </c>
      <c r="N173">
        <v>1.4142149262165651</v>
      </c>
      <c r="O173">
        <v>1.2403942132871948</v>
      </c>
    </row>
    <row r="174" spans="1:15">
      <c r="A174" s="19">
        <v>43595</v>
      </c>
      <c r="B174">
        <v>2714</v>
      </c>
      <c r="C174">
        <v>2708</v>
      </c>
      <c r="D174">
        <v>1909</v>
      </c>
      <c r="E174">
        <v>1922</v>
      </c>
      <c r="F174">
        <v>1.40894901144641</v>
      </c>
      <c r="G174">
        <v>1.3256454380690701</v>
      </c>
      <c r="H174">
        <v>4.3021286124331197E-2</v>
      </c>
      <c r="I174">
        <v>1.9363338682295801</v>
      </c>
      <c r="J174">
        <v>5.91</v>
      </c>
      <c r="L174">
        <v>1.3686667241934012</v>
      </c>
      <c r="M174">
        <v>1.282624151944739</v>
      </c>
      <c r="N174">
        <v>1.4116880103177325</v>
      </c>
      <c r="O174">
        <v>1.2396028658204077</v>
      </c>
    </row>
    <row r="175" spans="1:15">
      <c r="A175" s="19">
        <v>43594</v>
      </c>
      <c r="B175">
        <v>2751</v>
      </c>
      <c r="C175">
        <v>2715</v>
      </c>
      <c r="D175">
        <v>1988</v>
      </c>
      <c r="E175">
        <v>1912</v>
      </c>
      <c r="F175">
        <v>1.4199790794978999</v>
      </c>
      <c r="G175">
        <v>1.3240207415723599</v>
      </c>
      <c r="H175">
        <v>4.21364245802517E-2</v>
      </c>
      <c r="I175">
        <v>2.27732511435044</v>
      </c>
      <c r="J175">
        <v>6.76</v>
      </c>
      <c r="L175">
        <v>1.3661571661526117</v>
      </c>
      <c r="M175">
        <v>1.2818843169921081</v>
      </c>
      <c r="N175">
        <v>1.4082935907328633</v>
      </c>
      <c r="O175">
        <v>1.2397478924118566</v>
      </c>
    </row>
    <row r="176" spans="1:15">
      <c r="A176" s="19">
        <v>43593</v>
      </c>
      <c r="B176">
        <v>2752</v>
      </c>
      <c r="C176">
        <v>2774</v>
      </c>
      <c r="D176">
        <v>2005</v>
      </c>
      <c r="E176">
        <v>2020</v>
      </c>
      <c r="F176">
        <v>1.37326732673267</v>
      </c>
      <c r="G176">
        <v>1.32253686868652</v>
      </c>
      <c r="H176">
        <v>4.0664940079013799E-2</v>
      </c>
      <c r="I176">
        <v>1.24752324600932</v>
      </c>
      <c r="J176">
        <v>3.69</v>
      </c>
      <c r="L176">
        <v>1.3632018087655338</v>
      </c>
      <c r="M176">
        <v>1.2818719286075062</v>
      </c>
      <c r="N176">
        <v>1.4038667488445475</v>
      </c>
      <c r="O176">
        <v>1.2412069885284924</v>
      </c>
    </row>
    <row r="177" spans="1:15">
      <c r="A177" s="19">
        <v>43592</v>
      </c>
      <c r="B177">
        <v>2678</v>
      </c>
      <c r="C177">
        <v>2745</v>
      </c>
      <c r="D177">
        <v>2016</v>
      </c>
      <c r="E177">
        <v>2027</v>
      </c>
      <c r="F177">
        <v>1.35421805624075</v>
      </c>
      <c r="G177">
        <v>1.3221062521387801</v>
      </c>
      <c r="H177">
        <v>4.0294769728084399E-2</v>
      </c>
      <c r="I177">
        <v>0.796922387661265</v>
      </c>
      <c r="J177">
        <v>2.37</v>
      </c>
      <c r="L177">
        <v>1.3624010218668645</v>
      </c>
      <c r="M177">
        <v>1.2818114824106956</v>
      </c>
      <c r="N177">
        <v>1.4026957915949489</v>
      </c>
      <c r="O177">
        <v>1.2415167126826112</v>
      </c>
    </row>
    <row r="178" spans="1:15">
      <c r="A178" s="19">
        <v>43581</v>
      </c>
      <c r="B178">
        <v>2681</v>
      </c>
      <c r="C178">
        <v>2677</v>
      </c>
      <c r="D178">
        <v>2085</v>
      </c>
      <c r="E178">
        <v>2022</v>
      </c>
      <c r="F178">
        <v>1.3239366963402499</v>
      </c>
      <c r="G178">
        <v>1.3216128877615601</v>
      </c>
      <c r="H178">
        <v>4.0124743603162601E-2</v>
      </c>
      <c r="I178">
        <v>5.7914602562434102E-2</v>
      </c>
      <c r="J178">
        <v>0.18</v>
      </c>
      <c r="L178">
        <v>1.3617376313647227</v>
      </c>
      <c r="M178">
        <v>1.2814881441583974</v>
      </c>
      <c r="N178">
        <v>1.4018623749678853</v>
      </c>
      <c r="O178">
        <v>1.2413634005552348</v>
      </c>
    </row>
    <row r="179" spans="1:15">
      <c r="A179" s="19">
        <v>43580</v>
      </c>
      <c r="B179">
        <v>2669</v>
      </c>
      <c r="C179">
        <v>2699</v>
      </c>
      <c r="D179">
        <v>2093</v>
      </c>
      <c r="E179">
        <v>2095</v>
      </c>
      <c r="F179">
        <v>1.28830548926014</v>
      </c>
      <c r="G179">
        <v>1.3214819919901499</v>
      </c>
      <c r="H179">
        <v>4.0132961388445097E-2</v>
      </c>
      <c r="I179">
        <v>-0.82666470607287401</v>
      </c>
      <c r="J179">
        <v>-2.58</v>
      </c>
      <c r="L179">
        <v>1.3616149533785951</v>
      </c>
      <c r="M179">
        <v>1.2813490306017048</v>
      </c>
      <c r="N179">
        <v>1.4017479147670402</v>
      </c>
      <c r="O179">
        <v>1.2412160692132597</v>
      </c>
    </row>
    <row r="180" spans="1:15">
      <c r="A180" s="19">
        <v>43579</v>
      </c>
      <c r="B180">
        <v>2699</v>
      </c>
      <c r="C180">
        <v>2679</v>
      </c>
      <c r="D180">
        <v>2077</v>
      </c>
      <c r="E180">
        <v>2088</v>
      </c>
      <c r="F180">
        <v>1.2830459770114899</v>
      </c>
      <c r="G180">
        <v>1.32194451416543</v>
      </c>
      <c r="H180">
        <v>3.9947408349215799E-2</v>
      </c>
      <c r="I180">
        <v>-0.973743698562341</v>
      </c>
      <c r="J180">
        <v>-3.03</v>
      </c>
      <c r="L180">
        <v>1.3618919225146457</v>
      </c>
      <c r="M180">
        <v>1.2819971058162143</v>
      </c>
      <c r="N180">
        <v>1.4018393308638617</v>
      </c>
      <c r="O180">
        <v>1.2420496974669983</v>
      </c>
    </row>
    <row r="181" spans="1:15">
      <c r="A181" s="19">
        <v>43578</v>
      </c>
      <c r="B181">
        <v>2672</v>
      </c>
      <c r="C181">
        <v>2687</v>
      </c>
      <c r="D181">
        <v>2073</v>
      </c>
      <c r="E181">
        <v>2072</v>
      </c>
      <c r="F181">
        <v>1.29681467181467</v>
      </c>
      <c r="G181">
        <v>1.3223822669696299</v>
      </c>
      <c r="H181">
        <v>3.9697858666224703E-2</v>
      </c>
      <c r="I181">
        <v>-0.64405476803999995</v>
      </c>
      <c r="J181">
        <v>-1.97</v>
      </c>
      <c r="L181">
        <v>1.3620801256358546</v>
      </c>
      <c r="M181">
        <v>1.2826844083034052</v>
      </c>
      <c r="N181">
        <v>1.4017779843020792</v>
      </c>
      <c r="O181">
        <v>1.2429865496371806</v>
      </c>
    </row>
    <row r="182" spans="1:15">
      <c r="A182" s="19">
        <v>43577</v>
      </c>
      <c r="B182">
        <v>2667</v>
      </c>
      <c r="C182">
        <v>2680</v>
      </c>
      <c r="D182">
        <v>2060</v>
      </c>
      <c r="E182">
        <v>2067</v>
      </c>
      <c r="F182">
        <v>1.29656507014997</v>
      </c>
      <c r="G182">
        <v>1.3230135779533601</v>
      </c>
      <c r="H182">
        <v>3.9662712195349399E-2</v>
      </c>
      <c r="I182">
        <v>-0.66683558282963795</v>
      </c>
      <c r="J182">
        <v>-2.04</v>
      </c>
      <c r="L182">
        <v>1.3626762901487095</v>
      </c>
      <c r="M182">
        <v>1.2833508657580106</v>
      </c>
      <c r="N182">
        <v>1.4023390023440589</v>
      </c>
      <c r="O182">
        <v>1.2436881535626612</v>
      </c>
    </row>
    <row r="183" spans="1:15">
      <c r="A183" s="19">
        <v>43574</v>
      </c>
      <c r="B183">
        <v>2660</v>
      </c>
      <c r="C183">
        <v>2668</v>
      </c>
      <c r="D183">
        <v>2070</v>
      </c>
      <c r="E183">
        <v>2066</v>
      </c>
      <c r="F183">
        <v>1.2913843175217801</v>
      </c>
      <c r="G183">
        <v>1.32335477742118</v>
      </c>
      <c r="H183">
        <v>3.9543610973241002E-2</v>
      </c>
      <c r="I183">
        <v>-0.808486102117425</v>
      </c>
      <c r="J183">
        <v>-2.48</v>
      </c>
      <c r="L183">
        <v>1.362898388394421</v>
      </c>
      <c r="M183">
        <v>1.283811166447939</v>
      </c>
      <c r="N183">
        <v>1.402441999367662</v>
      </c>
      <c r="O183">
        <v>1.244267555474698</v>
      </c>
    </row>
    <row r="184" spans="1:15">
      <c r="A184" s="19">
        <v>43573</v>
      </c>
      <c r="B184">
        <v>2740</v>
      </c>
      <c r="C184">
        <v>2660</v>
      </c>
      <c r="D184">
        <v>2084</v>
      </c>
      <c r="E184">
        <v>2047</v>
      </c>
      <c r="F184">
        <v>1.2994626282364401</v>
      </c>
      <c r="G184">
        <v>1.32403372574461</v>
      </c>
      <c r="H184">
        <v>3.9425834545671799E-2</v>
      </c>
      <c r="I184">
        <v>-0.62322326949616103</v>
      </c>
      <c r="J184">
        <v>-1.89</v>
      </c>
      <c r="L184">
        <v>1.3634595602902817</v>
      </c>
      <c r="M184">
        <v>1.2846078911989383</v>
      </c>
      <c r="N184">
        <v>1.4028853948359536</v>
      </c>
      <c r="O184">
        <v>1.2451820566532663</v>
      </c>
    </row>
    <row r="185" spans="1:15">
      <c r="A185" s="19">
        <v>43572</v>
      </c>
      <c r="B185">
        <v>2729</v>
      </c>
      <c r="C185">
        <v>2721</v>
      </c>
      <c r="D185">
        <v>2082</v>
      </c>
      <c r="E185">
        <v>2094</v>
      </c>
      <c r="F185">
        <v>1.29942693409742</v>
      </c>
      <c r="G185">
        <v>1.32448000287902</v>
      </c>
      <c r="H185">
        <v>3.9334507425717202E-2</v>
      </c>
      <c r="I185">
        <v>-0.63692341461031399</v>
      </c>
      <c r="J185">
        <v>-1.93</v>
      </c>
      <c r="L185">
        <v>1.3638145103047372</v>
      </c>
      <c r="M185">
        <v>1.2851454954533028</v>
      </c>
      <c r="N185">
        <v>1.4031490177304544</v>
      </c>
      <c r="O185">
        <v>1.2458109880275856</v>
      </c>
    </row>
    <row r="186" spans="1:15">
      <c r="A186" s="19">
        <v>43571</v>
      </c>
      <c r="B186">
        <v>2742</v>
      </c>
      <c r="C186">
        <v>2729</v>
      </c>
      <c r="D186">
        <v>2070</v>
      </c>
      <c r="E186">
        <v>2082</v>
      </c>
      <c r="F186">
        <v>1.31075888568683</v>
      </c>
      <c r="G186">
        <v>1.3245148846927499</v>
      </c>
      <c r="H186">
        <v>3.9313429261455299E-2</v>
      </c>
      <c r="I186">
        <v>-0.34990585314822498</v>
      </c>
      <c r="J186">
        <v>-1.05</v>
      </c>
      <c r="L186">
        <v>1.3638283139542051</v>
      </c>
      <c r="M186">
        <v>1.2852014554312947</v>
      </c>
      <c r="N186">
        <v>1.4031417432156605</v>
      </c>
      <c r="O186">
        <v>1.2458880261698393</v>
      </c>
    </row>
    <row r="187" spans="1:15">
      <c r="A187" s="19">
        <v>43570</v>
      </c>
      <c r="B187">
        <v>2707</v>
      </c>
      <c r="C187">
        <v>2738</v>
      </c>
      <c r="D187">
        <v>2068</v>
      </c>
      <c r="E187">
        <v>2086</v>
      </c>
      <c r="F187">
        <v>1.31255992329817</v>
      </c>
      <c r="G187">
        <v>1.3243728543477</v>
      </c>
      <c r="H187">
        <v>3.9382052164225599E-2</v>
      </c>
      <c r="I187">
        <v>-0.29995722417568499</v>
      </c>
      <c r="J187">
        <v>-0.9</v>
      </c>
      <c r="L187">
        <v>1.3637549065119257</v>
      </c>
      <c r="M187">
        <v>1.2849908021834744</v>
      </c>
      <c r="N187">
        <v>1.4031369586761513</v>
      </c>
      <c r="O187">
        <v>1.2456087500192488</v>
      </c>
    </row>
    <row r="188" spans="1:15">
      <c r="A188" s="19">
        <v>43567</v>
      </c>
      <c r="B188">
        <v>2712</v>
      </c>
      <c r="C188">
        <v>2702</v>
      </c>
      <c r="D188">
        <v>2056</v>
      </c>
      <c r="E188">
        <v>2067</v>
      </c>
      <c r="F188">
        <v>1.30720851475568</v>
      </c>
      <c r="G188">
        <v>1.3244407657298001</v>
      </c>
      <c r="H188">
        <v>3.9366011386066699E-2</v>
      </c>
      <c r="I188">
        <v>-0.43774439846387397</v>
      </c>
      <c r="J188">
        <v>-1.32</v>
      </c>
      <c r="L188">
        <v>1.3638067771158668</v>
      </c>
      <c r="M188">
        <v>1.2850747543437333</v>
      </c>
      <c r="N188">
        <v>1.4031727885019334</v>
      </c>
      <c r="O188">
        <v>1.2457087429576668</v>
      </c>
    </row>
    <row r="189" spans="1:15">
      <c r="A189" s="19">
        <v>43566</v>
      </c>
      <c r="B189">
        <v>2741</v>
      </c>
      <c r="C189">
        <v>2714</v>
      </c>
      <c r="D189">
        <v>2039</v>
      </c>
      <c r="E189">
        <v>2048</v>
      </c>
      <c r="F189">
        <v>1.3251953125</v>
      </c>
      <c r="G189">
        <v>1.3239173195601099</v>
      </c>
      <c r="H189">
        <v>3.9849703387006399E-2</v>
      </c>
      <c r="I189">
        <v>3.2070325027906202E-2</v>
      </c>
      <c r="J189">
        <v>0.1</v>
      </c>
      <c r="L189">
        <v>1.3637670229471164</v>
      </c>
      <c r="M189">
        <v>1.2840676161731035</v>
      </c>
      <c r="N189">
        <v>1.4036167263341228</v>
      </c>
      <c r="O189">
        <v>1.2442179127860971</v>
      </c>
    </row>
    <row r="190" spans="1:15">
      <c r="A190" s="19">
        <v>43565</v>
      </c>
      <c r="B190">
        <v>2725</v>
      </c>
      <c r="C190">
        <v>2737</v>
      </c>
      <c r="D190">
        <v>2018</v>
      </c>
      <c r="E190">
        <v>2030</v>
      </c>
      <c r="F190">
        <v>1.3482758620689601</v>
      </c>
      <c r="G190">
        <v>1.3229437009006899</v>
      </c>
      <c r="H190">
        <v>4.0689769822899097E-2</v>
      </c>
      <c r="I190">
        <v>0.62256830841093502</v>
      </c>
      <c r="J190">
        <v>1.88</v>
      </c>
      <c r="L190">
        <v>1.3636334707235891</v>
      </c>
      <c r="M190">
        <v>1.2822539310777907</v>
      </c>
      <c r="N190">
        <v>1.404323240546488</v>
      </c>
      <c r="O190">
        <v>1.2415641612548918</v>
      </c>
    </row>
    <row r="191" spans="1:15">
      <c r="A191" s="19">
        <v>43564</v>
      </c>
      <c r="B191">
        <v>2737</v>
      </c>
      <c r="C191">
        <v>2727</v>
      </c>
      <c r="D191">
        <v>2056</v>
      </c>
      <c r="E191">
        <v>2042</v>
      </c>
      <c r="F191">
        <v>1.3354554358471999</v>
      </c>
      <c r="G191">
        <v>1.32219007145236</v>
      </c>
      <c r="H191">
        <v>4.0737011261339599E-2</v>
      </c>
      <c r="I191">
        <v>0.32563420791324998</v>
      </c>
      <c r="J191">
        <v>0.99</v>
      </c>
      <c r="L191">
        <v>1.3629270827136997</v>
      </c>
      <c r="M191">
        <v>1.2814530601910203</v>
      </c>
      <c r="N191">
        <v>1.4036640939750391</v>
      </c>
      <c r="O191">
        <v>1.2407160489296809</v>
      </c>
    </row>
    <row r="192" spans="1:15">
      <c r="A192" s="19">
        <v>43563</v>
      </c>
      <c r="B192">
        <v>2750</v>
      </c>
      <c r="C192">
        <v>2752</v>
      </c>
      <c r="D192">
        <v>2060</v>
      </c>
      <c r="E192">
        <v>2066</v>
      </c>
      <c r="F192">
        <v>1.3320425943852801</v>
      </c>
      <c r="G192">
        <v>1.3217543499435001</v>
      </c>
      <c r="H192">
        <v>4.0767551025177103E-2</v>
      </c>
      <c r="I192">
        <v>0.25236356325234599</v>
      </c>
      <c r="J192">
        <v>0.77</v>
      </c>
      <c r="L192">
        <v>1.3625219009686771</v>
      </c>
      <c r="M192">
        <v>1.280986798918323</v>
      </c>
      <c r="N192">
        <v>1.4032894519938544</v>
      </c>
      <c r="O192">
        <v>1.2402192478931457</v>
      </c>
    </row>
    <row r="193" spans="1:15">
      <c r="A193" s="19">
        <v>43560</v>
      </c>
      <c r="B193">
        <v>2721</v>
      </c>
      <c r="C193">
        <v>2733</v>
      </c>
      <c r="D193">
        <v>2096</v>
      </c>
      <c r="E193">
        <v>2068</v>
      </c>
      <c r="F193">
        <v>1.3215667311411901</v>
      </c>
      <c r="G193">
        <v>1.3212369964941399</v>
      </c>
      <c r="H193">
        <v>4.0879754633144999E-2</v>
      </c>
      <c r="I193">
        <v>8.0659644366815695E-3</v>
      </c>
      <c r="J193">
        <v>0.02</v>
      </c>
      <c r="L193">
        <v>1.3621167511272849</v>
      </c>
      <c r="M193">
        <v>1.280357241860995</v>
      </c>
      <c r="N193">
        <v>1.4029965057604299</v>
      </c>
      <c r="O193">
        <v>1.23947748722785</v>
      </c>
    </row>
    <row r="194" spans="1:15">
      <c r="A194" s="19">
        <v>43559</v>
      </c>
      <c r="B194">
        <v>2763</v>
      </c>
      <c r="C194">
        <v>2731</v>
      </c>
      <c r="D194">
        <v>2075</v>
      </c>
      <c r="E194">
        <v>2065</v>
      </c>
      <c r="F194">
        <v>1.3225181598062901</v>
      </c>
      <c r="G194">
        <v>1.32105535230236</v>
      </c>
      <c r="H194">
        <v>4.0908142849773503E-2</v>
      </c>
      <c r="I194">
        <v>3.5758345454701003E-2</v>
      </c>
      <c r="J194">
        <v>0.11</v>
      </c>
      <c r="L194">
        <v>1.3619634951521336</v>
      </c>
      <c r="M194">
        <v>1.2801472094525865</v>
      </c>
      <c r="N194">
        <v>1.4028716380019071</v>
      </c>
      <c r="O194">
        <v>1.239239066602813</v>
      </c>
    </row>
    <row r="195" spans="1:15">
      <c r="A195" s="19">
        <v>43558</v>
      </c>
      <c r="B195">
        <v>2762</v>
      </c>
      <c r="C195">
        <v>2748</v>
      </c>
      <c r="D195">
        <v>2073</v>
      </c>
      <c r="E195">
        <v>2084</v>
      </c>
      <c r="F195">
        <v>1.3186180422264799</v>
      </c>
      <c r="G195">
        <v>1.3211156066637799</v>
      </c>
      <c r="H195">
        <v>4.0913580825916201E-2</v>
      </c>
      <c r="I195">
        <v>-6.1044875243911799E-2</v>
      </c>
      <c r="J195">
        <v>-0.19</v>
      </c>
      <c r="L195">
        <v>1.3620291874896961</v>
      </c>
      <c r="M195">
        <v>1.2802020258378637</v>
      </c>
      <c r="N195">
        <v>1.4029427683156124</v>
      </c>
      <c r="O195">
        <v>1.2392884450119475</v>
      </c>
    </row>
    <row r="196" spans="1:15">
      <c r="A196" s="19">
        <v>43557</v>
      </c>
      <c r="B196">
        <v>2764</v>
      </c>
      <c r="C196">
        <v>2709</v>
      </c>
      <c r="D196">
        <v>2101</v>
      </c>
      <c r="E196">
        <v>2062</v>
      </c>
      <c r="F196">
        <v>1.31377303588748</v>
      </c>
      <c r="G196">
        <v>1.32108341224654</v>
      </c>
      <c r="H196">
        <v>4.0916483363298103E-2</v>
      </c>
      <c r="I196">
        <v>-0.178665803073771</v>
      </c>
      <c r="J196">
        <v>-0.56000000000000005</v>
      </c>
      <c r="L196">
        <v>1.361999895609838</v>
      </c>
      <c r="M196">
        <v>1.280166928883242</v>
      </c>
      <c r="N196">
        <v>1.4029163789731363</v>
      </c>
      <c r="O196">
        <v>1.2392504455199438</v>
      </c>
    </row>
    <row r="197" spans="1:15">
      <c r="A197" s="19">
        <v>43556</v>
      </c>
      <c r="B197">
        <v>2731</v>
      </c>
      <c r="C197">
        <v>2729</v>
      </c>
      <c r="D197">
        <v>2150</v>
      </c>
      <c r="E197">
        <v>2104</v>
      </c>
      <c r="F197">
        <v>1.2970532319391599</v>
      </c>
      <c r="G197">
        <v>1.32124990439404</v>
      </c>
      <c r="H197">
        <v>4.09118029828087E-2</v>
      </c>
      <c r="I197">
        <v>-0.59143500629989798</v>
      </c>
      <c r="J197">
        <v>-1.87</v>
      </c>
      <c r="L197">
        <v>1.3621617073768486</v>
      </c>
      <c r="M197">
        <v>1.2803381014112314</v>
      </c>
      <c r="N197">
        <v>1.4030735103596574</v>
      </c>
      <c r="O197">
        <v>1.2394262984284226</v>
      </c>
    </row>
    <row r="198" spans="1:15">
      <c r="A198" s="19">
        <v>43553</v>
      </c>
      <c r="B198">
        <v>2670</v>
      </c>
      <c r="C198">
        <v>2675</v>
      </c>
      <c r="D198">
        <v>2100</v>
      </c>
      <c r="E198">
        <v>2134</v>
      </c>
      <c r="F198">
        <v>1.2535145267104</v>
      </c>
      <c r="G198">
        <v>1.32156618748327</v>
      </c>
      <c r="H198">
        <v>4.08150978943497E-2</v>
      </c>
      <c r="I198">
        <v>-1.6673158777916699</v>
      </c>
      <c r="J198">
        <v>-5.43</v>
      </c>
      <c r="L198">
        <v>1.3623812853776198</v>
      </c>
      <c r="M198">
        <v>1.2807510895889203</v>
      </c>
      <c r="N198">
        <v>1.4031963832719694</v>
      </c>
      <c r="O198">
        <v>1.2399359916945707</v>
      </c>
    </row>
    <row r="199" spans="1:15">
      <c r="A199" s="19">
        <v>43552</v>
      </c>
      <c r="B199">
        <v>2659</v>
      </c>
      <c r="C199">
        <v>2667</v>
      </c>
      <c r="D199">
        <v>2058</v>
      </c>
      <c r="E199">
        <v>2071</v>
      </c>
      <c r="F199">
        <v>1.2877836793819399</v>
      </c>
      <c r="G199">
        <v>1.3225601147502</v>
      </c>
      <c r="H199">
        <v>4.0046215529127502E-2</v>
      </c>
      <c r="I199">
        <v>-0.86840753636171797</v>
      </c>
      <c r="J199">
        <v>-2.7</v>
      </c>
      <c r="L199">
        <v>1.3626063302793274</v>
      </c>
      <c r="M199">
        <v>1.2825138992210725</v>
      </c>
      <c r="N199">
        <v>1.4026525458084549</v>
      </c>
      <c r="O199">
        <v>1.242467683691945</v>
      </c>
    </row>
    <row r="200" spans="1:15">
      <c r="A200" s="19">
        <v>43551</v>
      </c>
      <c r="B200">
        <v>2680</v>
      </c>
      <c r="C200">
        <v>2717</v>
      </c>
      <c r="D200">
        <v>2080</v>
      </c>
      <c r="E200">
        <v>2079</v>
      </c>
      <c r="F200">
        <v>1.3068783068783001</v>
      </c>
      <c r="G200">
        <v>1.3232398057477901</v>
      </c>
      <c r="H200">
        <v>3.9882470173906497E-2</v>
      </c>
      <c r="I200">
        <v>-0.41024286605485399</v>
      </c>
      <c r="J200">
        <v>-1.25</v>
      </c>
      <c r="L200">
        <v>1.3631222759216965</v>
      </c>
      <c r="M200">
        <v>1.2833573355738837</v>
      </c>
      <c r="N200">
        <v>1.403004746095603</v>
      </c>
      <c r="O200">
        <v>1.2434748653999772</v>
      </c>
    </row>
    <row r="201" spans="1:15">
      <c r="A201" s="19">
        <v>43550</v>
      </c>
      <c r="B201">
        <v>2612</v>
      </c>
      <c r="C201">
        <v>2684</v>
      </c>
      <c r="D201">
        <v>2091</v>
      </c>
      <c r="E201">
        <v>2132</v>
      </c>
      <c r="F201">
        <v>1.2589118198874201</v>
      </c>
      <c r="G201">
        <v>1.32370577368722</v>
      </c>
      <c r="H201">
        <v>3.9892742350793001E-2</v>
      </c>
      <c r="I201">
        <v>-1.6242040527080599</v>
      </c>
      <c r="J201">
        <v>-5.15</v>
      </c>
      <c r="L201">
        <v>1.3635985160380131</v>
      </c>
      <c r="M201">
        <v>1.2838130313364269</v>
      </c>
      <c r="N201">
        <v>1.403491258388806</v>
      </c>
      <c r="O201">
        <v>1.243920288985634</v>
      </c>
    </row>
    <row r="202" spans="1:15">
      <c r="A202" s="19">
        <v>43549</v>
      </c>
      <c r="B202">
        <v>2624</v>
      </c>
      <c r="C202">
        <v>2610</v>
      </c>
      <c r="D202">
        <v>2082</v>
      </c>
      <c r="E202">
        <v>2071</v>
      </c>
      <c r="F202">
        <v>1.26026074360212</v>
      </c>
      <c r="G202">
        <v>1.3256382314733399</v>
      </c>
      <c r="H202">
        <v>4.0216325295561003E-2</v>
      </c>
      <c r="I202">
        <v>-1.62564549074886</v>
      </c>
      <c r="J202">
        <v>-5.19</v>
      </c>
      <c r="L202">
        <v>1.3658545567689009</v>
      </c>
      <c r="M202">
        <v>1.285421906177779</v>
      </c>
      <c r="N202">
        <v>1.4060708820644618</v>
      </c>
      <c r="O202">
        <v>1.245205580882218</v>
      </c>
    </row>
    <row r="203" spans="1:15">
      <c r="A203" s="19">
        <v>43546</v>
      </c>
      <c r="B203">
        <v>2700</v>
      </c>
      <c r="C203">
        <v>2667</v>
      </c>
      <c r="D203">
        <v>2080</v>
      </c>
      <c r="E203">
        <v>2096</v>
      </c>
      <c r="F203">
        <v>1.27242366412213</v>
      </c>
      <c r="G203">
        <v>1.32808310238962</v>
      </c>
      <c r="H203">
        <v>4.1713318303922498E-2</v>
      </c>
      <c r="I203">
        <v>-1.3343325472682199</v>
      </c>
      <c r="J203">
        <v>-4.37</v>
      </c>
      <c r="L203">
        <v>1.3697964206935425</v>
      </c>
      <c r="M203">
        <v>1.2863697840856976</v>
      </c>
      <c r="N203">
        <v>1.4115097389974651</v>
      </c>
      <c r="O203">
        <v>1.2446564657817749</v>
      </c>
    </row>
    <row r="204" spans="1:15">
      <c r="A204" s="19">
        <v>43544</v>
      </c>
      <c r="B204">
        <v>2683</v>
      </c>
      <c r="C204">
        <v>2726</v>
      </c>
      <c r="D204">
        <v>2028</v>
      </c>
      <c r="E204">
        <v>2058</v>
      </c>
      <c r="F204">
        <v>1.3245869776482</v>
      </c>
      <c r="G204">
        <v>1.3306459181695001</v>
      </c>
      <c r="H204">
        <v>4.4053887228508101E-2</v>
      </c>
      <c r="I204">
        <v>-0.13753475351394101</v>
      </c>
      <c r="J204">
        <v>-0.46</v>
      </c>
      <c r="L204">
        <v>1.3746998053980082</v>
      </c>
      <c r="M204">
        <v>1.2865920309409919</v>
      </c>
      <c r="N204">
        <v>1.4187536926265163</v>
      </c>
      <c r="O204">
        <v>1.2425381437124838</v>
      </c>
    </row>
    <row r="205" spans="1:15">
      <c r="A205" s="19">
        <v>43543</v>
      </c>
      <c r="B205">
        <v>2665</v>
      </c>
      <c r="C205">
        <v>2664</v>
      </c>
      <c r="D205">
        <v>2020</v>
      </c>
      <c r="E205">
        <v>2030</v>
      </c>
      <c r="F205">
        <v>1.31231527093596</v>
      </c>
      <c r="G205">
        <v>1.33310858511023</v>
      </c>
      <c r="H205">
        <v>4.8576667043098799E-2</v>
      </c>
      <c r="I205">
        <v>-0.42805147903253599</v>
      </c>
      <c r="J205">
        <v>-1.58</v>
      </c>
      <c r="L205">
        <v>1.3816852521533287</v>
      </c>
      <c r="M205">
        <v>1.2845319180671313</v>
      </c>
      <c r="N205">
        <v>1.4302619191964276</v>
      </c>
      <c r="O205">
        <v>1.2359552510240324</v>
      </c>
    </row>
    <row r="206" spans="1:15">
      <c r="A206" s="19">
        <v>43542</v>
      </c>
      <c r="B206">
        <v>2622</v>
      </c>
      <c r="C206">
        <v>2658</v>
      </c>
      <c r="D206">
        <v>1985</v>
      </c>
      <c r="E206">
        <v>2020</v>
      </c>
      <c r="F206">
        <v>1.3158415841584099</v>
      </c>
      <c r="G206">
        <v>1.33538829557889</v>
      </c>
      <c r="H206">
        <v>5.1473012499399798E-2</v>
      </c>
      <c r="I206">
        <v>-0.37974679295696301</v>
      </c>
      <c r="J206">
        <v>-1.49</v>
      </c>
      <c r="L206">
        <v>1.3868613080782899</v>
      </c>
      <c r="M206">
        <v>1.2839152830794902</v>
      </c>
      <c r="N206">
        <v>1.4383343205776897</v>
      </c>
      <c r="O206">
        <v>1.2324422705800904</v>
      </c>
    </row>
    <row r="207" spans="1:15">
      <c r="A207" s="19">
        <v>43539</v>
      </c>
      <c r="B207">
        <v>2579</v>
      </c>
      <c r="C207">
        <v>2581</v>
      </c>
      <c r="D207">
        <v>1960</v>
      </c>
      <c r="E207">
        <v>1978</v>
      </c>
      <c r="F207">
        <v>1.30485338725985</v>
      </c>
      <c r="G207">
        <v>1.3375986135365501</v>
      </c>
      <c r="H207">
        <v>5.4079474168141503E-2</v>
      </c>
      <c r="I207">
        <v>-0.60550193544565001</v>
      </c>
      <c r="J207">
        <v>-2.5099999999999998</v>
      </c>
      <c r="L207">
        <v>1.3916780877046915</v>
      </c>
      <c r="M207">
        <v>1.2835191393684087</v>
      </c>
      <c r="N207">
        <v>1.4457575618728331</v>
      </c>
      <c r="O207">
        <v>1.229439665200267</v>
      </c>
    </row>
    <row r="208" spans="1:15">
      <c r="A208" s="19">
        <v>43538</v>
      </c>
      <c r="B208">
        <v>2612</v>
      </c>
      <c r="C208">
        <v>2555</v>
      </c>
      <c r="D208">
        <v>1986</v>
      </c>
      <c r="E208">
        <v>1945</v>
      </c>
      <c r="F208">
        <v>1.31362467866323</v>
      </c>
      <c r="G208">
        <v>1.3397846444277499</v>
      </c>
      <c r="H208">
        <v>5.5991530361126397E-2</v>
      </c>
      <c r="I208">
        <v>-0.46721290873438798</v>
      </c>
      <c r="J208">
        <v>-1.99</v>
      </c>
      <c r="L208">
        <v>1.3957761747888764</v>
      </c>
      <c r="M208">
        <v>1.2837931140666234</v>
      </c>
      <c r="N208">
        <v>1.4517677051500026</v>
      </c>
      <c r="O208">
        <v>1.2278015837054972</v>
      </c>
    </row>
    <row r="209" spans="1:15">
      <c r="A209" s="19">
        <v>43537</v>
      </c>
      <c r="B209">
        <v>2621</v>
      </c>
      <c r="C209">
        <v>2592</v>
      </c>
      <c r="D209">
        <v>1975</v>
      </c>
      <c r="E209">
        <v>1977</v>
      </c>
      <c r="F209">
        <v>1.31107738998482</v>
      </c>
      <c r="G209">
        <v>1.34172723670993</v>
      </c>
      <c r="H209">
        <v>5.7555767480966198E-2</v>
      </c>
      <c r="I209">
        <v>-0.53252433364289598</v>
      </c>
      <c r="J209">
        <v>-2.34</v>
      </c>
      <c r="L209">
        <v>1.3992830041908961</v>
      </c>
      <c r="M209">
        <v>1.2841714692289639</v>
      </c>
      <c r="N209">
        <v>1.4568387716718625</v>
      </c>
      <c r="O209">
        <v>1.2266157017479975</v>
      </c>
    </row>
    <row r="210" spans="1:15">
      <c r="A210" s="19">
        <v>43536</v>
      </c>
      <c r="B210">
        <v>2640</v>
      </c>
      <c r="C210">
        <v>2637</v>
      </c>
      <c r="D210">
        <v>1951</v>
      </c>
      <c r="E210">
        <v>1964</v>
      </c>
      <c r="F210">
        <v>1.3426680244399101</v>
      </c>
      <c r="G210">
        <v>1.3434544664613599</v>
      </c>
      <c r="H210">
        <v>5.8545312276014602E-2</v>
      </c>
      <c r="I210">
        <v>-1.34330485375519E-2</v>
      </c>
      <c r="J210">
        <v>-0.06</v>
      </c>
      <c r="L210">
        <v>1.4019997787373746</v>
      </c>
      <c r="M210">
        <v>1.2849091541853452</v>
      </c>
      <c r="N210">
        <v>1.460545091013389</v>
      </c>
      <c r="O210">
        <v>1.2263638419093308</v>
      </c>
    </row>
    <row r="211" spans="1:15">
      <c r="A211" s="19">
        <v>43535</v>
      </c>
      <c r="B211">
        <v>2633</v>
      </c>
      <c r="C211">
        <v>2621</v>
      </c>
      <c r="D211">
        <v>1934</v>
      </c>
      <c r="E211">
        <v>1936</v>
      </c>
      <c r="F211">
        <v>1.35382231404958</v>
      </c>
      <c r="G211">
        <v>1.3447488756691</v>
      </c>
      <c r="H211">
        <v>5.9577716291338401E-2</v>
      </c>
      <c r="I211">
        <v>0.152295840547405</v>
      </c>
      <c r="J211">
        <v>0.67</v>
      </c>
      <c r="L211">
        <v>1.4043265919604384</v>
      </c>
      <c r="M211">
        <v>1.2851711593777615</v>
      </c>
      <c r="N211">
        <v>1.4639043082517769</v>
      </c>
      <c r="O211">
        <v>1.225593443086423</v>
      </c>
    </row>
    <row r="212" spans="1:15">
      <c r="A212" s="19">
        <v>43532</v>
      </c>
      <c r="B212">
        <v>2618</v>
      </c>
      <c r="C212">
        <v>2598</v>
      </c>
      <c r="D212">
        <v>1949</v>
      </c>
      <c r="E212">
        <v>1936</v>
      </c>
      <c r="F212">
        <v>1.34194214876033</v>
      </c>
      <c r="G212">
        <v>1.3457236115201301</v>
      </c>
      <c r="H212">
        <v>6.0311697276078803E-2</v>
      </c>
      <c r="I212">
        <v>-6.2698662624142601E-2</v>
      </c>
      <c r="J212">
        <v>-0.28000000000000003</v>
      </c>
      <c r="L212">
        <v>1.406035308796209</v>
      </c>
      <c r="M212">
        <v>1.2854119142440512</v>
      </c>
      <c r="N212">
        <v>1.4663470060722876</v>
      </c>
      <c r="O212">
        <v>1.2251002169679726</v>
      </c>
    </row>
    <row r="213" spans="1:15">
      <c r="A213" s="19">
        <v>43531</v>
      </c>
      <c r="B213">
        <v>2714</v>
      </c>
      <c r="C213">
        <v>2718</v>
      </c>
      <c r="D213">
        <v>1971</v>
      </c>
      <c r="E213">
        <v>1977</v>
      </c>
      <c r="F213">
        <v>1.3748103186646401</v>
      </c>
      <c r="G213">
        <v>1.3468473189275001</v>
      </c>
      <c r="H213">
        <v>6.1011830572930699E-2</v>
      </c>
      <c r="I213">
        <v>0.458320943242505</v>
      </c>
      <c r="J213">
        <v>2.0299999999999998</v>
      </c>
      <c r="L213">
        <v>1.4078591495004309</v>
      </c>
      <c r="M213">
        <v>1.2858354883545693</v>
      </c>
      <c r="N213">
        <v>1.4688709800733615</v>
      </c>
      <c r="O213">
        <v>1.2248236577816387</v>
      </c>
    </row>
    <row r="214" spans="1:15">
      <c r="A214" s="19">
        <v>43530</v>
      </c>
      <c r="B214">
        <v>2746</v>
      </c>
      <c r="C214">
        <v>2728</v>
      </c>
      <c r="D214">
        <v>1962</v>
      </c>
      <c r="E214">
        <v>1974</v>
      </c>
      <c r="F214">
        <v>1.3819655521783101</v>
      </c>
      <c r="G214">
        <v>1.3474704741629899</v>
      </c>
      <c r="H214">
        <v>6.1530723304280603E-2</v>
      </c>
      <c r="I214">
        <v>0.56061551307862001</v>
      </c>
      <c r="J214">
        <v>2.5</v>
      </c>
      <c r="L214">
        <v>1.4090011974672705</v>
      </c>
      <c r="M214">
        <v>1.2859397508587094</v>
      </c>
      <c r="N214">
        <v>1.470531920771551</v>
      </c>
      <c r="O214">
        <v>1.2244090275544288</v>
      </c>
    </row>
    <row r="215" spans="1:15">
      <c r="A215" s="19">
        <v>43529</v>
      </c>
      <c r="B215">
        <v>2694</v>
      </c>
      <c r="C215">
        <v>2759</v>
      </c>
      <c r="D215">
        <v>1953</v>
      </c>
      <c r="E215">
        <v>1966</v>
      </c>
      <c r="F215">
        <v>1.40335707019328</v>
      </c>
      <c r="G215">
        <v>1.3476403711739999</v>
      </c>
      <c r="H215">
        <v>6.1643224617381899E-2</v>
      </c>
      <c r="I215">
        <v>0.90385763180160095</v>
      </c>
      <c r="J215">
        <v>3.97</v>
      </c>
      <c r="L215">
        <v>1.4092835957913818</v>
      </c>
      <c r="M215">
        <v>1.285997146556618</v>
      </c>
      <c r="N215">
        <v>1.4709268204087638</v>
      </c>
      <c r="O215">
        <v>1.2243539219392361</v>
      </c>
    </row>
    <row r="216" spans="1:15">
      <c r="A216" s="19">
        <v>43528</v>
      </c>
      <c r="B216">
        <v>2725</v>
      </c>
      <c r="C216">
        <v>2701</v>
      </c>
      <c r="D216">
        <v>1979</v>
      </c>
      <c r="E216">
        <v>1978</v>
      </c>
      <c r="F216">
        <v>1.3655207280080801</v>
      </c>
      <c r="G216">
        <v>1.3472460956749801</v>
      </c>
      <c r="H216">
        <v>6.1379599356182098E-2</v>
      </c>
      <c r="I216">
        <v>0.29773137206475903</v>
      </c>
      <c r="J216">
        <v>1.34</v>
      </c>
      <c r="L216">
        <v>1.4086256950311622</v>
      </c>
      <c r="M216">
        <v>1.285866496318798</v>
      </c>
      <c r="N216">
        <v>1.4700052943873443</v>
      </c>
      <c r="O216">
        <v>1.2244868969626159</v>
      </c>
    </row>
    <row r="217" spans="1:15">
      <c r="A217" s="19">
        <v>43525</v>
      </c>
      <c r="B217">
        <v>2693</v>
      </c>
      <c r="C217">
        <v>2670</v>
      </c>
      <c r="D217">
        <v>1984</v>
      </c>
      <c r="E217">
        <v>1973</v>
      </c>
      <c r="F217">
        <v>1.3532691332995399</v>
      </c>
      <c r="G217">
        <v>1.3475552345062201</v>
      </c>
      <c r="H217">
        <v>6.1529065965146401E-2</v>
      </c>
      <c r="I217">
        <v>9.2865033845237602E-2</v>
      </c>
      <c r="J217">
        <v>0.42</v>
      </c>
      <c r="L217">
        <v>1.4090843004713665</v>
      </c>
      <c r="M217">
        <v>1.2860261685410737</v>
      </c>
      <c r="N217">
        <v>1.4706133664365129</v>
      </c>
      <c r="O217">
        <v>1.2244971025759273</v>
      </c>
    </row>
    <row r="218" spans="1:15">
      <c r="A218" s="19">
        <v>43524</v>
      </c>
      <c r="B218">
        <v>2660</v>
      </c>
      <c r="C218">
        <v>2696</v>
      </c>
      <c r="D218">
        <v>1956</v>
      </c>
      <c r="E218">
        <v>1995</v>
      </c>
      <c r="F218">
        <v>1.35137844611528</v>
      </c>
      <c r="G218">
        <v>1.3477534043039801</v>
      </c>
      <c r="H218">
        <v>6.1571070128487899E-2</v>
      </c>
      <c r="I218">
        <v>5.8875731796352998E-2</v>
      </c>
      <c r="J218">
        <v>0.27</v>
      </c>
      <c r="L218">
        <v>1.409324474432468</v>
      </c>
      <c r="M218">
        <v>1.2861823341754921</v>
      </c>
      <c r="N218">
        <v>1.4708955445609559</v>
      </c>
      <c r="O218">
        <v>1.2246112640470042</v>
      </c>
    </row>
    <row r="219" spans="1:15">
      <c r="A219" s="19">
        <v>43523</v>
      </c>
      <c r="B219">
        <v>2635</v>
      </c>
      <c r="C219">
        <v>2669</v>
      </c>
      <c r="D219">
        <v>1921</v>
      </c>
      <c r="E219">
        <v>1950</v>
      </c>
      <c r="F219">
        <v>1.3687179487179399</v>
      </c>
      <c r="G219">
        <v>1.3479606548143399</v>
      </c>
      <c r="H219">
        <v>6.1609072104498598E-2</v>
      </c>
      <c r="I219">
        <v>0.336919437260703</v>
      </c>
      <c r="J219">
        <v>1.52</v>
      </c>
      <c r="L219">
        <v>1.4095697269188385</v>
      </c>
      <c r="M219">
        <v>1.2863515827098413</v>
      </c>
      <c r="N219">
        <v>1.4711787990233371</v>
      </c>
      <c r="O219">
        <v>1.2247425106053427</v>
      </c>
    </row>
    <row r="220" spans="1:15">
      <c r="A220" s="19">
        <v>43522</v>
      </c>
      <c r="B220">
        <v>2625</v>
      </c>
      <c r="C220">
        <v>2627</v>
      </c>
      <c r="D220">
        <v>1939</v>
      </c>
      <c r="E220">
        <v>1920</v>
      </c>
      <c r="F220">
        <v>1.3682291666666599</v>
      </c>
      <c r="G220">
        <v>1.3481458647734601</v>
      </c>
      <c r="H220">
        <v>6.1692017981510403E-2</v>
      </c>
      <c r="I220">
        <v>0.32554133501056498</v>
      </c>
      <c r="J220">
        <v>1.47</v>
      </c>
      <c r="L220">
        <v>1.4098378827549705</v>
      </c>
      <c r="M220">
        <v>1.2864538467919497</v>
      </c>
      <c r="N220">
        <v>1.4715299007364808</v>
      </c>
      <c r="O220">
        <v>1.2247618288104394</v>
      </c>
    </row>
    <row r="221" spans="1:15">
      <c r="A221" s="19">
        <v>43521</v>
      </c>
      <c r="B221">
        <v>2614</v>
      </c>
      <c r="C221">
        <v>2625</v>
      </c>
      <c r="D221">
        <v>1910</v>
      </c>
      <c r="E221">
        <v>1939</v>
      </c>
      <c r="F221">
        <v>1.3537906137184099</v>
      </c>
      <c r="G221">
        <v>1.3487354083368499</v>
      </c>
      <c r="H221">
        <v>6.2091099239167197E-2</v>
      </c>
      <c r="I221">
        <v>8.1415942759882703E-2</v>
      </c>
      <c r="J221">
        <v>0.37</v>
      </c>
      <c r="L221">
        <v>1.4108265075760171</v>
      </c>
      <c r="M221">
        <v>1.2866443090976827</v>
      </c>
      <c r="N221">
        <v>1.4729176068151844</v>
      </c>
      <c r="O221">
        <v>1.2245532098585155</v>
      </c>
    </row>
    <row r="222" spans="1:15">
      <c r="A222" s="19">
        <v>43518</v>
      </c>
      <c r="B222">
        <v>2563</v>
      </c>
      <c r="C222">
        <v>2570</v>
      </c>
      <c r="D222">
        <v>1875</v>
      </c>
      <c r="E222">
        <v>1885</v>
      </c>
      <c r="F222">
        <v>1.3633952254641899</v>
      </c>
      <c r="G222">
        <v>1.34903403767956</v>
      </c>
      <c r="H222">
        <v>6.2168506109515798E-2</v>
      </c>
      <c r="I222">
        <v>0.23100422840027601</v>
      </c>
      <c r="J222">
        <v>1.05</v>
      </c>
      <c r="L222">
        <v>1.4112025437890758</v>
      </c>
      <c r="M222">
        <v>1.2868655315700441</v>
      </c>
      <c r="N222">
        <v>1.4733710498985917</v>
      </c>
      <c r="O222">
        <v>1.2246970254605283</v>
      </c>
    </row>
    <row r="223" spans="1:15">
      <c r="A223" s="19">
        <v>43517</v>
      </c>
      <c r="B223">
        <v>2528</v>
      </c>
      <c r="C223">
        <v>2575</v>
      </c>
      <c r="D223">
        <v>1867</v>
      </c>
      <c r="E223">
        <v>1887</v>
      </c>
      <c r="F223">
        <v>1.3645998940116499</v>
      </c>
      <c r="G223">
        <v>1.3491850394459299</v>
      </c>
      <c r="H223">
        <v>6.2216939773740099E-2</v>
      </c>
      <c r="I223">
        <v>0.24775976802754399</v>
      </c>
      <c r="J223">
        <v>1.1299999999999999</v>
      </c>
      <c r="L223">
        <v>1.4114019792196699</v>
      </c>
      <c r="M223">
        <v>1.2869680996721899</v>
      </c>
      <c r="N223">
        <v>1.4736189189934101</v>
      </c>
      <c r="O223">
        <v>1.2247511598984497</v>
      </c>
    </row>
    <row r="224" spans="1:15">
      <c r="A224" s="19">
        <v>43516</v>
      </c>
      <c r="B224">
        <v>2525</v>
      </c>
      <c r="C224">
        <v>2541</v>
      </c>
      <c r="D224">
        <v>1876</v>
      </c>
      <c r="E224">
        <v>1853</v>
      </c>
      <c r="F224">
        <v>1.3712898003237901</v>
      </c>
      <c r="G224">
        <v>1.34887290318608</v>
      </c>
      <c r="H224">
        <v>6.2197542347084703E-2</v>
      </c>
      <c r="I224">
        <v>0.36041451626207899</v>
      </c>
      <c r="J224">
        <v>1.63</v>
      </c>
      <c r="L224">
        <v>1.4110704455331646</v>
      </c>
      <c r="M224">
        <v>1.2866753608389954</v>
      </c>
      <c r="N224">
        <v>1.4732679878802495</v>
      </c>
      <c r="O224">
        <v>1.2244778184919105</v>
      </c>
    </row>
    <row r="225" spans="1:15">
      <c r="A225" s="19">
        <v>43515</v>
      </c>
      <c r="B225">
        <v>2521</v>
      </c>
      <c r="C225">
        <v>2499</v>
      </c>
      <c r="D225">
        <v>1848</v>
      </c>
      <c r="E225">
        <v>1897</v>
      </c>
      <c r="F225">
        <v>1.31734317343173</v>
      </c>
      <c r="G225">
        <v>1.3476089067314301</v>
      </c>
      <c r="H225">
        <v>6.2690456672206102E-2</v>
      </c>
      <c r="I225">
        <v>-0.48278055235670603</v>
      </c>
      <c r="J225">
        <v>-2.2999999999999998</v>
      </c>
      <c r="L225">
        <v>1.4102993634036363</v>
      </c>
      <c r="M225">
        <v>1.2849184500592239</v>
      </c>
      <c r="N225">
        <v>1.4729898200758422</v>
      </c>
      <c r="O225">
        <v>1.2222279933870179</v>
      </c>
    </row>
    <row r="226" spans="1:15">
      <c r="A226" s="19">
        <v>43514</v>
      </c>
      <c r="B226">
        <v>2539</v>
      </c>
      <c r="C226">
        <v>2495</v>
      </c>
      <c r="D226">
        <v>1840</v>
      </c>
      <c r="E226">
        <v>1848</v>
      </c>
      <c r="F226">
        <v>1.3501082251082199</v>
      </c>
      <c r="G226">
        <v>1.34732339232513</v>
      </c>
      <c r="H226">
        <v>6.2876134826796007E-2</v>
      </c>
      <c r="I226">
        <v>4.4290775677600099E-2</v>
      </c>
      <c r="J226">
        <v>0.21</v>
      </c>
      <c r="L226">
        <v>1.4101995271519261</v>
      </c>
      <c r="M226">
        <v>1.2844472574983339</v>
      </c>
      <c r="N226">
        <v>1.473075661978722</v>
      </c>
      <c r="O226">
        <v>1.221571122671538</v>
      </c>
    </row>
    <row r="227" spans="1:15">
      <c r="A227" s="19">
        <v>43511</v>
      </c>
      <c r="B227">
        <v>2510</v>
      </c>
      <c r="C227">
        <v>2480</v>
      </c>
      <c r="D227">
        <v>1840</v>
      </c>
      <c r="E227">
        <v>1838</v>
      </c>
      <c r="F227">
        <v>1.3492927094668099</v>
      </c>
      <c r="G227">
        <v>1.34646179101234</v>
      </c>
      <c r="H227">
        <v>6.3273564025085202E-2</v>
      </c>
      <c r="I227">
        <v>4.4740935619513103E-2</v>
      </c>
      <c r="J227">
        <v>0.21</v>
      </c>
      <c r="L227">
        <v>1.4097353550374252</v>
      </c>
      <c r="M227">
        <v>1.2831882269872548</v>
      </c>
      <c r="N227">
        <v>1.4730089190625104</v>
      </c>
      <c r="O227">
        <v>1.2199146629621695</v>
      </c>
    </row>
    <row r="228" spans="1:15">
      <c r="A228" s="19">
        <v>43510</v>
      </c>
      <c r="B228">
        <v>2479</v>
      </c>
      <c r="C228">
        <v>2505</v>
      </c>
      <c r="D228">
        <v>1868</v>
      </c>
      <c r="E228">
        <v>1845</v>
      </c>
      <c r="F228">
        <v>1.3577235772357701</v>
      </c>
      <c r="G228">
        <v>1.3452702333756199</v>
      </c>
      <c r="H228">
        <v>6.4045791508504105E-2</v>
      </c>
      <c r="I228">
        <v>0.19444437435821099</v>
      </c>
      <c r="J228">
        <v>0.92</v>
      </c>
      <c r="L228">
        <v>1.4093160248841241</v>
      </c>
      <c r="M228">
        <v>1.2812244418671157</v>
      </c>
      <c r="N228">
        <v>1.4733618163926281</v>
      </c>
      <c r="O228">
        <v>1.2171786503586117</v>
      </c>
    </row>
    <row r="229" spans="1:15">
      <c r="A229" s="19">
        <v>43509</v>
      </c>
      <c r="B229">
        <v>2504</v>
      </c>
      <c r="C229">
        <v>2456</v>
      </c>
      <c r="D229">
        <v>1830</v>
      </c>
      <c r="E229">
        <v>1868</v>
      </c>
      <c r="F229">
        <v>1.3147751605995699</v>
      </c>
      <c r="G229">
        <v>1.34364969933921</v>
      </c>
      <c r="H229">
        <v>6.5236760621913401E-2</v>
      </c>
      <c r="I229">
        <v>-0.44261147341426299</v>
      </c>
      <c r="J229">
        <v>-2.2000000000000002</v>
      </c>
      <c r="L229">
        <v>1.4088864599611233</v>
      </c>
      <c r="M229">
        <v>1.2784129387172967</v>
      </c>
      <c r="N229">
        <v>1.4741232205830368</v>
      </c>
      <c r="O229">
        <v>1.2131761780953831</v>
      </c>
    </row>
    <row r="230" spans="1:15">
      <c r="A230" s="19">
        <v>43508</v>
      </c>
      <c r="B230">
        <v>2515</v>
      </c>
      <c r="C230">
        <v>2486</v>
      </c>
      <c r="D230">
        <v>1787</v>
      </c>
      <c r="E230">
        <v>1815</v>
      </c>
      <c r="F230">
        <v>1.3696969696969601</v>
      </c>
      <c r="G230">
        <v>1.3425060792184</v>
      </c>
      <c r="H230">
        <v>6.6473002790438301E-2</v>
      </c>
      <c r="I230">
        <v>0.40905163505686998</v>
      </c>
      <c r="J230">
        <v>1.99</v>
      </c>
      <c r="L230">
        <v>1.4089790820088384</v>
      </c>
      <c r="M230">
        <v>1.2760330764279617</v>
      </c>
      <c r="N230">
        <v>1.4754520847992767</v>
      </c>
      <c r="O230">
        <v>1.2095600736375234</v>
      </c>
    </row>
    <row r="231" spans="1:15">
      <c r="A231" s="19">
        <v>43504</v>
      </c>
      <c r="B231">
        <v>2495</v>
      </c>
      <c r="C231">
        <v>2495</v>
      </c>
      <c r="D231">
        <v>1797</v>
      </c>
      <c r="E231">
        <v>1775</v>
      </c>
      <c r="F231">
        <v>1.4056338028169</v>
      </c>
      <c r="G231">
        <v>1.3408996920937599</v>
      </c>
      <c r="H231">
        <v>6.7247731539463201E-2</v>
      </c>
      <c r="I231">
        <v>0.96262147794751496</v>
      </c>
      <c r="J231">
        <v>4.6100000000000003</v>
      </c>
      <c r="L231">
        <v>1.4081474236332232</v>
      </c>
      <c r="M231">
        <v>1.2736519605542966</v>
      </c>
      <c r="N231">
        <v>1.4753951551726863</v>
      </c>
      <c r="O231">
        <v>1.2064042290148336</v>
      </c>
    </row>
    <row r="232" spans="1:15">
      <c r="A232" s="19">
        <v>43503</v>
      </c>
      <c r="B232">
        <v>2550</v>
      </c>
      <c r="C232">
        <v>2505</v>
      </c>
      <c r="D232">
        <v>1849</v>
      </c>
      <c r="E232">
        <v>1818</v>
      </c>
      <c r="F232">
        <v>1.3778877887788701</v>
      </c>
      <c r="G232">
        <v>1.3389592897487801</v>
      </c>
      <c r="H232">
        <v>6.7451159293074506E-2</v>
      </c>
      <c r="I232">
        <v>0.57713610022555495</v>
      </c>
      <c r="J232">
        <v>2.83</v>
      </c>
      <c r="L232">
        <v>1.4064104490418545</v>
      </c>
      <c r="M232">
        <v>1.2715081304557057</v>
      </c>
      <c r="N232">
        <v>1.4738616083349292</v>
      </c>
      <c r="O232">
        <v>1.204056971162631</v>
      </c>
    </row>
    <row r="233" spans="1:15">
      <c r="A233" s="19">
        <v>43502</v>
      </c>
      <c r="B233">
        <v>2525</v>
      </c>
      <c r="C233">
        <v>2546</v>
      </c>
      <c r="D233">
        <v>1865</v>
      </c>
      <c r="E233">
        <v>1840</v>
      </c>
      <c r="F233">
        <v>1.3836956521739101</v>
      </c>
      <c r="G233">
        <v>1.33778137571072</v>
      </c>
      <c r="H233">
        <v>6.7532389774100504E-2</v>
      </c>
      <c r="I233">
        <v>0.67988526123199799</v>
      </c>
      <c r="J233">
        <v>3.32</v>
      </c>
      <c r="L233">
        <v>1.4053137654848205</v>
      </c>
      <c r="M233">
        <v>1.2702489859366195</v>
      </c>
      <c r="N233">
        <v>1.4728461552589209</v>
      </c>
      <c r="O233">
        <v>1.202716596162519</v>
      </c>
    </row>
    <row r="234" spans="1:15">
      <c r="A234" s="19">
        <v>43501</v>
      </c>
      <c r="B234">
        <v>2598</v>
      </c>
      <c r="C234">
        <v>2525</v>
      </c>
      <c r="D234">
        <v>1861</v>
      </c>
      <c r="E234">
        <v>1864</v>
      </c>
      <c r="F234">
        <v>1.3546137339055699</v>
      </c>
      <c r="G234">
        <v>1.33671992959454</v>
      </c>
      <c r="H234">
        <v>6.7427932114234507E-2</v>
      </c>
      <c r="I234">
        <v>0.265376732608611</v>
      </c>
      <c r="J234">
        <v>1.32</v>
      </c>
      <c r="L234">
        <v>1.4041478617087746</v>
      </c>
      <c r="M234">
        <v>1.2692919974803054</v>
      </c>
      <c r="N234">
        <v>1.471575793823009</v>
      </c>
      <c r="O234">
        <v>1.201864065366071</v>
      </c>
    </row>
    <row r="235" spans="1:15">
      <c r="A235" s="19">
        <v>43500</v>
      </c>
      <c r="B235">
        <v>2547</v>
      </c>
      <c r="C235">
        <v>2599</v>
      </c>
      <c r="D235">
        <v>1814</v>
      </c>
      <c r="E235">
        <v>1856</v>
      </c>
      <c r="F235">
        <v>1.4003232758620601</v>
      </c>
      <c r="G235">
        <v>1.33616246500633</v>
      </c>
      <c r="H235">
        <v>6.7450518496633E-2</v>
      </c>
      <c r="I235">
        <v>0.951227837617585</v>
      </c>
      <c r="J235">
        <v>4.58</v>
      </c>
      <c r="L235">
        <v>1.4036129835029629</v>
      </c>
      <c r="M235">
        <v>1.268711946509697</v>
      </c>
      <c r="N235">
        <v>1.4710635019995959</v>
      </c>
      <c r="O235">
        <v>1.201261428013064</v>
      </c>
    </row>
    <row r="236" spans="1:15">
      <c r="A236" s="19">
        <v>43497</v>
      </c>
      <c r="B236">
        <v>2400</v>
      </c>
      <c r="C236">
        <v>2502</v>
      </c>
      <c r="D236">
        <v>1806</v>
      </c>
      <c r="E236">
        <v>1807</v>
      </c>
      <c r="F236">
        <v>1.3846153846153799</v>
      </c>
      <c r="G236">
        <v>1.33516390178794</v>
      </c>
      <c r="H236">
        <v>6.7046421999853195E-2</v>
      </c>
      <c r="I236">
        <v>0.73757079576225504</v>
      </c>
      <c r="J236">
        <v>3.57</v>
      </c>
      <c r="L236">
        <v>1.4022103237877932</v>
      </c>
      <c r="M236">
        <v>1.2681174797880868</v>
      </c>
      <c r="N236">
        <v>1.4692567457876464</v>
      </c>
      <c r="O236">
        <v>1.2010710577882335</v>
      </c>
    </row>
    <row r="237" spans="1:15">
      <c r="A237" s="19">
        <v>43496</v>
      </c>
      <c r="B237">
        <v>2263</v>
      </c>
      <c r="C237">
        <v>2401</v>
      </c>
      <c r="D237">
        <v>1826</v>
      </c>
      <c r="E237">
        <v>1822</v>
      </c>
      <c r="F237">
        <v>1.31778265642151</v>
      </c>
      <c r="G237">
        <v>1.33422952318155</v>
      </c>
      <c r="H237">
        <v>6.6838735609613897E-2</v>
      </c>
      <c r="I237">
        <v>-0.24606789177007601</v>
      </c>
      <c r="J237">
        <v>-1.25</v>
      </c>
      <c r="L237">
        <v>1.4010682587911638</v>
      </c>
      <c r="M237">
        <v>1.2673907875719361</v>
      </c>
      <c r="N237">
        <v>1.4679069944007779</v>
      </c>
      <c r="O237">
        <v>1.2005520519623221</v>
      </c>
    </row>
    <row r="238" spans="1:15">
      <c r="A238" s="19">
        <v>43495</v>
      </c>
      <c r="B238">
        <v>2189</v>
      </c>
      <c r="C238">
        <v>2237</v>
      </c>
      <c r="D238">
        <v>1790</v>
      </c>
      <c r="E238">
        <v>1792</v>
      </c>
      <c r="F238">
        <v>1.2483258928571399</v>
      </c>
      <c r="G238">
        <v>1.3343796507560699</v>
      </c>
      <c r="H238">
        <v>6.6814266102534201E-2</v>
      </c>
      <c r="I238">
        <v>-1.28795484735058</v>
      </c>
      <c r="J238">
        <v>-6.89</v>
      </c>
      <c r="L238">
        <v>1.4011939168586041</v>
      </c>
      <c r="M238">
        <v>1.2675653846535357</v>
      </c>
      <c r="N238">
        <v>1.4680081829611382</v>
      </c>
      <c r="O238">
        <v>1.2007511185510016</v>
      </c>
    </row>
    <row r="239" spans="1:15">
      <c r="A239" s="19">
        <v>43494</v>
      </c>
      <c r="B239">
        <v>2306</v>
      </c>
      <c r="C239">
        <v>2289</v>
      </c>
      <c r="D239">
        <v>1771</v>
      </c>
      <c r="E239">
        <v>1799</v>
      </c>
      <c r="F239">
        <v>1.2723735408560299</v>
      </c>
      <c r="G239">
        <v>1.3354090932426299</v>
      </c>
      <c r="H239">
        <v>6.6071120782484602E-2</v>
      </c>
      <c r="I239">
        <v>-0.95405604808978095</v>
      </c>
      <c r="J239">
        <v>-4.95</v>
      </c>
      <c r="L239">
        <v>1.4014802140251146</v>
      </c>
      <c r="M239">
        <v>1.2693379724601452</v>
      </c>
      <c r="N239">
        <v>1.467551334807599</v>
      </c>
      <c r="O239">
        <v>1.2032668516776608</v>
      </c>
    </row>
    <row r="240" spans="1:15">
      <c r="A240" s="19">
        <v>43493</v>
      </c>
      <c r="B240">
        <v>2307</v>
      </c>
      <c r="C240">
        <v>2286</v>
      </c>
      <c r="D240">
        <v>1862</v>
      </c>
      <c r="E240">
        <v>1851</v>
      </c>
      <c r="F240">
        <v>1.2350081037277101</v>
      </c>
      <c r="G240">
        <v>1.3361900632520101</v>
      </c>
      <c r="H240">
        <v>6.5666345239301094E-2</v>
      </c>
      <c r="I240">
        <v>-1.54084956541401</v>
      </c>
      <c r="J240">
        <v>-8.19</v>
      </c>
      <c r="L240">
        <v>1.4018564084913112</v>
      </c>
      <c r="M240">
        <v>1.2705237180127089</v>
      </c>
      <c r="N240">
        <v>1.4675227537306124</v>
      </c>
      <c r="O240">
        <v>1.2048573727734078</v>
      </c>
    </row>
    <row r="241" spans="1:15">
      <c r="A241" s="19">
        <v>43490</v>
      </c>
      <c r="B241">
        <v>2325</v>
      </c>
      <c r="C241">
        <v>2306</v>
      </c>
      <c r="D241">
        <v>1801</v>
      </c>
      <c r="E241">
        <v>1865</v>
      </c>
      <c r="F241">
        <v>1.23646112600536</v>
      </c>
      <c r="G241">
        <v>1.33753800715036</v>
      </c>
      <c r="H241">
        <v>6.4604552400652396E-2</v>
      </c>
      <c r="I241">
        <v>-1.5645473482761001</v>
      </c>
      <c r="J241">
        <v>-8.17</v>
      </c>
      <c r="L241">
        <v>1.4021425595510124</v>
      </c>
      <c r="M241">
        <v>1.2729334547497075</v>
      </c>
      <c r="N241">
        <v>1.4667471119516649</v>
      </c>
      <c r="O241">
        <v>1.2083289023490551</v>
      </c>
    </row>
    <row r="242" spans="1:15">
      <c r="A242" s="19">
        <v>43489</v>
      </c>
      <c r="B242">
        <v>2355</v>
      </c>
      <c r="C242">
        <v>2352</v>
      </c>
      <c r="D242">
        <v>1826</v>
      </c>
      <c r="E242">
        <v>1802</v>
      </c>
      <c r="F242">
        <v>1.3052164261931101</v>
      </c>
      <c r="G242">
        <v>1.3385996730112699</v>
      </c>
      <c r="H242">
        <v>6.3580943594973002E-2</v>
      </c>
      <c r="I242">
        <v>-0.52505113844835005</v>
      </c>
      <c r="J242">
        <v>-2.56</v>
      </c>
      <c r="L242">
        <v>1.4021806166062429</v>
      </c>
      <c r="M242">
        <v>1.2750187294162969</v>
      </c>
      <c r="N242">
        <v>1.465761560201216</v>
      </c>
      <c r="O242">
        <v>1.2114377858213239</v>
      </c>
    </row>
    <row r="243" spans="1:15">
      <c r="A243" s="19">
        <v>43488</v>
      </c>
      <c r="B243">
        <v>2350</v>
      </c>
      <c r="C243">
        <v>2355</v>
      </c>
      <c r="D243">
        <v>1825</v>
      </c>
      <c r="E243">
        <v>1826</v>
      </c>
      <c r="F243">
        <v>1.28970427163198</v>
      </c>
      <c r="G243">
        <v>1.33872852932972</v>
      </c>
      <c r="H243">
        <v>6.3522923391649E-2</v>
      </c>
      <c r="I243">
        <v>-0.77175695135251099</v>
      </c>
      <c r="J243">
        <v>-3.8</v>
      </c>
      <c r="L243">
        <v>1.402251452721369</v>
      </c>
      <c r="M243">
        <v>1.275205605938071</v>
      </c>
      <c r="N243">
        <v>1.465774376113018</v>
      </c>
      <c r="O243">
        <v>1.211682682546422</v>
      </c>
    </row>
    <row r="244" spans="1:15">
      <c r="A244" s="19">
        <v>43487</v>
      </c>
      <c r="B244">
        <v>2405</v>
      </c>
      <c r="C244">
        <v>2382</v>
      </c>
      <c r="D244">
        <v>1876</v>
      </c>
      <c r="E244">
        <v>1842</v>
      </c>
      <c r="F244">
        <v>1.29315960912052</v>
      </c>
      <c r="G244">
        <v>1.3395058602968299</v>
      </c>
      <c r="H244">
        <v>6.3274478764546602E-2</v>
      </c>
      <c r="I244">
        <v>-0.73246357901703596</v>
      </c>
      <c r="J244">
        <v>-3.58</v>
      </c>
      <c r="L244">
        <v>1.4027803390613764</v>
      </c>
      <c r="M244">
        <v>1.2762313815322834</v>
      </c>
      <c r="N244">
        <v>1.4660548178259232</v>
      </c>
      <c r="O244">
        <v>1.2129569027677367</v>
      </c>
    </row>
    <row r="245" spans="1:15">
      <c r="A245" s="19">
        <v>43486</v>
      </c>
      <c r="B245">
        <v>2400</v>
      </c>
      <c r="C245">
        <v>2390</v>
      </c>
      <c r="D245">
        <v>1895</v>
      </c>
      <c r="E245">
        <v>1876</v>
      </c>
      <c r="F245">
        <v>1.27398720682302</v>
      </c>
      <c r="G245">
        <v>1.34050246626535</v>
      </c>
      <c r="H245">
        <v>6.3125116218694002E-2</v>
      </c>
      <c r="I245">
        <v>-1.0537051403104201</v>
      </c>
      <c r="J245">
        <v>-5.22</v>
      </c>
      <c r="L245">
        <v>1.4036275824840441</v>
      </c>
      <c r="M245">
        <v>1.2773773500466559</v>
      </c>
      <c r="N245">
        <v>1.4667526987027379</v>
      </c>
      <c r="O245">
        <v>1.214252233827962</v>
      </c>
    </row>
    <row r="246" spans="1:15">
      <c r="A246" s="19">
        <v>43483</v>
      </c>
      <c r="B246">
        <v>2401</v>
      </c>
      <c r="C246">
        <v>2393</v>
      </c>
      <c r="D246">
        <v>1873</v>
      </c>
      <c r="E246">
        <v>1881</v>
      </c>
      <c r="F246">
        <v>1.2721956406166901</v>
      </c>
      <c r="G246">
        <v>1.34171333634507</v>
      </c>
      <c r="H246">
        <v>6.2707231580682199E-2</v>
      </c>
      <c r="I246">
        <v>-1.1086073165091399</v>
      </c>
      <c r="J246">
        <v>-5.46</v>
      </c>
      <c r="L246">
        <v>1.4044205679257522</v>
      </c>
      <c r="M246">
        <v>1.2790061047643877</v>
      </c>
      <c r="N246">
        <v>1.4671277995064345</v>
      </c>
      <c r="O246">
        <v>1.2162988731837054</v>
      </c>
    </row>
    <row r="247" spans="1:15">
      <c r="A247" s="19">
        <v>43482</v>
      </c>
      <c r="B247">
        <v>2394</v>
      </c>
      <c r="C247">
        <v>2390</v>
      </c>
      <c r="D247">
        <v>1851</v>
      </c>
      <c r="E247">
        <v>1872</v>
      </c>
      <c r="F247">
        <v>1.2767094017094001</v>
      </c>
      <c r="G247">
        <v>1.34269344937613</v>
      </c>
      <c r="H247">
        <v>6.2185307658146803E-2</v>
      </c>
      <c r="I247">
        <v>-1.0610874200295699</v>
      </c>
      <c r="J247">
        <v>-5.17</v>
      </c>
      <c r="L247">
        <v>1.4048787570342769</v>
      </c>
      <c r="M247">
        <v>1.2805081417179831</v>
      </c>
      <c r="N247">
        <v>1.4670640646924236</v>
      </c>
      <c r="O247">
        <v>1.2183228340598364</v>
      </c>
    </row>
    <row r="248" spans="1:15">
      <c r="A248" s="19">
        <v>43481</v>
      </c>
      <c r="B248">
        <v>2376</v>
      </c>
      <c r="C248">
        <v>2370</v>
      </c>
      <c r="D248">
        <v>1855</v>
      </c>
      <c r="E248">
        <v>1858</v>
      </c>
      <c r="F248">
        <v>1.27556512378902</v>
      </c>
      <c r="G248">
        <v>1.34348952398576</v>
      </c>
      <c r="H248">
        <v>6.1715900808343799E-2</v>
      </c>
      <c r="I248">
        <v>-1.1005980518323699</v>
      </c>
      <c r="J248">
        <v>-5.33</v>
      </c>
      <c r="L248">
        <v>1.4052054247941039</v>
      </c>
      <c r="M248">
        <v>1.2817736231774162</v>
      </c>
      <c r="N248">
        <v>1.4669213256024476</v>
      </c>
      <c r="O248">
        <v>1.2200577223690725</v>
      </c>
    </row>
    <row r="249" spans="1:15">
      <c r="A249" s="19">
        <v>43480</v>
      </c>
      <c r="B249">
        <v>2415</v>
      </c>
      <c r="C249">
        <v>2394</v>
      </c>
      <c r="D249">
        <v>1822</v>
      </c>
      <c r="E249">
        <v>1860</v>
      </c>
      <c r="F249">
        <v>1.28709677419354</v>
      </c>
      <c r="G249">
        <v>1.34462012714004</v>
      </c>
      <c r="H249">
        <v>6.1236041909957503E-2</v>
      </c>
      <c r="I249">
        <v>-0.93937085337885295</v>
      </c>
      <c r="J249">
        <v>-4.47</v>
      </c>
      <c r="L249">
        <v>1.4058561690499976</v>
      </c>
      <c r="M249">
        <v>1.2833840852300824</v>
      </c>
      <c r="N249">
        <v>1.4670922109599549</v>
      </c>
      <c r="O249">
        <v>1.2221480433201251</v>
      </c>
    </row>
    <row r="250" spans="1:15">
      <c r="A250" s="19">
        <v>43476</v>
      </c>
      <c r="B250">
        <v>2458</v>
      </c>
      <c r="C250">
        <v>2425</v>
      </c>
      <c r="D250">
        <v>1853</v>
      </c>
      <c r="E250">
        <v>1853</v>
      </c>
      <c r="F250">
        <v>1.3086886130599</v>
      </c>
      <c r="G250">
        <v>1.34583187369765</v>
      </c>
      <c r="H250">
        <v>6.09844388203949E-2</v>
      </c>
      <c r="I250">
        <v>-0.60906128442271801</v>
      </c>
      <c r="J250">
        <v>-2.84</v>
      </c>
      <c r="L250">
        <v>1.4068163125180448</v>
      </c>
      <c r="M250">
        <v>1.2848474348772552</v>
      </c>
      <c r="N250">
        <v>1.4678007513384399</v>
      </c>
      <c r="O250">
        <v>1.2238629960568601</v>
      </c>
    </row>
    <row r="251" spans="1:15">
      <c r="A251" s="19">
        <v>43475</v>
      </c>
      <c r="B251">
        <v>2445</v>
      </c>
      <c r="C251">
        <v>2458</v>
      </c>
      <c r="D251">
        <v>1842</v>
      </c>
      <c r="E251">
        <v>1833</v>
      </c>
      <c r="F251">
        <v>1.3409710856519299</v>
      </c>
      <c r="G251">
        <v>1.34629335245001</v>
      </c>
      <c r="H251">
        <v>6.0832387445834801E-2</v>
      </c>
      <c r="I251">
        <v>-8.7490677606905404E-2</v>
      </c>
      <c r="J251">
        <v>-0.4</v>
      </c>
      <c r="L251">
        <v>1.4071257398958448</v>
      </c>
      <c r="M251">
        <v>1.2854609650041753</v>
      </c>
      <c r="N251">
        <v>1.4679581273416797</v>
      </c>
      <c r="O251">
        <v>1.2246285775583403</v>
      </c>
    </row>
    <row r="252" spans="1:15">
      <c r="A252" s="19">
        <v>43474</v>
      </c>
      <c r="B252">
        <v>2509</v>
      </c>
      <c r="C252">
        <v>2479</v>
      </c>
      <c r="D252">
        <v>1899</v>
      </c>
      <c r="E252">
        <v>1882</v>
      </c>
      <c r="F252">
        <v>1.31721572794899</v>
      </c>
      <c r="G252">
        <v>1.3470307786606599</v>
      </c>
      <c r="H252">
        <v>6.1098042628886899E-2</v>
      </c>
      <c r="I252">
        <v>-0.48798700300062903</v>
      </c>
      <c r="J252">
        <v>-2.2599999999999998</v>
      </c>
      <c r="L252">
        <v>1.4081288212895469</v>
      </c>
      <c r="M252">
        <v>1.2859327360317729</v>
      </c>
      <c r="N252">
        <v>1.4692268639184336</v>
      </c>
      <c r="O252">
        <v>1.2248346934028862</v>
      </c>
    </row>
    <row r="253" spans="1:15">
      <c r="A253" s="19">
        <v>43473</v>
      </c>
      <c r="B253">
        <v>2495</v>
      </c>
      <c r="C253">
        <v>2485</v>
      </c>
      <c r="D253">
        <v>1880</v>
      </c>
      <c r="E253">
        <v>1891</v>
      </c>
      <c r="F253">
        <v>1.31411951348492</v>
      </c>
      <c r="G253">
        <v>1.34831745981013</v>
      </c>
      <c r="H253">
        <v>6.1471590721150701E-2</v>
      </c>
      <c r="I253">
        <v>-0.55632115460192499</v>
      </c>
      <c r="J253">
        <v>-2.6</v>
      </c>
      <c r="L253">
        <v>1.4097890505312807</v>
      </c>
      <c r="M253">
        <v>1.2868458690889792</v>
      </c>
      <c r="N253">
        <v>1.4712606412524314</v>
      </c>
      <c r="O253">
        <v>1.2253742783678285</v>
      </c>
    </row>
    <row r="254" spans="1:15">
      <c r="A254" s="19">
        <v>43472</v>
      </c>
      <c r="B254">
        <v>2436</v>
      </c>
      <c r="C254">
        <v>2474</v>
      </c>
      <c r="D254">
        <v>1826</v>
      </c>
      <c r="E254">
        <v>1870</v>
      </c>
      <c r="F254">
        <v>1.32299465240641</v>
      </c>
      <c r="G254">
        <v>1.3493699199537399</v>
      </c>
      <c r="H254">
        <v>6.1552743797293703E-2</v>
      </c>
      <c r="I254">
        <v>-0.42849864880418798</v>
      </c>
      <c r="J254">
        <v>-1.99</v>
      </c>
      <c r="L254">
        <v>1.4109226637510337</v>
      </c>
      <c r="M254">
        <v>1.2878171761564461</v>
      </c>
      <c r="N254">
        <v>1.4724754075483273</v>
      </c>
      <c r="O254">
        <v>1.2262644323591525</v>
      </c>
    </row>
    <row r="255" spans="1:15">
      <c r="A255" s="19">
        <v>43469</v>
      </c>
      <c r="B255">
        <v>2391</v>
      </c>
      <c r="C255">
        <v>2362</v>
      </c>
      <c r="D255">
        <v>1771</v>
      </c>
      <c r="E255">
        <v>1795</v>
      </c>
      <c r="F255">
        <v>1.3158774373258999</v>
      </c>
      <c r="G255">
        <v>1.3506445493774699</v>
      </c>
      <c r="H255">
        <v>6.1981684530558599E-2</v>
      </c>
      <c r="I255">
        <v>-0.56092557527099696</v>
      </c>
      <c r="J255">
        <v>-2.64</v>
      </c>
      <c r="L255">
        <v>1.4126262339080284</v>
      </c>
      <c r="M255">
        <v>1.2886628648469114</v>
      </c>
      <c r="N255">
        <v>1.4746079184385872</v>
      </c>
      <c r="O255">
        <v>1.2266811803163526</v>
      </c>
    </row>
    <row r="256" spans="1:15">
      <c r="A256" s="19">
        <v>43462</v>
      </c>
      <c r="B256">
        <v>2405</v>
      </c>
      <c r="C256">
        <v>2441</v>
      </c>
      <c r="D256">
        <v>1838</v>
      </c>
      <c r="E256">
        <v>1816</v>
      </c>
      <c r="F256">
        <v>1.3441629955947101</v>
      </c>
      <c r="G256">
        <v>1.3521208560998099</v>
      </c>
      <c r="H256">
        <v>6.2452838275073398E-2</v>
      </c>
      <c r="I256">
        <v>-0.12742191908150399</v>
      </c>
      <c r="J256">
        <v>-0.59</v>
      </c>
      <c r="L256">
        <v>1.4145736943748832</v>
      </c>
      <c r="M256">
        <v>1.2896680178247366</v>
      </c>
      <c r="N256">
        <v>1.4770265326499568</v>
      </c>
      <c r="O256">
        <v>1.2272151795496631</v>
      </c>
    </row>
    <row r="257" spans="1:15">
      <c r="A257" s="19">
        <v>43461</v>
      </c>
      <c r="B257">
        <v>2360</v>
      </c>
      <c r="C257">
        <v>2405</v>
      </c>
      <c r="D257">
        <v>1789</v>
      </c>
      <c r="E257">
        <v>1819</v>
      </c>
      <c r="F257">
        <v>1.32215503023639</v>
      </c>
      <c r="G257">
        <v>1.3529031951978401</v>
      </c>
      <c r="H257">
        <v>6.2715209862938201E-2</v>
      </c>
      <c r="I257">
        <v>-0.49028242157930002</v>
      </c>
      <c r="J257">
        <v>-2.33</v>
      </c>
      <c r="L257">
        <v>1.4156184050607783</v>
      </c>
      <c r="M257">
        <v>1.2901879853349019</v>
      </c>
      <c r="N257">
        <v>1.4783336149237165</v>
      </c>
      <c r="O257">
        <v>1.2274727754719637</v>
      </c>
    </row>
    <row r="258" spans="1:15">
      <c r="A258" s="19">
        <v>43460</v>
      </c>
      <c r="B258">
        <v>2297</v>
      </c>
      <c r="C258">
        <v>2294</v>
      </c>
      <c r="D258">
        <v>1657</v>
      </c>
      <c r="E258">
        <v>1709</v>
      </c>
      <c r="F258">
        <v>1.3423054417788101</v>
      </c>
      <c r="G258">
        <v>1.3535564711858299</v>
      </c>
      <c r="H258">
        <v>6.2646663252594603E-2</v>
      </c>
      <c r="I258">
        <v>-0.179595030650781</v>
      </c>
      <c r="J258">
        <v>-0.84</v>
      </c>
      <c r="L258">
        <v>1.4162031344384245</v>
      </c>
      <c r="M258">
        <v>1.2909098079332353</v>
      </c>
      <c r="N258">
        <v>1.4788497976910191</v>
      </c>
      <c r="O258">
        <v>1.2282631446806407</v>
      </c>
    </row>
    <row r="259" spans="1:15">
      <c r="A259" s="19">
        <v>43459</v>
      </c>
      <c r="B259">
        <v>2339</v>
      </c>
      <c r="C259">
        <v>2222</v>
      </c>
      <c r="D259">
        <v>1750</v>
      </c>
      <c r="E259">
        <v>1667</v>
      </c>
      <c r="F259">
        <v>1.3329334133173301</v>
      </c>
      <c r="G259">
        <v>1.3541140009177699</v>
      </c>
      <c r="H259">
        <v>6.2730064288287493E-2</v>
      </c>
      <c r="I259">
        <v>-0.33764651512382499</v>
      </c>
      <c r="J259">
        <v>-1.59</v>
      </c>
      <c r="L259">
        <v>1.4168440652060574</v>
      </c>
      <c r="M259">
        <v>1.2913839366294824</v>
      </c>
      <c r="N259">
        <v>1.479574129494345</v>
      </c>
      <c r="O259">
        <v>1.2286538723411948</v>
      </c>
    </row>
    <row r="260" spans="1:15">
      <c r="A260" s="19">
        <v>43455</v>
      </c>
      <c r="B260">
        <v>2445</v>
      </c>
      <c r="C260">
        <v>2358</v>
      </c>
      <c r="D260">
        <v>1870</v>
      </c>
      <c r="E260">
        <v>1811</v>
      </c>
      <c r="F260">
        <v>1.302043070127</v>
      </c>
      <c r="G260">
        <v>1.3545027197661199</v>
      </c>
      <c r="H260">
        <v>6.2687925087376098E-2</v>
      </c>
      <c r="I260">
        <v>-0.83683818799232201</v>
      </c>
      <c r="J260">
        <v>-4.03</v>
      </c>
      <c r="L260">
        <v>1.4171906448534961</v>
      </c>
      <c r="M260">
        <v>1.2918147946787437</v>
      </c>
      <c r="N260">
        <v>1.4798785699408721</v>
      </c>
      <c r="O260">
        <v>1.2291268695913677</v>
      </c>
    </row>
    <row r="261" spans="1:15">
      <c r="A261" s="19">
        <v>43454</v>
      </c>
      <c r="B261">
        <v>2470</v>
      </c>
      <c r="C261">
        <v>2439</v>
      </c>
      <c r="D261">
        <v>1885</v>
      </c>
      <c r="E261">
        <v>1876</v>
      </c>
      <c r="F261">
        <v>1.3001066098081</v>
      </c>
      <c r="G261">
        <v>1.3553709800709</v>
      </c>
      <c r="H261">
        <v>6.2405652867344098E-2</v>
      </c>
      <c r="I261">
        <v>-0.88556673512064998</v>
      </c>
      <c r="J261">
        <v>-4.25</v>
      </c>
      <c r="L261">
        <v>1.417776632938244</v>
      </c>
      <c r="M261">
        <v>1.2929653272035559</v>
      </c>
      <c r="N261">
        <v>1.4801822858055882</v>
      </c>
      <c r="O261">
        <v>1.2305596743362117</v>
      </c>
    </row>
    <row r="262" spans="1:15">
      <c r="A262" s="19">
        <v>43453</v>
      </c>
      <c r="B262">
        <v>2461</v>
      </c>
      <c r="C262">
        <v>2493</v>
      </c>
      <c r="D262">
        <v>1908</v>
      </c>
      <c r="E262">
        <v>1892</v>
      </c>
      <c r="F262">
        <v>1.3176532769556</v>
      </c>
      <c r="G262">
        <v>1.3563818782125701</v>
      </c>
      <c r="H262">
        <v>6.2115649600646701E-2</v>
      </c>
      <c r="I262">
        <v>-0.62349184957357195</v>
      </c>
      <c r="J262">
        <v>-2.94</v>
      </c>
      <c r="L262">
        <v>1.4184975278132168</v>
      </c>
      <c r="M262">
        <v>1.2942662286119233</v>
      </c>
      <c r="N262">
        <v>1.4806131774138636</v>
      </c>
      <c r="O262">
        <v>1.2321505790112766</v>
      </c>
    </row>
    <row r="263" spans="1:15">
      <c r="A263" s="19">
        <v>43452</v>
      </c>
      <c r="B263">
        <v>2421</v>
      </c>
      <c r="C263">
        <v>2437</v>
      </c>
      <c r="D263">
        <v>1939</v>
      </c>
      <c r="E263">
        <v>1922</v>
      </c>
      <c r="F263">
        <v>1.26795005202913</v>
      </c>
      <c r="G263">
        <v>1.3570487727131699</v>
      </c>
      <c r="H263">
        <v>6.1964582749073897E-2</v>
      </c>
      <c r="I263">
        <v>-1.4378975332545301</v>
      </c>
      <c r="J263">
        <v>-7.03</v>
      </c>
      <c r="L263">
        <v>1.4190133554622437</v>
      </c>
      <c r="M263">
        <v>1.2950841899640961</v>
      </c>
      <c r="N263">
        <v>1.4809779382113177</v>
      </c>
      <c r="O263">
        <v>1.2331196072150221</v>
      </c>
    </row>
    <row r="264" spans="1:15">
      <c r="A264" s="19">
        <v>43451</v>
      </c>
      <c r="B264">
        <v>2450</v>
      </c>
      <c r="C264">
        <v>2448</v>
      </c>
      <c r="D264">
        <v>1939</v>
      </c>
      <c r="E264">
        <v>1955</v>
      </c>
      <c r="F264">
        <v>1.2521739130434699</v>
      </c>
      <c r="G264">
        <v>1.35834573185032</v>
      </c>
      <c r="H264">
        <v>6.1098038738751699E-2</v>
      </c>
      <c r="I264">
        <v>-1.7377287552685801</v>
      </c>
      <c r="J264">
        <v>-8.48</v>
      </c>
      <c r="L264">
        <v>1.4194437705890717</v>
      </c>
      <c r="M264">
        <v>1.2972476931115684</v>
      </c>
      <c r="N264">
        <v>1.4805418093278235</v>
      </c>
      <c r="O264">
        <v>1.2361496543728165</v>
      </c>
    </row>
    <row r="265" spans="1:15">
      <c r="A265" s="19">
        <v>43448</v>
      </c>
      <c r="B265">
        <v>2471</v>
      </c>
      <c r="C265">
        <v>2475</v>
      </c>
      <c r="D265">
        <v>1918</v>
      </c>
      <c r="E265">
        <v>1916</v>
      </c>
      <c r="F265">
        <v>1.2917536534446701</v>
      </c>
      <c r="G265">
        <v>1.35983189785822</v>
      </c>
      <c r="H265">
        <v>5.9840082364009999E-2</v>
      </c>
      <c r="I265">
        <v>-1.13766963085756</v>
      </c>
      <c r="J265">
        <v>-5.27</v>
      </c>
      <c r="L265">
        <v>1.41967198022223</v>
      </c>
      <c r="M265">
        <v>1.2999918154942101</v>
      </c>
      <c r="N265">
        <v>1.4795120625862399</v>
      </c>
      <c r="O265">
        <v>1.2401517331302001</v>
      </c>
    </row>
    <row r="266" spans="1:15">
      <c r="A266" s="19">
        <v>43447</v>
      </c>
      <c r="B266">
        <v>2444</v>
      </c>
      <c r="C266">
        <v>2487</v>
      </c>
      <c r="D266">
        <v>1883</v>
      </c>
      <c r="E266">
        <v>1909</v>
      </c>
      <c r="F266">
        <v>1.3027763226820299</v>
      </c>
      <c r="G266">
        <v>1.36066697092712</v>
      </c>
      <c r="H266">
        <v>5.9318955828688E-2</v>
      </c>
      <c r="I266">
        <v>-0.97592156565052501</v>
      </c>
      <c r="J266">
        <v>-4.4400000000000004</v>
      </c>
      <c r="L266">
        <v>1.4199859267558079</v>
      </c>
      <c r="M266">
        <v>1.301348015098432</v>
      </c>
      <c r="N266">
        <v>1.4793048825844959</v>
      </c>
      <c r="O266">
        <v>1.2420290592697441</v>
      </c>
    </row>
    <row r="267" spans="1:15">
      <c r="A267" s="19">
        <v>43446</v>
      </c>
      <c r="B267">
        <v>2424</v>
      </c>
      <c r="C267">
        <v>2430</v>
      </c>
      <c r="D267">
        <v>1850</v>
      </c>
      <c r="E267">
        <v>1879</v>
      </c>
      <c r="F267">
        <v>1.2932410856838701</v>
      </c>
      <c r="G267">
        <v>1.36150851717731</v>
      </c>
      <c r="H267">
        <v>5.8938188057081398E-2</v>
      </c>
      <c r="I267">
        <v>-1.15828860275317</v>
      </c>
      <c r="J267">
        <v>-5.28</v>
      </c>
      <c r="L267">
        <v>1.4204467052343914</v>
      </c>
      <c r="M267">
        <v>1.3025703291202286</v>
      </c>
      <c r="N267">
        <v>1.4793848932914728</v>
      </c>
      <c r="O267">
        <v>1.2436321410631472</v>
      </c>
    </row>
    <row r="268" spans="1:15">
      <c r="A268" s="19">
        <v>43445</v>
      </c>
      <c r="B268">
        <v>2450</v>
      </c>
      <c r="C268">
        <v>2404</v>
      </c>
      <c r="D268">
        <v>1857</v>
      </c>
      <c r="E268">
        <v>1838</v>
      </c>
      <c r="F268">
        <v>1.30794341675734</v>
      </c>
      <c r="G268">
        <v>1.36265857520108</v>
      </c>
      <c r="H268">
        <v>5.8434252563408402E-2</v>
      </c>
      <c r="I268">
        <v>-0.93635421081779302</v>
      </c>
      <c r="J268">
        <v>-4.18</v>
      </c>
      <c r="L268">
        <v>1.4210928277644885</v>
      </c>
      <c r="M268">
        <v>1.3042243226376715</v>
      </c>
      <c r="N268">
        <v>1.4795270803278968</v>
      </c>
      <c r="O268">
        <v>1.2457900700742632</v>
      </c>
    </row>
    <row r="269" spans="1:15">
      <c r="A269" s="19">
        <v>43444</v>
      </c>
      <c r="B269">
        <v>2507</v>
      </c>
      <c r="C269">
        <v>2459</v>
      </c>
      <c r="D269">
        <v>1878</v>
      </c>
      <c r="E269">
        <v>1853</v>
      </c>
      <c r="F269">
        <v>1.32703723691311</v>
      </c>
      <c r="G269">
        <v>1.3638314867180099</v>
      </c>
      <c r="H269">
        <v>5.8206642054237402E-2</v>
      </c>
      <c r="I269">
        <v>-0.63213146311747104</v>
      </c>
      <c r="J269">
        <v>-2.77</v>
      </c>
      <c r="L269">
        <v>1.4220381287722472</v>
      </c>
      <c r="M269">
        <v>1.3056248446637726</v>
      </c>
      <c r="N269">
        <v>1.4802447708264848</v>
      </c>
      <c r="O269">
        <v>1.2474182026095351</v>
      </c>
    </row>
    <row r="270" spans="1:15">
      <c r="A270" s="19">
        <v>43441</v>
      </c>
      <c r="B270">
        <v>2542</v>
      </c>
      <c r="C270">
        <v>2510</v>
      </c>
      <c r="D270">
        <v>1876</v>
      </c>
      <c r="E270">
        <v>1907</v>
      </c>
      <c r="F270">
        <v>1.3162034609333999</v>
      </c>
      <c r="G270">
        <v>1.3639201653189701</v>
      </c>
      <c r="H270">
        <v>5.8155561919852897E-2</v>
      </c>
      <c r="I270">
        <v>-0.82050113196965002</v>
      </c>
      <c r="J270">
        <v>-3.63</v>
      </c>
      <c r="L270">
        <v>1.4220757272388229</v>
      </c>
      <c r="M270">
        <v>1.3057646033991173</v>
      </c>
      <c r="N270">
        <v>1.480231289158676</v>
      </c>
      <c r="O270">
        <v>1.2476090414792642</v>
      </c>
    </row>
    <row r="271" spans="1:15">
      <c r="A271" s="19">
        <v>43440</v>
      </c>
      <c r="B271">
        <v>2520</v>
      </c>
      <c r="C271">
        <v>2500</v>
      </c>
      <c r="D271">
        <v>1905</v>
      </c>
      <c r="E271">
        <v>1885</v>
      </c>
      <c r="F271">
        <v>1.3262599469495999</v>
      </c>
      <c r="G271">
        <v>1.3644604544558401</v>
      </c>
      <c r="H271">
        <v>5.7897402896549197E-2</v>
      </c>
      <c r="I271">
        <v>-0.65979656418268695</v>
      </c>
      <c r="J271">
        <v>-2.88</v>
      </c>
      <c r="L271">
        <v>1.4223578573523892</v>
      </c>
      <c r="M271">
        <v>1.306563051559291</v>
      </c>
      <c r="N271">
        <v>1.4802552602489385</v>
      </c>
      <c r="O271">
        <v>1.2486656486627417</v>
      </c>
    </row>
    <row r="272" spans="1:15">
      <c r="A272" s="19">
        <v>43439</v>
      </c>
      <c r="B272">
        <v>2471</v>
      </c>
      <c r="C272">
        <v>2524</v>
      </c>
      <c r="D272">
        <v>1869</v>
      </c>
      <c r="E272">
        <v>1911</v>
      </c>
      <c r="F272">
        <v>1.3207744636315999</v>
      </c>
      <c r="G272">
        <v>1.36473217056934</v>
      </c>
      <c r="H272">
        <v>5.7765156185433097E-2</v>
      </c>
      <c r="I272">
        <v>-0.76097270120124005</v>
      </c>
      <c r="J272">
        <v>-3.33</v>
      </c>
      <c r="L272">
        <v>1.4224973267547731</v>
      </c>
      <c r="M272">
        <v>1.3069670143839069</v>
      </c>
      <c r="N272">
        <v>1.4802624829402062</v>
      </c>
      <c r="O272">
        <v>1.2492018581984738</v>
      </c>
    </row>
    <row r="273" spans="1:15">
      <c r="A273" s="19">
        <v>43438</v>
      </c>
      <c r="B273">
        <v>2549</v>
      </c>
      <c r="C273">
        <v>2518</v>
      </c>
      <c r="D273">
        <v>1919</v>
      </c>
      <c r="E273">
        <v>1896</v>
      </c>
      <c r="F273">
        <v>1.3280590717299501</v>
      </c>
      <c r="G273">
        <v>1.3655004145490199</v>
      </c>
      <c r="H273">
        <v>5.7558209612598298E-2</v>
      </c>
      <c r="I273">
        <v>-0.65049526507288402</v>
      </c>
      <c r="J273">
        <v>-2.82</v>
      </c>
      <c r="L273">
        <v>1.4230586241616183</v>
      </c>
      <c r="M273">
        <v>1.3079422049364215</v>
      </c>
      <c r="N273">
        <v>1.4806168337742165</v>
      </c>
      <c r="O273">
        <v>1.2503839953238234</v>
      </c>
    </row>
    <row r="274" spans="1:15">
      <c r="A274" s="19">
        <v>43437</v>
      </c>
      <c r="B274">
        <v>2560</v>
      </c>
      <c r="C274">
        <v>2549</v>
      </c>
      <c r="D274">
        <v>1884</v>
      </c>
      <c r="E274">
        <v>1904</v>
      </c>
      <c r="F274">
        <v>1.3387605042016799</v>
      </c>
      <c r="G274">
        <v>1.3659368601550099</v>
      </c>
      <c r="H274">
        <v>5.7396525569527297E-2</v>
      </c>
      <c r="I274">
        <v>-0.47348433870647799</v>
      </c>
      <c r="J274">
        <v>-2.0299999999999998</v>
      </c>
      <c r="L274">
        <v>1.4233333857245372</v>
      </c>
      <c r="M274">
        <v>1.3085403345854827</v>
      </c>
      <c r="N274">
        <v>1.4807299112940646</v>
      </c>
      <c r="O274">
        <v>1.2511438090159552</v>
      </c>
    </row>
    <row r="275" spans="1:15">
      <c r="A275" s="19">
        <v>43434</v>
      </c>
      <c r="B275">
        <v>2554</v>
      </c>
      <c r="C275">
        <v>2528</v>
      </c>
      <c r="D275">
        <v>1834</v>
      </c>
      <c r="E275">
        <v>1884</v>
      </c>
      <c r="F275">
        <v>1.34182590233545</v>
      </c>
      <c r="G275">
        <v>1.36543208954065</v>
      </c>
      <c r="H275">
        <v>5.7798369430687002E-2</v>
      </c>
      <c r="I275">
        <v>-0.40842306517844101</v>
      </c>
      <c r="J275">
        <v>-1.76</v>
      </c>
      <c r="L275">
        <v>1.4232304589713369</v>
      </c>
      <c r="M275">
        <v>1.307633720109963</v>
      </c>
      <c r="N275">
        <v>1.4810288284020241</v>
      </c>
      <c r="O275">
        <v>1.2498353506792759</v>
      </c>
    </row>
    <row r="276" spans="1:15">
      <c r="A276" s="19">
        <v>43433</v>
      </c>
      <c r="B276">
        <v>2569</v>
      </c>
      <c r="C276">
        <v>2555</v>
      </c>
      <c r="D276">
        <v>1818</v>
      </c>
      <c r="E276">
        <v>1820</v>
      </c>
      <c r="F276">
        <v>1.40384615384615</v>
      </c>
      <c r="G276">
        <v>1.3645558030784499</v>
      </c>
      <c r="H276">
        <v>5.8641674965109802E-2</v>
      </c>
      <c r="I276">
        <v>0.67000730779047202</v>
      </c>
      <c r="J276">
        <v>2.8</v>
      </c>
      <c r="L276">
        <v>1.4231974780435597</v>
      </c>
      <c r="M276">
        <v>1.3059141281133402</v>
      </c>
      <c r="N276">
        <v>1.4818391530086696</v>
      </c>
      <c r="O276">
        <v>1.2472724531482302</v>
      </c>
    </row>
    <row r="277" spans="1:15">
      <c r="A277" s="19">
        <v>43432</v>
      </c>
      <c r="B277">
        <v>2547</v>
      </c>
      <c r="C277">
        <v>2548</v>
      </c>
      <c r="D277">
        <v>1741</v>
      </c>
      <c r="E277">
        <v>1765</v>
      </c>
      <c r="F277">
        <v>1.44362606232294</v>
      </c>
      <c r="G277">
        <v>1.36312869101389</v>
      </c>
      <c r="H277">
        <v>5.8969607341640598E-2</v>
      </c>
      <c r="I277">
        <v>1.3650654114532199</v>
      </c>
      <c r="J277">
        <v>5.58</v>
      </c>
      <c r="L277">
        <v>1.4220982983555306</v>
      </c>
      <c r="M277">
        <v>1.3041590836722494</v>
      </c>
      <c r="N277">
        <v>1.4810679056971712</v>
      </c>
      <c r="O277">
        <v>1.2451894763306088</v>
      </c>
    </row>
    <row r="278" spans="1:15">
      <c r="A278" s="19">
        <v>43431</v>
      </c>
      <c r="B278">
        <v>2538</v>
      </c>
      <c r="C278">
        <v>2547</v>
      </c>
      <c r="D278">
        <v>1690</v>
      </c>
      <c r="E278">
        <v>1739</v>
      </c>
      <c r="F278">
        <v>1.46463484761357</v>
      </c>
      <c r="G278">
        <v>1.3609702906062</v>
      </c>
      <c r="H278">
        <v>5.8946303561789003E-2</v>
      </c>
      <c r="I278">
        <v>1.7586269323691299</v>
      </c>
      <c r="J278">
        <v>7.08</v>
      </c>
      <c r="L278">
        <v>1.419916594167989</v>
      </c>
      <c r="M278">
        <v>1.302023987044411</v>
      </c>
      <c r="N278">
        <v>1.478862897729778</v>
      </c>
      <c r="O278">
        <v>1.243077683482622</v>
      </c>
    </row>
    <row r="279" spans="1:15">
      <c r="A279" s="19">
        <v>43430</v>
      </c>
      <c r="B279">
        <v>2489</v>
      </c>
      <c r="C279">
        <v>2519</v>
      </c>
      <c r="D279">
        <v>1676</v>
      </c>
      <c r="E279">
        <v>1669</v>
      </c>
      <c r="F279">
        <v>1.5092869982025101</v>
      </c>
      <c r="G279">
        <v>1.35830842708574</v>
      </c>
      <c r="H279">
        <v>5.8712121286735898E-2</v>
      </c>
      <c r="I279">
        <v>2.5715059822047599</v>
      </c>
      <c r="J279">
        <v>10</v>
      </c>
      <c r="L279">
        <v>1.4170205483724758</v>
      </c>
      <c r="M279">
        <v>1.2995963057990041</v>
      </c>
      <c r="N279">
        <v>1.4757326696592117</v>
      </c>
      <c r="O279">
        <v>1.2408841845122682</v>
      </c>
    </row>
    <row r="280" spans="1:15">
      <c r="A280" s="19">
        <v>43426</v>
      </c>
      <c r="B280">
        <v>2458</v>
      </c>
      <c r="C280">
        <v>2486</v>
      </c>
      <c r="D280">
        <v>1665</v>
      </c>
      <c r="E280">
        <v>1676</v>
      </c>
      <c r="F280">
        <v>1.48329355608591</v>
      </c>
      <c r="G280">
        <v>1.35498173025387</v>
      </c>
      <c r="H280">
        <v>5.7109936014556599E-2</v>
      </c>
      <c r="I280">
        <v>2.24675134987617</v>
      </c>
      <c r="J280">
        <v>8.65</v>
      </c>
      <c r="L280">
        <v>1.4120916662684266</v>
      </c>
      <c r="M280">
        <v>1.2978717942393134</v>
      </c>
      <c r="N280">
        <v>1.4692016022829832</v>
      </c>
      <c r="O280">
        <v>1.2407618582247568</v>
      </c>
    </row>
    <row r="281" spans="1:15">
      <c r="A281" s="19">
        <v>43425</v>
      </c>
      <c r="B281">
        <v>2449</v>
      </c>
      <c r="C281">
        <v>2458</v>
      </c>
      <c r="D281">
        <v>1663</v>
      </c>
      <c r="E281">
        <v>1659</v>
      </c>
      <c r="F281">
        <v>1.48161543098251</v>
      </c>
      <c r="G281">
        <v>1.3520134565544399</v>
      </c>
      <c r="H281">
        <v>5.61409259235187E-2</v>
      </c>
      <c r="I281">
        <v>2.3085115233872999</v>
      </c>
      <c r="J281">
        <v>8.75</v>
      </c>
      <c r="L281">
        <v>1.4081543824779585</v>
      </c>
      <c r="M281">
        <v>1.2958725306309213</v>
      </c>
      <c r="N281">
        <v>1.4642953084014774</v>
      </c>
      <c r="O281">
        <v>1.2397316047074025</v>
      </c>
    </row>
    <row r="282" spans="1:15">
      <c r="A282" s="19">
        <v>43424</v>
      </c>
      <c r="B282">
        <v>2487</v>
      </c>
      <c r="C282">
        <v>2472</v>
      </c>
      <c r="D282">
        <v>1714</v>
      </c>
      <c r="E282">
        <v>1683</v>
      </c>
      <c r="F282">
        <v>1.4688057040998199</v>
      </c>
      <c r="G282">
        <v>1.34985060340518</v>
      </c>
      <c r="H282">
        <v>5.4197330041387201E-2</v>
      </c>
      <c r="I282">
        <v>2.1948516763426098</v>
      </c>
      <c r="J282">
        <v>8.1</v>
      </c>
      <c r="L282">
        <v>1.4040479334465672</v>
      </c>
      <c r="M282">
        <v>1.2956532733637929</v>
      </c>
      <c r="N282">
        <v>1.4582452634879544</v>
      </c>
      <c r="O282">
        <v>1.2414559433224057</v>
      </c>
    </row>
    <row r="283" spans="1:15">
      <c r="A283" s="19">
        <v>43423</v>
      </c>
      <c r="B283">
        <v>2495</v>
      </c>
      <c r="C283">
        <v>2529</v>
      </c>
      <c r="D283">
        <v>1744</v>
      </c>
      <c r="E283">
        <v>1733</v>
      </c>
      <c r="F283">
        <v>1.4593190998268799</v>
      </c>
      <c r="G283">
        <v>1.3473659188312499</v>
      </c>
      <c r="H283">
        <v>5.2944021628561599E-2</v>
      </c>
      <c r="I283">
        <v>2.11455755630092</v>
      </c>
      <c r="J283">
        <v>7.67</v>
      </c>
      <c r="L283">
        <v>1.4003099404598114</v>
      </c>
      <c r="M283">
        <v>1.2944218972026884</v>
      </c>
      <c r="N283">
        <v>1.4532539620883731</v>
      </c>
      <c r="O283">
        <v>1.2414778755741267</v>
      </c>
    </row>
    <row r="284" spans="1:15">
      <c r="A284" s="19">
        <v>43420</v>
      </c>
      <c r="B284">
        <v>2526</v>
      </c>
      <c r="C284">
        <v>2511</v>
      </c>
      <c r="D284">
        <v>1755</v>
      </c>
      <c r="E284">
        <v>1743</v>
      </c>
      <c r="F284">
        <v>1.44061962134251</v>
      </c>
      <c r="G284">
        <v>1.3452034128007699</v>
      </c>
      <c r="H284">
        <v>5.1622926696326898E-2</v>
      </c>
      <c r="I284">
        <v>1.8483300860298799</v>
      </c>
      <c r="J284">
        <v>6.62</v>
      </c>
      <c r="L284">
        <v>1.3968263394970968</v>
      </c>
      <c r="M284">
        <v>1.2935804861044431</v>
      </c>
      <c r="N284">
        <v>1.4484492661934238</v>
      </c>
      <c r="O284">
        <v>1.241957559408116</v>
      </c>
    </row>
    <row r="285" spans="1:15">
      <c r="A285" s="19">
        <v>43419</v>
      </c>
      <c r="B285">
        <v>2476</v>
      </c>
      <c r="C285">
        <v>2521</v>
      </c>
      <c r="D285">
        <v>1731</v>
      </c>
      <c r="E285">
        <v>1751</v>
      </c>
      <c r="F285">
        <v>1.4397487150199799</v>
      </c>
      <c r="G285">
        <v>1.34477223014863</v>
      </c>
      <c r="H285">
        <v>5.09548908394988E-2</v>
      </c>
      <c r="I285">
        <v>1.86393265310914</v>
      </c>
      <c r="J285">
        <v>6.6</v>
      </c>
      <c r="L285">
        <v>1.3957271209881288</v>
      </c>
      <c r="M285">
        <v>1.2938173393091312</v>
      </c>
      <c r="N285">
        <v>1.4466820118276276</v>
      </c>
      <c r="O285">
        <v>1.2428624484696325</v>
      </c>
    </row>
    <row r="286" spans="1:15">
      <c r="A286" s="19">
        <v>43418</v>
      </c>
      <c r="B286">
        <v>2490</v>
      </c>
      <c r="C286">
        <v>2480</v>
      </c>
      <c r="D286">
        <v>1761</v>
      </c>
      <c r="E286">
        <v>1738</v>
      </c>
      <c r="F286">
        <v>1.42692750287687</v>
      </c>
      <c r="G286">
        <v>1.34343825485354</v>
      </c>
      <c r="H286">
        <v>4.9746262152093802E-2</v>
      </c>
      <c r="I286">
        <v>1.6783019348883399</v>
      </c>
      <c r="J286">
        <v>5.85</v>
      </c>
      <c r="L286">
        <v>1.3931845170056338</v>
      </c>
      <c r="M286">
        <v>1.2936919927014461</v>
      </c>
      <c r="N286">
        <v>1.4429307791577275</v>
      </c>
      <c r="O286">
        <v>1.2439457305493524</v>
      </c>
    </row>
    <row r="287" spans="1:15">
      <c r="A287" s="19">
        <v>43417</v>
      </c>
      <c r="B287">
        <v>2550</v>
      </c>
      <c r="C287">
        <v>2513</v>
      </c>
      <c r="D287">
        <v>1786</v>
      </c>
      <c r="E287">
        <v>1762</v>
      </c>
      <c r="F287">
        <v>1.4262202043132799</v>
      </c>
      <c r="G287">
        <v>1.34180152749828</v>
      </c>
      <c r="H287">
        <v>4.8986010065216599E-2</v>
      </c>
      <c r="I287">
        <v>1.7233221628503901</v>
      </c>
      <c r="J287">
        <v>5.92</v>
      </c>
      <c r="L287">
        <v>1.3907875375634966</v>
      </c>
      <c r="M287">
        <v>1.2928155174330633</v>
      </c>
      <c r="N287">
        <v>1.4397735476287132</v>
      </c>
      <c r="O287">
        <v>1.2438295073678467</v>
      </c>
    </row>
    <row r="288" spans="1:15">
      <c r="A288" s="19">
        <v>43416</v>
      </c>
      <c r="B288">
        <v>2537</v>
      </c>
      <c r="C288">
        <v>2573</v>
      </c>
      <c r="D288">
        <v>1814</v>
      </c>
      <c r="E288">
        <v>1810</v>
      </c>
      <c r="F288">
        <v>1.4215469613259599</v>
      </c>
      <c r="G288">
        <v>1.3400362541233699</v>
      </c>
      <c r="H288">
        <v>4.82926822984628E-2</v>
      </c>
      <c r="I288">
        <v>1.6878479993891</v>
      </c>
      <c r="J288">
        <v>5.73</v>
      </c>
      <c r="L288">
        <v>1.3883289364218327</v>
      </c>
      <c r="M288">
        <v>1.2917435718249071</v>
      </c>
      <c r="N288">
        <v>1.4366216187202956</v>
      </c>
      <c r="O288">
        <v>1.2434508895264442</v>
      </c>
    </row>
    <row r="289" spans="1:15">
      <c r="A289" s="19">
        <v>43413</v>
      </c>
      <c r="B289">
        <v>2536</v>
      </c>
      <c r="C289">
        <v>2530</v>
      </c>
      <c r="D289">
        <v>1846</v>
      </c>
      <c r="E289">
        <v>1814</v>
      </c>
      <c r="F289">
        <v>1.3947078280044101</v>
      </c>
      <c r="G289">
        <v>1.3376767828280001</v>
      </c>
      <c r="H289">
        <v>4.8574731810814301E-2</v>
      </c>
      <c r="I289">
        <v>1.1740887298879601</v>
      </c>
      <c r="J289">
        <v>4.09</v>
      </c>
      <c r="L289">
        <v>1.3862515146388144</v>
      </c>
      <c r="M289">
        <v>1.2891020510171858</v>
      </c>
      <c r="N289">
        <v>1.4348262464496286</v>
      </c>
      <c r="O289">
        <v>1.2405273192063715</v>
      </c>
    </row>
    <row r="290" spans="1:15">
      <c r="A290" s="19">
        <v>43412</v>
      </c>
      <c r="B290">
        <v>2556</v>
      </c>
      <c r="C290">
        <v>2547</v>
      </c>
      <c r="D290">
        <v>1857</v>
      </c>
      <c r="E290">
        <v>1854</v>
      </c>
      <c r="F290">
        <v>1.3737864077669899</v>
      </c>
      <c r="G290">
        <v>1.3355748463534101</v>
      </c>
      <c r="H290">
        <v>4.9464082284117299E-2</v>
      </c>
      <c r="I290">
        <v>0.77251127786209095</v>
      </c>
      <c r="J290">
        <v>2.78</v>
      </c>
      <c r="L290">
        <v>1.3850389286375273</v>
      </c>
      <c r="M290">
        <v>1.2861107640692928</v>
      </c>
      <c r="N290">
        <v>1.4345030109216446</v>
      </c>
      <c r="O290">
        <v>1.2366466817851756</v>
      </c>
    </row>
    <row r="291" spans="1:15">
      <c r="A291" s="19">
        <v>43411</v>
      </c>
      <c r="B291">
        <v>2503</v>
      </c>
      <c r="C291">
        <v>2533</v>
      </c>
      <c r="D291">
        <v>1830</v>
      </c>
      <c r="E291">
        <v>1824</v>
      </c>
      <c r="F291">
        <v>1.38870614035087</v>
      </c>
      <c r="G291">
        <v>1.33499154012208</v>
      </c>
      <c r="H291">
        <v>4.9267591459810203E-2</v>
      </c>
      <c r="I291">
        <v>1.0902623537546301</v>
      </c>
      <c r="J291">
        <v>3.87</v>
      </c>
      <c r="L291">
        <v>1.3842591315818902</v>
      </c>
      <c r="M291">
        <v>1.2857239486622698</v>
      </c>
      <c r="N291">
        <v>1.4335267230417004</v>
      </c>
      <c r="O291">
        <v>1.2364563572024596</v>
      </c>
    </row>
    <row r="292" spans="1:15">
      <c r="A292" s="19">
        <v>43410</v>
      </c>
      <c r="B292">
        <v>2500</v>
      </c>
      <c r="C292">
        <v>2490</v>
      </c>
      <c r="D292">
        <v>1825</v>
      </c>
      <c r="E292">
        <v>1820</v>
      </c>
      <c r="F292">
        <v>1.3681318681318599</v>
      </c>
      <c r="G292">
        <v>1.3340505498258199</v>
      </c>
      <c r="H292">
        <v>4.8905316435654503E-2</v>
      </c>
      <c r="I292">
        <v>0.69688370897017204</v>
      </c>
      <c r="J292">
        <v>2.4900000000000002</v>
      </c>
      <c r="L292">
        <v>1.3829558662614745</v>
      </c>
      <c r="M292">
        <v>1.2851452333901654</v>
      </c>
      <c r="N292">
        <v>1.431861182697129</v>
      </c>
      <c r="O292">
        <v>1.2362399169545109</v>
      </c>
    </row>
    <row r="293" spans="1:15">
      <c r="A293" s="19">
        <v>43409</v>
      </c>
      <c r="B293">
        <v>2500</v>
      </c>
      <c r="C293">
        <v>2496</v>
      </c>
      <c r="D293">
        <v>1801</v>
      </c>
      <c r="E293">
        <v>1826</v>
      </c>
      <c r="F293">
        <v>1.3669222343921099</v>
      </c>
      <c r="G293">
        <v>1.3337377746664201</v>
      </c>
      <c r="H293">
        <v>4.8761149395445999E-2</v>
      </c>
      <c r="I293">
        <v>0.680551220328387</v>
      </c>
      <c r="J293">
        <v>2.4300000000000002</v>
      </c>
      <c r="L293">
        <v>1.3824989240618661</v>
      </c>
      <c r="M293">
        <v>1.284976625270974</v>
      </c>
      <c r="N293">
        <v>1.431260073457312</v>
      </c>
      <c r="O293">
        <v>1.2362154758755282</v>
      </c>
    </row>
    <row r="294" spans="1:15">
      <c r="A294" s="19">
        <v>43406</v>
      </c>
      <c r="B294">
        <v>2586</v>
      </c>
      <c r="C294">
        <v>2544</v>
      </c>
      <c r="D294">
        <v>1802</v>
      </c>
      <c r="E294">
        <v>1840</v>
      </c>
      <c r="F294">
        <v>1.3826086956521699</v>
      </c>
      <c r="G294">
        <v>1.33331697793116</v>
      </c>
      <c r="H294">
        <v>4.8608898750898799E-2</v>
      </c>
      <c r="I294">
        <v>1.01404720097875</v>
      </c>
      <c r="J294">
        <v>3.57</v>
      </c>
      <c r="L294">
        <v>1.3819258766820588</v>
      </c>
      <c r="M294">
        <v>1.2847080791802612</v>
      </c>
      <c r="N294">
        <v>1.4305347754329576</v>
      </c>
      <c r="O294">
        <v>1.2360991804293624</v>
      </c>
    </row>
    <row r="295" spans="1:15">
      <c r="A295" s="19">
        <v>43405</v>
      </c>
      <c r="B295">
        <v>2486</v>
      </c>
      <c r="C295">
        <v>2565</v>
      </c>
      <c r="D295">
        <v>1805</v>
      </c>
      <c r="E295">
        <v>1816</v>
      </c>
      <c r="F295">
        <v>1.4124449339206999</v>
      </c>
      <c r="G295">
        <v>1.3326673928739401</v>
      </c>
      <c r="H295">
        <v>4.8270195840376298E-2</v>
      </c>
      <c r="I295">
        <v>1.6527287627043299</v>
      </c>
      <c r="J295">
        <v>5.65</v>
      </c>
      <c r="L295">
        <v>1.3809375887143165</v>
      </c>
      <c r="M295">
        <v>1.2843971970335637</v>
      </c>
      <c r="N295">
        <v>1.4292077845546927</v>
      </c>
      <c r="O295">
        <v>1.2361270011931875</v>
      </c>
    </row>
    <row r="296" spans="1:15">
      <c r="A296" s="19">
        <v>43404</v>
      </c>
      <c r="B296">
        <v>2485</v>
      </c>
      <c r="C296">
        <v>2462</v>
      </c>
      <c r="D296">
        <v>1790</v>
      </c>
      <c r="E296">
        <v>1789</v>
      </c>
      <c r="F296">
        <v>1.3761878144214601</v>
      </c>
      <c r="G296">
        <v>1.3318887656288101</v>
      </c>
      <c r="H296">
        <v>4.7440922641521603E-2</v>
      </c>
      <c r="I296">
        <v>0.93377291852834499</v>
      </c>
      <c r="J296">
        <v>3.22</v>
      </c>
      <c r="L296">
        <v>1.3793296882703316</v>
      </c>
      <c r="M296">
        <v>1.2844478429872885</v>
      </c>
      <c r="N296">
        <v>1.4267706109118532</v>
      </c>
      <c r="O296">
        <v>1.237006920345767</v>
      </c>
    </row>
    <row r="297" spans="1:15">
      <c r="A297" s="19">
        <v>43403</v>
      </c>
      <c r="B297">
        <v>2390</v>
      </c>
      <c r="C297">
        <v>2458</v>
      </c>
      <c r="D297">
        <v>1782</v>
      </c>
      <c r="E297">
        <v>1788</v>
      </c>
      <c r="F297">
        <v>1.3747203579418299</v>
      </c>
      <c r="G297">
        <v>1.3318767950792101</v>
      </c>
      <c r="H297">
        <v>4.7429855333091103E-2</v>
      </c>
      <c r="I297">
        <v>0.90330367996557304</v>
      </c>
      <c r="J297">
        <v>3.12</v>
      </c>
      <c r="L297">
        <v>1.3793066504123013</v>
      </c>
      <c r="M297">
        <v>1.2844469397461189</v>
      </c>
      <c r="N297">
        <v>1.4267365057453922</v>
      </c>
      <c r="O297">
        <v>1.2370170844130279</v>
      </c>
    </row>
    <row r="298" spans="1:15">
      <c r="A298" s="19">
        <v>43402</v>
      </c>
      <c r="B298">
        <v>2347</v>
      </c>
      <c r="C298">
        <v>2390</v>
      </c>
      <c r="D298">
        <v>1827</v>
      </c>
      <c r="E298">
        <v>1782</v>
      </c>
      <c r="F298">
        <v>1.3411896745230001</v>
      </c>
      <c r="G298">
        <v>1.3318853211836501</v>
      </c>
      <c r="H298">
        <v>4.7437613069064397E-2</v>
      </c>
      <c r="I298">
        <v>0.196138733325599</v>
      </c>
      <c r="J298">
        <v>0.69</v>
      </c>
      <c r="L298">
        <v>1.3793229342527145</v>
      </c>
      <c r="M298">
        <v>1.2844477081145858</v>
      </c>
      <c r="N298">
        <v>1.4267605473217788</v>
      </c>
      <c r="O298">
        <v>1.2370100950455214</v>
      </c>
    </row>
    <row r="299" spans="1:15">
      <c r="A299" s="19">
        <v>43399</v>
      </c>
      <c r="B299">
        <v>2356</v>
      </c>
      <c r="C299">
        <v>2313</v>
      </c>
      <c r="D299">
        <v>1858</v>
      </c>
      <c r="E299">
        <v>1812</v>
      </c>
      <c r="F299">
        <v>1.2764900662251599</v>
      </c>
      <c r="G299">
        <v>1.3324507028389601</v>
      </c>
      <c r="H299">
        <v>4.7796471939583703E-2</v>
      </c>
      <c r="I299">
        <v>-1.1708110315031599</v>
      </c>
      <c r="J299">
        <v>-4.38</v>
      </c>
      <c r="L299">
        <v>1.3802471747785439</v>
      </c>
      <c r="M299">
        <v>1.2846542308993762</v>
      </c>
      <c r="N299">
        <v>1.4280436467181274</v>
      </c>
      <c r="O299">
        <v>1.2368577589597927</v>
      </c>
    </row>
    <row r="300" spans="1:15">
      <c r="A300" s="19">
        <v>43398</v>
      </c>
      <c r="B300">
        <v>2390</v>
      </c>
      <c r="C300">
        <v>2356</v>
      </c>
      <c r="D300">
        <v>1855</v>
      </c>
      <c r="E300">
        <v>1818</v>
      </c>
      <c r="F300">
        <v>1.29592959295929</v>
      </c>
      <c r="G300">
        <v>1.3336126534711099</v>
      </c>
      <c r="H300">
        <v>4.7480156926746897E-2</v>
      </c>
      <c r="I300">
        <v>-0.793659139963525</v>
      </c>
      <c r="J300">
        <v>-2.91</v>
      </c>
      <c r="L300">
        <v>1.3810928103978568</v>
      </c>
      <c r="M300">
        <v>1.286132496544363</v>
      </c>
      <c r="N300">
        <v>1.4285729673246037</v>
      </c>
      <c r="O300">
        <v>1.2386523396176161</v>
      </c>
    </row>
    <row r="301" spans="1:15">
      <c r="A301" s="19">
        <v>43397</v>
      </c>
      <c r="B301">
        <v>2394</v>
      </c>
      <c r="C301">
        <v>2436</v>
      </c>
      <c r="D301">
        <v>1895</v>
      </c>
      <c r="E301">
        <v>1895</v>
      </c>
      <c r="F301">
        <v>1.2854881266490701</v>
      </c>
      <c r="G301">
        <v>1.33446144611293</v>
      </c>
      <c r="H301">
        <v>4.7367798292014499E-2</v>
      </c>
      <c r="I301">
        <v>-1.03389478147039</v>
      </c>
      <c r="J301">
        <v>-3.81</v>
      </c>
      <c r="L301">
        <v>1.3818292444049445</v>
      </c>
      <c r="M301">
        <v>1.2870936478209156</v>
      </c>
      <c r="N301">
        <v>1.4291970426969591</v>
      </c>
      <c r="O301">
        <v>1.239725849528901</v>
      </c>
    </row>
    <row r="302" spans="1:15">
      <c r="A302" s="19">
        <v>43396</v>
      </c>
      <c r="B302">
        <v>2361</v>
      </c>
      <c r="C302">
        <v>2380</v>
      </c>
      <c r="D302">
        <v>1903</v>
      </c>
      <c r="E302">
        <v>1889</v>
      </c>
      <c r="F302">
        <v>1.25992588671254</v>
      </c>
      <c r="G302">
        <v>1.3357346687854601</v>
      </c>
      <c r="H302">
        <v>4.7317666211650802E-2</v>
      </c>
      <c r="I302">
        <v>-1.60212428343004</v>
      </c>
      <c r="J302">
        <v>-6.02</v>
      </c>
      <c r="L302">
        <v>1.3830523349971109</v>
      </c>
      <c r="M302">
        <v>1.2884170025738093</v>
      </c>
      <c r="N302">
        <v>1.4303700012087617</v>
      </c>
      <c r="O302">
        <v>1.2410993363621585</v>
      </c>
    </row>
    <row r="303" spans="1:15">
      <c r="A303" s="19">
        <v>43395</v>
      </c>
      <c r="B303">
        <v>2355</v>
      </c>
      <c r="C303">
        <v>2371</v>
      </c>
      <c r="D303">
        <v>1915</v>
      </c>
      <c r="E303">
        <v>1918</v>
      </c>
      <c r="F303">
        <v>1.2361835245046899</v>
      </c>
      <c r="G303">
        <v>1.3369322993800901</v>
      </c>
      <c r="H303">
        <v>4.6513646505741503E-2</v>
      </c>
      <c r="I303">
        <v>-2.16600465549321</v>
      </c>
      <c r="J303">
        <v>-8.15</v>
      </c>
      <c r="L303">
        <v>1.3834459458858315</v>
      </c>
      <c r="M303">
        <v>1.2904186528743486</v>
      </c>
      <c r="N303">
        <v>1.4299595923915731</v>
      </c>
      <c r="O303">
        <v>1.243905006368607</v>
      </c>
    </row>
    <row r="304" spans="1:15">
      <c r="A304" s="19">
        <v>43392</v>
      </c>
      <c r="B304">
        <v>2351</v>
      </c>
      <c r="C304">
        <v>2356</v>
      </c>
      <c r="D304">
        <v>1890</v>
      </c>
      <c r="E304">
        <v>1917</v>
      </c>
      <c r="F304">
        <v>1.22900365153886</v>
      </c>
      <c r="G304">
        <v>1.3383977045720199</v>
      </c>
      <c r="H304">
        <v>4.5023907777521598E-2</v>
      </c>
      <c r="I304">
        <v>-2.42968810201282</v>
      </c>
      <c r="J304">
        <v>-8.9</v>
      </c>
      <c r="L304">
        <v>1.3834216123495415</v>
      </c>
      <c r="M304">
        <v>1.2933737967944983</v>
      </c>
      <c r="N304">
        <v>1.4284455201270632</v>
      </c>
      <c r="O304">
        <v>1.2483498890169766</v>
      </c>
    </row>
    <row r="305" spans="1:15">
      <c r="A305" s="19">
        <v>43391</v>
      </c>
      <c r="B305">
        <v>2405</v>
      </c>
      <c r="C305">
        <v>2396</v>
      </c>
      <c r="D305">
        <v>1926</v>
      </c>
      <c r="E305">
        <v>1918</v>
      </c>
      <c r="F305">
        <v>1.24921793534932</v>
      </c>
      <c r="G305">
        <v>1.34010357148253</v>
      </c>
      <c r="H305">
        <v>4.3235026804879402E-2</v>
      </c>
      <c r="I305">
        <v>-2.10212975103232</v>
      </c>
      <c r="J305">
        <v>-7.28</v>
      </c>
      <c r="L305">
        <v>1.3833385982874093</v>
      </c>
      <c r="M305">
        <v>1.2968685446776507</v>
      </c>
      <c r="N305">
        <v>1.4265736250922889</v>
      </c>
      <c r="O305">
        <v>1.2536335178727711</v>
      </c>
    </row>
    <row r="306" spans="1:15">
      <c r="A306" s="19">
        <v>43390</v>
      </c>
      <c r="B306">
        <v>2405</v>
      </c>
      <c r="C306">
        <v>2432</v>
      </c>
      <c r="D306">
        <v>1905</v>
      </c>
      <c r="E306">
        <v>1930</v>
      </c>
      <c r="F306">
        <v>1.2601036269429999</v>
      </c>
      <c r="G306">
        <v>1.3417613819313201</v>
      </c>
      <c r="H306">
        <v>4.20868394416819E-2</v>
      </c>
      <c r="I306">
        <v>-1.9402206502455499</v>
      </c>
      <c r="J306">
        <v>-6.48</v>
      </c>
      <c r="L306">
        <v>1.3838482213730021</v>
      </c>
      <c r="M306">
        <v>1.2996745424896381</v>
      </c>
      <c r="N306">
        <v>1.4259350608146839</v>
      </c>
      <c r="O306">
        <v>1.2575877030479563</v>
      </c>
    </row>
    <row r="307" spans="1:15">
      <c r="A307" s="19">
        <v>43389</v>
      </c>
      <c r="B307">
        <v>2370</v>
      </c>
      <c r="C307">
        <v>2405</v>
      </c>
      <c r="D307">
        <v>1845</v>
      </c>
      <c r="E307">
        <v>1865</v>
      </c>
      <c r="F307">
        <v>1.2895442359249301</v>
      </c>
      <c r="G307">
        <v>1.3431832014134899</v>
      </c>
      <c r="H307">
        <v>4.1093711291577802E-2</v>
      </c>
      <c r="I307">
        <v>-1.3052840398855701</v>
      </c>
      <c r="J307">
        <v>-4.16</v>
      </c>
      <c r="L307">
        <v>1.3842769127050678</v>
      </c>
      <c r="M307">
        <v>1.302089490121912</v>
      </c>
      <c r="N307">
        <v>1.4253706239966455</v>
      </c>
      <c r="O307">
        <v>1.2609957788303343</v>
      </c>
    </row>
    <row r="308" spans="1:15">
      <c r="A308" s="19">
        <v>43388</v>
      </c>
      <c r="B308">
        <v>2411</v>
      </c>
      <c r="C308">
        <v>2393</v>
      </c>
      <c r="D308">
        <v>1843</v>
      </c>
      <c r="E308">
        <v>1835</v>
      </c>
      <c r="F308">
        <v>1.3040871934604901</v>
      </c>
      <c r="G308">
        <v>1.34427205083631</v>
      </c>
      <c r="H308">
        <v>4.0738403028867297E-2</v>
      </c>
      <c r="I308">
        <v>-0.98641219066321295</v>
      </c>
      <c r="J308">
        <v>-3.08</v>
      </c>
      <c r="L308">
        <v>1.3850104538651773</v>
      </c>
      <c r="M308">
        <v>1.3035336478074426</v>
      </c>
      <c r="N308">
        <v>1.4257488568940446</v>
      </c>
      <c r="O308">
        <v>1.2627952447785753</v>
      </c>
    </row>
    <row r="309" spans="1:15">
      <c r="A309" s="19">
        <v>43385</v>
      </c>
      <c r="B309">
        <v>2457</v>
      </c>
      <c r="C309">
        <v>2430</v>
      </c>
      <c r="D309">
        <v>1851</v>
      </c>
      <c r="E309">
        <v>1851</v>
      </c>
      <c r="F309">
        <v>1.3128038897893</v>
      </c>
      <c r="G309">
        <v>1.34509488382961</v>
      </c>
      <c r="H309">
        <v>4.0541196755429998E-2</v>
      </c>
      <c r="I309">
        <v>-0.79649829370139802</v>
      </c>
      <c r="J309">
        <v>-2.46</v>
      </c>
      <c r="L309">
        <v>1.3856360805850398</v>
      </c>
      <c r="M309">
        <v>1.3045536870741801</v>
      </c>
      <c r="N309">
        <v>1.42617727734047</v>
      </c>
      <c r="O309">
        <v>1.26401249031875</v>
      </c>
    </row>
    <row r="310" spans="1:15">
      <c r="A310" s="19">
        <v>43384</v>
      </c>
      <c r="B310">
        <v>2487</v>
      </c>
      <c r="C310">
        <v>2460</v>
      </c>
      <c r="D310">
        <v>1831</v>
      </c>
      <c r="E310">
        <v>1856</v>
      </c>
      <c r="F310">
        <v>1.32543103448275</v>
      </c>
      <c r="G310">
        <v>1.34524848962341</v>
      </c>
      <c r="H310">
        <v>4.0440258129368398E-2</v>
      </c>
      <c r="I310">
        <v>-0.49004274595036601</v>
      </c>
      <c r="J310">
        <v>-1.5</v>
      </c>
      <c r="L310">
        <v>1.3856887477527784</v>
      </c>
      <c r="M310">
        <v>1.3048082314940417</v>
      </c>
      <c r="N310">
        <v>1.4261290058821467</v>
      </c>
      <c r="O310">
        <v>1.2643679733646733</v>
      </c>
    </row>
    <row r="311" spans="1:15">
      <c r="A311" s="19">
        <v>43383</v>
      </c>
      <c r="B311">
        <v>2540</v>
      </c>
      <c r="C311">
        <v>2541</v>
      </c>
      <c r="D311">
        <v>2022</v>
      </c>
      <c r="E311">
        <v>1933</v>
      </c>
      <c r="F311">
        <v>1.3145369891360501</v>
      </c>
      <c r="G311">
        <v>1.3451348110361001</v>
      </c>
      <c r="H311">
        <v>4.0507732680916599E-2</v>
      </c>
      <c r="I311">
        <v>-0.75535755459508602</v>
      </c>
      <c r="J311">
        <v>-2.33</v>
      </c>
      <c r="L311">
        <v>1.3856425437170168</v>
      </c>
      <c r="M311">
        <v>1.3046270783551834</v>
      </c>
      <c r="N311">
        <v>1.4261502763979332</v>
      </c>
      <c r="O311">
        <v>1.264119345674267</v>
      </c>
    </row>
    <row r="312" spans="1:15">
      <c r="A312" s="19">
        <v>43382</v>
      </c>
      <c r="B312">
        <v>2575</v>
      </c>
      <c r="C312">
        <v>2581</v>
      </c>
      <c r="D312">
        <v>1954</v>
      </c>
      <c r="E312">
        <v>1942</v>
      </c>
      <c r="F312">
        <v>1.32904222451081</v>
      </c>
      <c r="G312">
        <v>1.34549170915197</v>
      </c>
      <c r="H312">
        <v>4.03542022668665E-2</v>
      </c>
      <c r="I312">
        <v>-0.40762755096427999</v>
      </c>
      <c r="J312">
        <v>-1.24</v>
      </c>
      <c r="L312">
        <v>1.3858459114188366</v>
      </c>
      <c r="M312">
        <v>1.3051375068851034</v>
      </c>
      <c r="N312">
        <v>1.426200113685703</v>
      </c>
      <c r="O312">
        <v>1.2647833046182371</v>
      </c>
    </row>
    <row r="313" spans="1:15">
      <c r="A313" s="19">
        <v>43378</v>
      </c>
      <c r="B313">
        <v>2592</v>
      </c>
      <c r="C313">
        <v>2606</v>
      </c>
      <c r="D313">
        <v>1929</v>
      </c>
      <c r="E313">
        <v>1966</v>
      </c>
      <c r="F313">
        <v>1.3255340793489301</v>
      </c>
      <c r="G313">
        <v>1.34598556255073</v>
      </c>
      <c r="H313">
        <v>4.0376507031690601E-2</v>
      </c>
      <c r="I313">
        <v>-0.50651937736355701</v>
      </c>
      <c r="J313">
        <v>-1.54</v>
      </c>
      <c r="L313">
        <v>1.3863620695824206</v>
      </c>
      <c r="M313">
        <v>1.3056090555190394</v>
      </c>
      <c r="N313">
        <v>1.4267385766141112</v>
      </c>
      <c r="O313">
        <v>1.2652325484873488</v>
      </c>
    </row>
    <row r="314" spans="1:15">
      <c r="A314" s="19">
        <v>43377</v>
      </c>
      <c r="B314">
        <v>2610</v>
      </c>
      <c r="C314">
        <v>2602</v>
      </c>
      <c r="D314">
        <v>1950</v>
      </c>
      <c r="E314">
        <v>1955</v>
      </c>
      <c r="F314">
        <v>1.3309462915601</v>
      </c>
      <c r="G314">
        <v>1.34648894377585</v>
      </c>
      <c r="H314">
        <v>4.0353730824030098E-2</v>
      </c>
      <c r="I314">
        <v>-0.38516022926189403</v>
      </c>
      <c r="J314">
        <v>-1.17</v>
      </c>
      <c r="L314">
        <v>1.3868426745998801</v>
      </c>
      <c r="M314">
        <v>1.30613521295182</v>
      </c>
      <c r="N314">
        <v>1.4271964054239104</v>
      </c>
      <c r="O314">
        <v>1.2657814821277897</v>
      </c>
    </row>
    <row r="315" spans="1:15">
      <c r="A315" s="19">
        <v>43376</v>
      </c>
      <c r="B315">
        <v>2577</v>
      </c>
      <c r="C315">
        <v>2572</v>
      </c>
      <c r="D315">
        <v>1950</v>
      </c>
      <c r="E315">
        <v>1925</v>
      </c>
      <c r="F315">
        <v>1.33610389610389</v>
      </c>
      <c r="G315">
        <v>1.3467915107419299</v>
      </c>
      <c r="H315">
        <v>4.0321119355370402E-2</v>
      </c>
      <c r="I315">
        <v>-0.26506244888312902</v>
      </c>
      <c r="J315">
        <v>-0.8</v>
      </c>
      <c r="L315">
        <v>1.3871126300973002</v>
      </c>
      <c r="M315">
        <v>1.3064703913865596</v>
      </c>
      <c r="N315">
        <v>1.4274337494526708</v>
      </c>
      <c r="O315">
        <v>1.2661492720311891</v>
      </c>
    </row>
    <row r="316" spans="1:15">
      <c r="A316" s="19">
        <v>43375</v>
      </c>
      <c r="B316">
        <v>2567</v>
      </c>
      <c r="C316">
        <v>2569</v>
      </c>
      <c r="D316">
        <v>1975</v>
      </c>
      <c r="E316">
        <v>1952</v>
      </c>
      <c r="F316">
        <v>1.3160860655737701</v>
      </c>
      <c r="G316">
        <v>1.34706537021579</v>
      </c>
      <c r="H316">
        <v>4.0317350903452502E-2</v>
      </c>
      <c r="I316">
        <v>-0.76838641299162502</v>
      </c>
      <c r="J316">
        <v>-2.35</v>
      </c>
      <c r="L316">
        <v>1.3873827211192424</v>
      </c>
      <c r="M316">
        <v>1.3067480193123375</v>
      </c>
      <c r="N316">
        <v>1.4277000720226949</v>
      </c>
      <c r="O316">
        <v>1.2664306684088851</v>
      </c>
    </row>
    <row r="317" spans="1:15">
      <c r="A317" s="19">
        <v>43374</v>
      </c>
      <c r="B317">
        <v>2599</v>
      </c>
      <c r="C317">
        <v>2589</v>
      </c>
      <c r="D317">
        <v>1962</v>
      </c>
      <c r="E317">
        <v>1969</v>
      </c>
      <c r="F317">
        <v>1.31488065007618</v>
      </c>
      <c r="G317">
        <v>1.34764433663492</v>
      </c>
      <c r="H317">
        <v>4.01798679215375E-2</v>
      </c>
      <c r="I317">
        <v>-0.81542544198325495</v>
      </c>
      <c r="J317">
        <v>-2.4900000000000002</v>
      </c>
      <c r="L317">
        <v>1.3878242045564575</v>
      </c>
      <c r="M317">
        <v>1.3074644687133825</v>
      </c>
      <c r="N317">
        <v>1.428004072477995</v>
      </c>
      <c r="O317">
        <v>1.267284600791845</v>
      </c>
    </row>
    <row r="318" spans="1:15">
      <c r="A318" s="19">
        <v>43371</v>
      </c>
      <c r="B318">
        <v>2658</v>
      </c>
      <c r="C318">
        <v>2634</v>
      </c>
      <c r="D318">
        <v>1952</v>
      </c>
      <c r="E318">
        <v>1954</v>
      </c>
      <c r="F318">
        <v>1.34800409416581</v>
      </c>
      <c r="G318">
        <v>1.34856529612377</v>
      </c>
      <c r="H318">
        <v>4.0209924673733202E-2</v>
      </c>
      <c r="I318">
        <v>-1.39568020211877E-2</v>
      </c>
      <c r="J318">
        <v>-0.04</v>
      </c>
      <c r="L318">
        <v>1.3887752207975033</v>
      </c>
      <c r="M318">
        <v>1.3083553714500367</v>
      </c>
      <c r="N318">
        <v>1.4289851454712363</v>
      </c>
      <c r="O318">
        <v>1.2681454467763036</v>
      </c>
    </row>
    <row r="319" spans="1:15">
      <c r="A319" s="19">
        <v>43370</v>
      </c>
      <c r="B319">
        <v>2662</v>
      </c>
      <c r="C319">
        <v>2651</v>
      </c>
      <c r="D319">
        <v>1936</v>
      </c>
      <c r="E319">
        <v>1938</v>
      </c>
      <c r="F319">
        <v>1.3679050567595401</v>
      </c>
      <c r="G319">
        <v>1.34891902594263</v>
      </c>
      <c r="H319">
        <v>4.0319973320989001E-2</v>
      </c>
      <c r="I319">
        <v>0.47088401239157901</v>
      </c>
      <c r="J319">
        <v>1.39</v>
      </c>
      <c r="L319">
        <v>1.3892389992636189</v>
      </c>
      <c r="M319">
        <v>1.3085990526216411</v>
      </c>
      <c r="N319">
        <v>1.4295589725846081</v>
      </c>
      <c r="O319">
        <v>1.268279079300652</v>
      </c>
    </row>
    <row r="320" spans="1:15">
      <c r="A320" s="19">
        <v>43369</v>
      </c>
      <c r="B320">
        <v>2609</v>
      </c>
      <c r="C320">
        <v>2660</v>
      </c>
      <c r="D320">
        <v>1956</v>
      </c>
      <c r="E320">
        <v>1949</v>
      </c>
      <c r="F320">
        <v>1.3648024628014299</v>
      </c>
      <c r="G320">
        <v>1.34918340296362</v>
      </c>
      <c r="H320">
        <v>4.0508165036486403E-2</v>
      </c>
      <c r="I320">
        <v>0.38557806367548397</v>
      </c>
      <c r="J320">
        <v>1.1399999999999999</v>
      </c>
      <c r="L320">
        <v>1.3896915680001065</v>
      </c>
      <c r="M320">
        <v>1.3086752379271336</v>
      </c>
      <c r="N320">
        <v>1.4301997330365928</v>
      </c>
      <c r="O320">
        <v>1.2681670728906473</v>
      </c>
    </row>
    <row r="321" spans="1:15">
      <c r="A321" s="19">
        <v>43368</v>
      </c>
      <c r="B321">
        <v>2628</v>
      </c>
      <c r="C321">
        <v>2647</v>
      </c>
      <c r="D321">
        <v>1988</v>
      </c>
      <c r="E321">
        <v>1967</v>
      </c>
      <c r="F321">
        <v>1.34570411794611</v>
      </c>
      <c r="G321">
        <v>1.34940484021173</v>
      </c>
      <c r="H321">
        <v>4.0638125787734701E-2</v>
      </c>
      <c r="I321">
        <v>-9.1065279067193694E-2</v>
      </c>
      <c r="J321">
        <v>-0.28000000000000003</v>
      </c>
      <c r="L321">
        <v>1.3900429659994646</v>
      </c>
      <c r="M321">
        <v>1.3087667144239954</v>
      </c>
      <c r="N321">
        <v>1.4306810917871995</v>
      </c>
      <c r="O321">
        <v>1.2681285886362605</v>
      </c>
    </row>
    <row r="322" spans="1:15">
      <c r="A322" s="19">
        <v>43364</v>
      </c>
      <c r="B322">
        <v>2543</v>
      </c>
      <c r="C322">
        <v>2602</v>
      </c>
      <c r="D322">
        <v>1892</v>
      </c>
      <c r="E322">
        <v>1947</v>
      </c>
      <c r="F322">
        <v>1.3364149974319399</v>
      </c>
      <c r="G322">
        <v>1.3501230720402999</v>
      </c>
      <c r="H322">
        <v>4.1040403622620701E-2</v>
      </c>
      <c r="I322">
        <v>-0.33401412750239401</v>
      </c>
      <c r="J322">
        <v>-1.03</v>
      </c>
      <c r="L322">
        <v>1.3911634756629205</v>
      </c>
      <c r="M322">
        <v>1.3090826684176793</v>
      </c>
      <c r="N322">
        <v>1.4322038792855414</v>
      </c>
      <c r="O322">
        <v>1.2680422647950584</v>
      </c>
    </row>
    <row r="323" spans="1:15">
      <c r="A323" s="19">
        <v>43363</v>
      </c>
      <c r="B323">
        <v>2571</v>
      </c>
      <c r="C323">
        <v>2567</v>
      </c>
      <c r="D323">
        <v>1907</v>
      </c>
      <c r="E323">
        <v>1887</v>
      </c>
      <c r="F323">
        <v>1.36036036036036</v>
      </c>
      <c r="G323">
        <v>1.3506481997220099</v>
      </c>
      <c r="H323">
        <v>4.1113549137768102E-2</v>
      </c>
      <c r="I323">
        <v>0.23622773616055101</v>
      </c>
      <c r="J323">
        <v>0.71</v>
      </c>
      <c r="L323">
        <v>1.391761748859778</v>
      </c>
      <c r="M323">
        <v>1.3095346505842418</v>
      </c>
      <c r="N323">
        <v>1.4328752979975461</v>
      </c>
      <c r="O323">
        <v>1.2684211014464737</v>
      </c>
    </row>
    <row r="324" spans="1:15">
      <c r="A324" s="19">
        <v>43362</v>
      </c>
      <c r="B324">
        <v>2554</v>
      </c>
      <c r="C324">
        <v>2603</v>
      </c>
      <c r="D324">
        <v>1887</v>
      </c>
      <c r="E324">
        <v>1889</v>
      </c>
      <c r="F324">
        <v>1.37797776601376</v>
      </c>
      <c r="G324">
        <v>1.3509285013001899</v>
      </c>
      <c r="H324">
        <v>4.1250244784028403E-2</v>
      </c>
      <c r="I324">
        <v>0.65573585939163004</v>
      </c>
      <c r="J324">
        <v>1.96</v>
      </c>
      <c r="L324">
        <v>1.3921787460842183</v>
      </c>
      <c r="M324">
        <v>1.3096782565161615</v>
      </c>
      <c r="N324">
        <v>1.4334289908682467</v>
      </c>
      <c r="O324">
        <v>1.2684280117321332</v>
      </c>
    </row>
    <row r="325" spans="1:15">
      <c r="A325" s="19">
        <v>43361</v>
      </c>
      <c r="B325">
        <v>2497</v>
      </c>
      <c r="C325">
        <v>2516</v>
      </c>
      <c r="D325">
        <v>1838</v>
      </c>
      <c r="E325">
        <v>1873</v>
      </c>
      <c r="F325">
        <v>1.34329951948745</v>
      </c>
      <c r="G325">
        <v>1.3505821310866699</v>
      </c>
      <c r="H325">
        <v>4.1130554671554201E-2</v>
      </c>
      <c r="I325">
        <v>-0.177060865271052</v>
      </c>
      <c r="J325">
        <v>-0.54</v>
      </c>
      <c r="L325">
        <v>1.391712685758224</v>
      </c>
      <c r="M325">
        <v>1.3094515764151158</v>
      </c>
      <c r="N325">
        <v>1.4328432404297784</v>
      </c>
      <c r="O325">
        <v>1.2683210217435614</v>
      </c>
    </row>
    <row r="326" spans="1:15">
      <c r="A326" s="19">
        <v>43357</v>
      </c>
      <c r="B326">
        <v>2572</v>
      </c>
      <c r="C326">
        <v>2551</v>
      </c>
      <c r="D326">
        <v>1825</v>
      </c>
      <c r="E326">
        <v>1827</v>
      </c>
      <c r="F326">
        <v>1.39627805145046</v>
      </c>
      <c r="G326">
        <v>1.3509309125345601</v>
      </c>
      <c r="H326">
        <v>4.1178203419218601E-2</v>
      </c>
      <c r="I326">
        <v>1.1012413158059</v>
      </c>
      <c r="J326">
        <v>3.25</v>
      </c>
      <c r="L326">
        <v>1.3921091159537786</v>
      </c>
      <c r="M326">
        <v>1.3097527091153416</v>
      </c>
      <c r="N326">
        <v>1.4332873193729974</v>
      </c>
      <c r="O326">
        <v>1.2685745056961228</v>
      </c>
    </row>
    <row r="327" spans="1:15">
      <c r="A327" s="19">
        <v>43356</v>
      </c>
      <c r="B327">
        <v>2529</v>
      </c>
      <c r="C327">
        <v>2556</v>
      </c>
      <c r="D327">
        <v>1803</v>
      </c>
      <c r="E327">
        <v>1808</v>
      </c>
      <c r="F327">
        <v>1.41371681415929</v>
      </c>
      <c r="G327">
        <v>1.3505316936307299</v>
      </c>
      <c r="H327">
        <v>4.0880696800689599E-2</v>
      </c>
      <c r="I327">
        <v>1.54559793431633</v>
      </c>
      <c r="J327">
        <v>4.47</v>
      </c>
      <c r="L327">
        <v>1.3914123904314195</v>
      </c>
      <c r="M327">
        <v>1.3096509968300403</v>
      </c>
      <c r="N327">
        <v>1.4322930872321091</v>
      </c>
      <c r="O327">
        <v>1.2687703000293507</v>
      </c>
    </row>
    <row r="328" spans="1:15">
      <c r="A328" s="19">
        <v>43355</v>
      </c>
      <c r="B328">
        <v>2569</v>
      </c>
      <c r="C328">
        <v>2527</v>
      </c>
      <c r="D328">
        <v>1831</v>
      </c>
      <c r="E328">
        <v>1814</v>
      </c>
      <c r="F328">
        <v>1.3930540242557801</v>
      </c>
      <c r="G328">
        <v>1.3499792980451699</v>
      </c>
      <c r="H328">
        <v>4.0298950767255599E-2</v>
      </c>
      <c r="I328">
        <v>1.0688795958831001</v>
      </c>
      <c r="J328">
        <v>3.09</v>
      </c>
      <c r="L328">
        <v>1.3902782488124255</v>
      </c>
      <c r="M328">
        <v>1.3096803472779144</v>
      </c>
      <c r="N328">
        <v>1.4305771995796812</v>
      </c>
      <c r="O328">
        <v>1.2693813965106586</v>
      </c>
    </row>
    <row r="329" spans="1:15">
      <c r="A329" s="19">
        <v>43354</v>
      </c>
      <c r="B329">
        <v>2589</v>
      </c>
      <c r="C329">
        <v>2579</v>
      </c>
      <c r="D329">
        <v>1819</v>
      </c>
      <c r="E329">
        <v>1818</v>
      </c>
      <c r="F329">
        <v>1.4185918591859099</v>
      </c>
      <c r="G329">
        <v>1.3498662177584899</v>
      </c>
      <c r="H329">
        <v>4.0189673765235301E-2</v>
      </c>
      <c r="I329">
        <v>1.71003232892315</v>
      </c>
      <c r="J329">
        <v>4.84</v>
      </c>
      <c r="L329">
        <v>1.3900558915237253</v>
      </c>
      <c r="M329">
        <v>1.3096765439932545</v>
      </c>
      <c r="N329">
        <v>1.4302455652889605</v>
      </c>
      <c r="O329">
        <v>1.2694868702280193</v>
      </c>
    </row>
    <row r="330" spans="1:15">
      <c r="A330" s="19">
        <v>43353</v>
      </c>
      <c r="B330">
        <v>2570</v>
      </c>
      <c r="C330">
        <v>2585</v>
      </c>
      <c r="D330">
        <v>1833</v>
      </c>
      <c r="E330">
        <v>1812</v>
      </c>
      <c r="F330">
        <v>1.4266004415011</v>
      </c>
      <c r="G330">
        <v>1.3494778984365201</v>
      </c>
      <c r="H330">
        <v>3.9660981943019397E-2</v>
      </c>
      <c r="I330">
        <v>1.9445444688026201</v>
      </c>
      <c r="J330">
        <v>5.41</v>
      </c>
      <c r="L330">
        <v>1.3891388803795395</v>
      </c>
      <c r="M330">
        <v>1.3098169164935007</v>
      </c>
      <c r="N330">
        <v>1.4287998623225588</v>
      </c>
      <c r="O330">
        <v>1.2701559345504814</v>
      </c>
    </row>
    <row r="331" spans="1:15">
      <c r="A331" s="19">
        <v>43350</v>
      </c>
      <c r="B331">
        <v>2543</v>
      </c>
      <c r="C331">
        <v>2570</v>
      </c>
      <c r="D331">
        <v>1835</v>
      </c>
      <c r="E331">
        <v>1832</v>
      </c>
      <c r="F331">
        <v>1.4028384279475901</v>
      </c>
      <c r="G331">
        <v>1.3491735124426101</v>
      </c>
      <c r="H331">
        <v>3.9152261831223799E-2</v>
      </c>
      <c r="I331">
        <v>1.3706721654120699</v>
      </c>
      <c r="J331">
        <v>3.83</v>
      </c>
      <c r="L331">
        <v>1.388325774273834</v>
      </c>
      <c r="M331">
        <v>1.3100212506113862</v>
      </c>
      <c r="N331">
        <v>1.4274780361050576</v>
      </c>
      <c r="O331">
        <v>1.2708689887801625</v>
      </c>
    </row>
    <row r="332" spans="1:15">
      <c r="A332" s="19">
        <v>43349</v>
      </c>
      <c r="B332">
        <v>2536</v>
      </c>
      <c r="C332">
        <v>2538</v>
      </c>
      <c r="D332">
        <v>1850</v>
      </c>
      <c r="E332">
        <v>1851</v>
      </c>
      <c r="F332">
        <v>1.3711507293354901</v>
      </c>
      <c r="G332">
        <v>1.34912825932923</v>
      </c>
      <c r="H332">
        <v>3.9092123733118399E-2</v>
      </c>
      <c r="I332">
        <v>0.56334800730199797</v>
      </c>
      <c r="J332">
        <v>1.61</v>
      </c>
      <c r="L332">
        <v>1.3882203830623483</v>
      </c>
      <c r="M332">
        <v>1.3100361355961117</v>
      </c>
      <c r="N332">
        <v>1.4273125067954668</v>
      </c>
      <c r="O332">
        <v>1.2709440118629931</v>
      </c>
    </row>
    <row r="333" spans="1:15">
      <c r="A333" s="19">
        <v>43348</v>
      </c>
      <c r="B333">
        <v>2565</v>
      </c>
      <c r="C333">
        <v>2580</v>
      </c>
      <c r="D333">
        <v>1868</v>
      </c>
      <c r="E333">
        <v>1864</v>
      </c>
      <c r="F333">
        <v>1.3841201716738101</v>
      </c>
      <c r="G333">
        <v>1.3493496509653</v>
      </c>
      <c r="H333">
        <v>3.9262862532908803E-2</v>
      </c>
      <c r="I333">
        <v>0.88558292659804105</v>
      </c>
      <c r="J333">
        <v>2.5099999999999998</v>
      </c>
      <c r="L333">
        <v>1.3886125134982088</v>
      </c>
      <c r="M333">
        <v>1.3100867884323912</v>
      </c>
      <c r="N333">
        <v>1.4278753760311176</v>
      </c>
      <c r="O333">
        <v>1.2708239258994825</v>
      </c>
    </row>
    <row r="334" spans="1:15">
      <c r="A334" s="19">
        <v>43347</v>
      </c>
      <c r="B334">
        <v>2544</v>
      </c>
      <c r="C334">
        <v>2558</v>
      </c>
      <c r="D334">
        <v>1852</v>
      </c>
      <c r="E334">
        <v>1878</v>
      </c>
      <c r="F334">
        <v>1.3620873269435501</v>
      </c>
      <c r="G334">
        <v>1.34961532769947</v>
      </c>
      <c r="H334">
        <v>3.9563506372103499E-2</v>
      </c>
      <c r="I334">
        <v>0.315239987244404</v>
      </c>
      <c r="J334">
        <v>0.92</v>
      </c>
      <c r="L334">
        <v>1.3891788340715736</v>
      </c>
      <c r="M334">
        <v>1.3100518213273664</v>
      </c>
      <c r="N334">
        <v>1.428742340443677</v>
      </c>
      <c r="O334">
        <v>1.270488314955263</v>
      </c>
    </row>
    <row r="335" spans="1:15">
      <c r="A335" s="19">
        <v>43346</v>
      </c>
      <c r="B335">
        <v>2612</v>
      </c>
      <c r="C335">
        <v>2573</v>
      </c>
      <c r="D335">
        <v>1880</v>
      </c>
      <c r="E335">
        <v>1882</v>
      </c>
      <c r="F335">
        <v>1.3671625929861799</v>
      </c>
      <c r="G335">
        <v>1.3504808739146801</v>
      </c>
      <c r="H335">
        <v>4.0525298499686703E-2</v>
      </c>
      <c r="I335">
        <v>0.41163716712980303</v>
      </c>
      <c r="J335">
        <v>1.22</v>
      </c>
      <c r="L335">
        <v>1.3910061724143667</v>
      </c>
      <c r="M335">
        <v>1.3099555754149934</v>
      </c>
      <c r="N335">
        <v>1.4315314709140534</v>
      </c>
      <c r="O335">
        <v>1.2694302769153067</v>
      </c>
    </row>
    <row r="336" spans="1:15">
      <c r="A336" s="19">
        <v>43343</v>
      </c>
      <c r="B336">
        <v>2555</v>
      </c>
      <c r="C336">
        <v>2606</v>
      </c>
      <c r="D336">
        <v>1895</v>
      </c>
      <c r="E336">
        <v>1894</v>
      </c>
      <c r="F336">
        <v>1.37592397043294</v>
      </c>
      <c r="G336">
        <v>1.35148677076169</v>
      </c>
      <c r="H336">
        <v>4.18417889467897E-2</v>
      </c>
      <c r="I336">
        <v>0.58403811802421102</v>
      </c>
      <c r="J336">
        <v>1.78</v>
      </c>
      <c r="L336">
        <v>1.3933285597084797</v>
      </c>
      <c r="M336">
        <v>1.3096449818149003</v>
      </c>
      <c r="N336">
        <v>1.4351703486552694</v>
      </c>
      <c r="O336">
        <v>1.2678031928681106</v>
      </c>
    </row>
    <row r="337" spans="1:15">
      <c r="A337" s="19">
        <v>43342</v>
      </c>
      <c r="B337">
        <v>2600</v>
      </c>
      <c r="C337">
        <v>2589</v>
      </c>
      <c r="D337">
        <v>1887</v>
      </c>
      <c r="E337">
        <v>1893</v>
      </c>
      <c r="F337">
        <v>1.3676703645007899</v>
      </c>
      <c r="G337">
        <v>1.35285577411312</v>
      </c>
      <c r="H337">
        <v>4.4230454573816198E-2</v>
      </c>
      <c r="I337">
        <v>0.33494094805075197</v>
      </c>
      <c r="J337">
        <v>1.08</v>
      </c>
      <c r="L337">
        <v>1.3970862286869361</v>
      </c>
      <c r="M337">
        <v>1.3086253195393038</v>
      </c>
      <c r="N337">
        <v>1.4413166832607525</v>
      </c>
      <c r="O337">
        <v>1.2643948649654875</v>
      </c>
    </row>
    <row r="338" spans="1:15">
      <c r="A338" s="19">
        <v>43341</v>
      </c>
      <c r="B338">
        <v>2563</v>
      </c>
      <c r="C338">
        <v>2583</v>
      </c>
      <c r="D338">
        <v>1851</v>
      </c>
      <c r="E338">
        <v>1892</v>
      </c>
      <c r="F338">
        <v>1.36522198731501</v>
      </c>
      <c r="G338">
        <v>1.3544463848197601</v>
      </c>
      <c r="H338">
        <v>4.6804751287254601E-2</v>
      </c>
      <c r="I338">
        <v>0.230224543425463</v>
      </c>
      <c r="J338">
        <v>0.79</v>
      </c>
      <c r="L338">
        <v>1.4012511361070148</v>
      </c>
      <c r="M338">
        <v>1.3076416335325054</v>
      </c>
      <c r="N338">
        <v>1.4480558873942693</v>
      </c>
      <c r="O338">
        <v>1.2608368822452509</v>
      </c>
    </row>
    <row r="339" spans="1:15">
      <c r="A339" s="19">
        <v>43340</v>
      </c>
      <c r="B339">
        <v>2612</v>
      </c>
      <c r="C339">
        <v>2580</v>
      </c>
      <c r="D339">
        <v>1914</v>
      </c>
      <c r="E339">
        <v>1892</v>
      </c>
      <c r="F339">
        <v>1.36363636363636</v>
      </c>
      <c r="G339">
        <v>1.3560529487984101</v>
      </c>
      <c r="H339">
        <v>4.9155932207542302E-2</v>
      </c>
      <c r="I339">
        <v>0.15427262788809301</v>
      </c>
      <c r="J339">
        <v>0.56000000000000005</v>
      </c>
      <c r="L339">
        <v>1.4052088810059524</v>
      </c>
      <c r="M339">
        <v>1.3068970165908678</v>
      </c>
      <c r="N339">
        <v>1.4543648132134948</v>
      </c>
      <c r="O339">
        <v>1.2577410843833254</v>
      </c>
    </row>
    <row r="340" spans="1:15">
      <c r="A340" s="19">
        <v>43339</v>
      </c>
      <c r="B340">
        <v>2586</v>
      </c>
      <c r="C340">
        <v>2595</v>
      </c>
      <c r="D340">
        <v>1878</v>
      </c>
      <c r="E340">
        <v>1916</v>
      </c>
      <c r="F340">
        <v>1.35438413361169</v>
      </c>
      <c r="G340">
        <v>1.35777303797354</v>
      </c>
      <c r="H340">
        <v>5.1588160189607497E-2</v>
      </c>
      <c r="I340">
        <v>-6.5691514281579502E-2</v>
      </c>
      <c r="J340">
        <v>-0.25</v>
      </c>
      <c r="L340">
        <v>1.4093611981631475</v>
      </c>
      <c r="M340">
        <v>1.3061848777839324</v>
      </c>
      <c r="N340">
        <v>1.4609493583527551</v>
      </c>
      <c r="O340">
        <v>1.2545967175943249</v>
      </c>
    </row>
    <row r="341" spans="1:15">
      <c r="A341" s="19">
        <v>43336</v>
      </c>
      <c r="B341">
        <v>2543</v>
      </c>
      <c r="C341">
        <v>2587</v>
      </c>
      <c r="D341">
        <v>1871</v>
      </c>
      <c r="E341">
        <v>1894</v>
      </c>
      <c r="F341">
        <v>1.36589229144667</v>
      </c>
      <c r="G341">
        <v>1.35950647378086</v>
      </c>
      <c r="H341">
        <v>5.3590526710138503E-2</v>
      </c>
      <c r="I341">
        <v>0.119159449586126</v>
      </c>
      <c r="J341">
        <v>0.47</v>
      </c>
      <c r="L341">
        <v>1.4130970004909984</v>
      </c>
      <c r="M341">
        <v>1.3059159470707216</v>
      </c>
      <c r="N341">
        <v>1.466687527201137</v>
      </c>
      <c r="O341">
        <v>1.2523254203605829</v>
      </c>
    </row>
    <row r="342" spans="1:15">
      <c r="A342" s="19">
        <v>43335</v>
      </c>
      <c r="B342">
        <v>2600</v>
      </c>
      <c r="C342">
        <v>2570</v>
      </c>
      <c r="D342">
        <v>1838</v>
      </c>
      <c r="E342">
        <v>1863</v>
      </c>
      <c r="F342">
        <v>1.3794954374664501</v>
      </c>
      <c r="G342">
        <v>1.3611289898085099</v>
      </c>
      <c r="H342">
        <v>5.5565061390534298E-2</v>
      </c>
      <c r="I342">
        <v>0.33053950087178402</v>
      </c>
      <c r="J342">
        <v>1.33</v>
      </c>
      <c r="L342">
        <v>1.4166940511990442</v>
      </c>
      <c r="M342">
        <v>1.3055639284179756</v>
      </c>
      <c r="N342">
        <v>1.4722591125895785</v>
      </c>
      <c r="O342">
        <v>1.2499988670274413</v>
      </c>
    </row>
    <row r="343" spans="1:15">
      <c r="A343" s="19">
        <v>43334</v>
      </c>
      <c r="B343">
        <v>2507</v>
      </c>
      <c r="C343">
        <v>2595</v>
      </c>
      <c r="D343">
        <v>1841</v>
      </c>
      <c r="E343">
        <v>1859</v>
      </c>
      <c r="F343">
        <v>1.3959117805271599</v>
      </c>
      <c r="G343">
        <v>1.3628047454651799</v>
      </c>
      <c r="H343">
        <v>5.7938200040980999E-2</v>
      </c>
      <c r="I343">
        <v>0.57141980659675895</v>
      </c>
      <c r="J343">
        <v>2.37</v>
      </c>
      <c r="L343">
        <v>1.4207429455061609</v>
      </c>
      <c r="M343">
        <v>1.304866545424199</v>
      </c>
      <c r="N343">
        <v>1.478681145547142</v>
      </c>
      <c r="O343">
        <v>1.2469283453832178</v>
      </c>
    </row>
    <row r="344" spans="1:15">
      <c r="A344" s="19">
        <v>43333</v>
      </c>
      <c r="B344">
        <v>2511</v>
      </c>
      <c r="C344">
        <v>2506</v>
      </c>
      <c r="D344">
        <v>1879</v>
      </c>
      <c r="E344">
        <v>1879</v>
      </c>
      <c r="F344">
        <v>1.33368813198509</v>
      </c>
      <c r="G344">
        <v>1.3633937047354601</v>
      </c>
      <c r="H344">
        <v>5.8493598094513703E-2</v>
      </c>
      <c r="I344">
        <v>-0.50784314383199403</v>
      </c>
      <c r="J344">
        <v>-2.23</v>
      </c>
      <c r="L344">
        <v>1.4218873028299737</v>
      </c>
      <c r="M344">
        <v>1.3049001066409465</v>
      </c>
      <c r="N344">
        <v>1.4803809009244875</v>
      </c>
      <c r="O344">
        <v>1.2464065085464326</v>
      </c>
    </row>
    <row r="345" spans="1:15">
      <c r="A345" s="19">
        <v>43332</v>
      </c>
      <c r="B345">
        <v>2550</v>
      </c>
      <c r="C345">
        <v>2552</v>
      </c>
      <c r="D345">
        <v>1894</v>
      </c>
      <c r="E345">
        <v>1881</v>
      </c>
      <c r="F345">
        <v>1.3567251461988299</v>
      </c>
      <c r="G345">
        <v>1.3644948687137901</v>
      </c>
      <c r="H345">
        <v>5.8701015328839E-2</v>
      </c>
      <c r="I345">
        <v>-0.132360956134008</v>
      </c>
      <c r="J345">
        <v>-0.56999999999999995</v>
      </c>
      <c r="L345">
        <v>1.4231958840426291</v>
      </c>
      <c r="M345">
        <v>1.3057938533849511</v>
      </c>
      <c r="N345">
        <v>1.4818968993714681</v>
      </c>
      <c r="O345">
        <v>1.2470928380561122</v>
      </c>
    </row>
    <row r="346" spans="1:15">
      <c r="A346" s="19">
        <v>43329</v>
      </c>
      <c r="B346">
        <v>2582</v>
      </c>
      <c r="C346">
        <v>2564</v>
      </c>
      <c r="D346">
        <v>1878</v>
      </c>
      <c r="E346">
        <v>1904</v>
      </c>
      <c r="F346">
        <v>1.3466386554621801</v>
      </c>
      <c r="G346">
        <v>1.3662068295700001</v>
      </c>
      <c r="H346">
        <v>6.0299968632116001E-2</v>
      </c>
      <c r="I346">
        <v>-0.32451383560743402</v>
      </c>
      <c r="J346">
        <v>-1.45</v>
      </c>
      <c r="L346">
        <v>1.426506798202116</v>
      </c>
      <c r="M346">
        <v>1.3059068609378841</v>
      </c>
      <c r="N346">
        <v>1.486806766834232</v>
      </c>
      <c r="O346">
        <v>1.2456068923057682</v>
      </c>
    </row>
    <row r="347" spans="1:15">
      <c r="A347" s="19">
        <v>43328</v>
      </c>
      <c r="B347">
        <v>2577</v>
      </c>
      <c r="C347">
        <v>2590</v>
      </c>
      <c r="D347">
        <v>1899</v>
      </c>
      <c r="E347">
        <v>1879</v>
      </c>
      <c r="F347">
        <v>1.3783927621075001</v>
      </c>
      <c r="G347">
        <v>1.36842851087923</v>
      </c>
      <c r="H347">
        <v>6.2565101644897703E-2</v>
      </c>
      <c r="I347">
        <v>0.159262128028265</v>
      </c>
      <c r="J347">
        <v>0.72</v>
      </c>
      <c r="L347">
        <v>1.4309936125241278</v>
      </c>
      <c r="M347">
        <v>1.3058634092343322</v>
      </c>
      <c r="N347">
        <v>1.4935587141690254</v>
      </c>
      <c r="O347">
        <v>1.2432983075894346</v>
      </c>
    </row>
    <row r="348" spans="1:15">
      <c r="A348" s="19">
        <v>43327</v>
      </c>
      <c r="B348">
        <v>2598</v>
      </c>
      <c r="C348">
        <v>2610</v>
      </c>
      <c r="D348">
        <v>1974</v>
      </c>
      <c r="E348">
        <v>1918</v>
      </c>
      <c r="F348">
        <v>1.3607924921793499</v>
      </c>
      <c r="G348">
        <v>1.3703616658329201</v>
      </c>
      <c r="H348">
        <v>6.5034308980943506E-2</v>
      </c>
      <c r="I348">
        <v>-0.14714039102615301</v>
      </c>
      <c r="J348">
        <v>-0.7</v>
      </c>
      <c r="L348">
        <v>1.4353959748138636</v>
      </c>
      <c r="M348">
        <v>1.3053273568519765</v>
      </c>
      <c r="N348">
        <v>1.5004302837948071</v>
      </c>
      <c r="O348">
        <v>1.240293047871033</v>
      </c>
    </row>
    <row r="349" spans="1:15">
      <c r="A349" s="19">
        <v>43326</v>
      </c>
      <c r="B349">
        <v>2553</v>
      </c>
      <c r="C349">
        <v>2594</v>
      </c>
      <c r="D349">
        <v>1980</v>
      </c>
      <c r="E349">
        <v>1994</v>
      </c>
      <c r="F349">
        <v>1.30090270812437</v>
      </c>
      <c r="G349">
        <v>1.3739050550260601</v>
      </c>
      <c r="H349">
        <v>7.1349573563450605E-2</v>
      </c>
      <c r="I349">
        <v>-1.0231644459202001</v>
      </c>
      <c r="J349">
        <v>-5.61</v>
      </c>
      <c r="L349">
        <v>1.4452546285895107</v>
      </c>
      <c r="M349">
        <v>1.3025554814626095</v>
      </c>
      <c r="N349">
        <v>1.5166042021529613</v>
      </c>
      <c r="O349">
        <v>1.2312059078991588</v>
      </c>
    </row>
    <row r="350" spans="1:15">
      <c r="A350" s="19">
        <v>43325</v>
      </c>
      <c r="B350">
        <v>2592</v>
      </c>
      <c r="C350">
        <v>2542</v>
      </c>
      <c r="D350">
        <v>1992</v>
      </c>
      <c r="E350">
        <v>1992</v>
      </c>
      <c r="F350">
        <v>1.2761044176706799</v>
      </c>
      <c r="G350">
        <v>1.3788448602775101</v>
      </c>
      <c r="H350">
        <v>7.8582764730860094E-2</v>
      </c>
      <c r="I350">
        <v>-1.3074170011542301</v>
      </c>
      <c r="J350">
        <v>-8.0500000000000007</v>
      </c>
      <c r="L350">
        <v>1.4574276250083702</v>
      </c>
      <c r="M350">
        <v>1.30026209554665</v>
      </c>
      <c r="N350">
        <v>1.5360103897392303</v>
      </c>
      <c r="O350">
        <v>1.2216793308157898</v>
      </c>
    </row>
    <row r="351" spans="1:15">
      <c r="A351" s="19">
        <v>43322</v>
      </c>
      <c r="B351">
        <v>2589</v>
      </c>
      <c r="C351">
        <v>2604</v>
      </c>
      <c r="D351">
        <v>2016</v>
      </c>
      <c r="E351">
        <v>2008</v>
      </c>
      <c r="F351">
        <v>1.29681274900398</v>
      </c>
      <c r="G351">
        <v>1.3835974725161699</v>
      </c>
      <c r="H351">
        <v>8.2886318844601695E-2</v>
      </c>
      <c r="I351">
        <v>-1.04703315000512</v>
      </c>
      <c r="J351">
        <v>-6.69</v>
      </c>
      <c r="L351">
        <v>1.4664837913607716</v>
      </c>
      <c r="M351">
        <v>1.3007111536715683</v>
      </c>
      <c r="N351">
        <v>1.5493701102053734</v>
      </c>
      <c r="O351">
        <v>1.2178248348269665</v>
      </c>
    </row>
    <row r="352" spans="1:15">
      <c r="A352" s="19">
        <v>43321</v>
      </c>
      <c r="B352">
        <v>2581</v>
      </c>
      <c r="C352">
        <v>2584</v>
      </c>
      <c r="D352">
        <v>2037</v>
      </c>
      <c r="E352">
        <v>2016</v>
      </c>
      <c r="F352">
        <v>1.2817460317460301</v>
      </c>
      <c r="G352">
        <v>1.3878468397132899</v>
      </c>
      <c r="H352">
        <v>8.6422268736846497E-2</v>
      </c>
      <c r="I352">
        <v>-1.2277021827596499</v>
      </c>
      <c r="J352">
        <v>-8.2799999999999994</v>
      </c>
      <c r="L352">
        <v>1.4742691084501365</v>
      </c>
      <c r="M352">
        <v>1.3014245709764434</v>
      </c>
      <c r="N352">
        <v>1.5606913771869828</v>
      </c>
      <c r="O352">
        <v>1.215002302239597</v>
      </c>
    </row>
    <row r="353" spans="1:15">
      <c r="A353" s="19">
        <v>43320</v>
      </c>
      <c r="B353">
        <v>2577</v>
      </c>
      <c r="C353">
        <v>2573</v>
      </c>
      <c r="D353">
        <v>2045</v>
      </c>
      <c r="E353">
        <v>2034</v>
      </c>
      <c r="F353">
        <v>1.2649950835791499</v>
      </c>
      <c r="G353">
        <v>1.39219215587986</v>
      </c>
      <c r="H353">
        <v>8.9128988509912799E-2</v>
      </c>
      <c r="I353">
        <v>-1.4271122608618201</v>
      </c>
      <c r="J353">
        <v>-10.06</v>
      </c>
      <c r="L353">
        <v>1.4813211443897729</v>
      </c>
      <c r="M353">
        <v>1.3030631673699471</v>
      </c>
      <c r="N353">
        <v>1.5704501328996856</v>
      </c>
      <c r="O353">
        <v>1.2139341788600344</v>
      </c>
    </row>
    <row r="354" spans="1:15">
      <c r="A354" s="19">
        <v>43319</v>
      </c>
      <c r="B354">
        <v>2526</v>
      </c>
      <c r="C354">
        <v>2575</v>
      </c>
      <c r="D354">
        <v>1999</v>
      </c>
      <c r="E354">
        <v>2044</v>
      </c>
      <c r="F354">
        <v>1.2597847358121299</v>
      </c>
      <c r="G354">
        <v>1.3969071588036099</v>
      </c>
      <c r="H354">
        <v>9.1594869656936098E-2</v>
      </c>
      <c r="I354">
        <v>-1.4970535304549799</v>
      </c>
      <c r="J354">
        <v>-10.88</v>
      </c>
      <c r="L354">
        <v>1.4885020284605461</v>
      </c>
      <c r="M354">
        <v>1.3053122891466737</v>
      </c>
      <c r="N354">
        <v>1.5800968981174821</v>
      </c>
      <c r="O354">
        <v>1.2137174194897378</v>
      </c>
    </row>
    <row r="355" spans="1:15">
      <c r="A355" s="19">
        <v>43318</v>
      </c>
      <c r="B355">
        <v>2567</v>
      </c>
      <c r="C355">
        <v>2510</v>
      </c>
      <c r="D355">
        <v>1970</v>
      </c>
      <c r="E355">
        <v>1991</v>
      </c>
      <c r="F355">
        <v>1.2606730286288199</v>
      </c>
      <c r="G355">
        <v>1.4012908959584001</v>
      </c>
      <c r="H355">
        <v>9.2787240681872996E-2</v>
      </c>
      <c r="I355">
        <v>-1.51548711111792</v>
      </c>
      <c r="J355">
        <v>-11.15</v>
      </c>
      <c r="L355">
        <v>1.4940781366402731</v>
      </c>
      <c r="M355">
        <v>1.308503655276527</v>
      </c>
      <c r="N355">
        <v>1.5868653773221459</v>
      </c>
      <c r="O355">
        <v>1.2157164145946542</v>
      </c>
    </row>
    <row r="356" spans="1:15">
      <c r="A356" s="19">
        <v>43315</v>
      </c>
      <c r="B356">
        <v>2551</v>
      </c>
      <c r="C356">
        <v>2557</v>
      </c>
      <c r="D356">
        <v>1950</v>
      </c>
      <c r="E356">
        <v>1938</v>
      </c>
      <c r="F356">
        <v>1.3194014447884399</v>
      </c>
      <c r="G356">
        <v>1.40570810598227</v>
      </c>
      <c r="H356">
        <v>9.3867266991086204E-2</v>
      </c>
      <c r="I356">
        <v>-0.919454288596953</v>
      </c>
      <c r="J356">
        <v>-6.54</v>
      </c>
      <c r="L356">
        <v>1.4995753729733563</v>
      </c>
      <c r="M356">
        <v>1.3118408389911838</v>
      </c>
      <c r="N356">
        <v>1.5934426399644424</v>
      </c>
      <c r="O356">
        <v>1.2179735720000977</v>
      </c>
    </row>
    <row r="357" spans="1:15">
      <c r="A357" s="19">
        <v>43314</v>
      </c>
      <c r="B357">
        <v>2582</v>
      </c>
      <c r="C357">
        <v>2529</v>
      </c>
      <c r="D357">
        <v>1955</v>
      </c>
      <c r="E357">
        <v>1972</v>
      </c>
      <c r="F357">
        <v>1.2824543610547601</v>
      </c>
      <c r="G357">
        <v>1.40927094236146</v>
      </c>
      <c r="H357">
        <v>9.5579350356886403E-2</v>
      </c>
      <c r="I357">
        <v>-1.3268198709572601</v>
      </c>
      <c r="J357">
        <v>-9.89</v>
      </c>
      <c r="L357">
        <v>1.5048502927183465</v>
      </c>
      <c r="M357">
        <v>1.3136915920045735</v>
      </c>
      <c r="N357">
        <v>1.6004296430752327</v>
      </c>
      <c r="O357">
        <v>1.2181122416476873</v>
      </c>
    </row>
    <row r="358" spans="1:15">
      <c r="A358" s="19">
        <v>43313</v>
      </c>
      <c r="B358">
        <v>2555</v>
      </c>
      <c r="C358">
        <v>2532</v>
      </c>
      <c r="D358">
        <v>1961</v>
      </c>
      <c r="E358">
        <v>1952</v>
      </c>
      <c r="F358">
        <v>1.2971311475409799</v>
      </c>
      <c r="G358">
        <v>1.4132852045802</v>
      </c>
      <c r="H358">
        <v>9.6486892780542594E-2</v>
      </c>
      <c r="I358">
        <v>-1.20383249674556</v>
      </c>
      <c r="J358">
        <v>-8.9499999999999993</v>
      </c>
      <c r="L358">
        <v>1.5097720973607427</v>
      </c>
      <c r="M358">
        <v>1.3167983117996573</v>
      </c>
      <c r="N358">
        <v>1.6062589901412851</v>
      </c>
      <c r="O358">
        <v>1.2203114190191149</v>
      </c>
    </row>
    <row r="359" spans="1:15">
      <c r="A359" s="19">
        <v>43312</v>
      </c>
      <c r="B359">
        <v>2592</v>
      </c>
      <c r="C359">
        <v>2687</v>
      </c>
      <c r="D359">
        <v>1924</v>
      </c>
      <c r="E359">
        <v>1908</v>
      </c>
      <c r="F359">
        <v>1.40828092243186</v>
      </c>
      <c r="G359">
        <v>1.41714739827226</v>
      </c>
      <c r="H359">
        <v>9.7551655619692396E-2</v>
      </c>
      <c r="I359">
        <v>-9.0890060082225901E-2</v>
      </c>
      <c r="J359">
        <v>-0.63</v>
      </c>
      <c r="L359">
        <v>1.5146990538919525</v>
      </c>
      <c r="M359">
        <v>1.3195957426525675</v>
      </c>
      <c r="N359">
        <v>1.6122507095116447</v>
      </c>
      <c r="O359">
        <v>1.2220440870328753</v>
      </c>
    </row>
    <row r="360" spans="1:15">
      <c r="A360" s="19">
        <v>43311</v>
      </c>
      <c r="B360">
        <v>2594</v>
      </c>
      <c r="C360">
        <v>2595</v>
      </c>
      <c r="D360">
        <v>1982</v>
      </c>
      <c r="E360">
        <v>1937</v>
      </c>
      <c r="F360">
        <v>1.3397005678884799</v>
      </c>
      <c r="G360">
        <v>1.4194205476170001</v>
      </c>
      <c r="H360">
        <v>9.9289421664491895E-2</v>
      </c>
      <c r="I360">
        <v>-0.80290506674414897</v>
      </c>
      <c r="J360">
        <v>-5.95</v>
      </c>
      <c r="L360">
        <v>1.518709969281492</v>
      </c>
      <c r="M360">
        <v>1.3201311259525081</v>
      </c>
      <c r="N360">
        <v>1.6179993909459838</v>
      </c>
      <c r="O360">
        <v>1.2208417042880164</v>
      </c>
    </row>
    <row r="361" spans="1:15">
      <c r="A361" s="19">
        <v>43308</v>
      </c>
      <c r="B361">
        <v>2611</v>
      </c>
      <c r="C361">
        <v>2594</v>
      </c>
      <c r="D361">
        <v>2017</v>
      </c>
      <c r="E361">
        <v>1989</v>
      </c>
      <c r="F361">
        <v>1.3041729512317699</v>
      </c>
      <c r="G361">
        <v>1.4226172033429301</v>
      </c>
      <c r="H361">
        <v>0.100523089758307</v>
      </c>
      <c r="I361">
        <v>-1.1782790640034699</v>
      </c>
      <c r="J361">
        <v>-9.08</v>
      </c>
      <c r="L361">
        <v>1.523140293101237</v>
      </c>
      <c r="M361">
        <v>1.3220941135846231</v>
      </c>
      <c r="N361">
        <v>1.6236633828595441</v>
      </c>
      <c r="O361">
        <v>1.221571023826316</v>
      </c>
    </row>
    <row r="362" spans="1:15">
      <c r="A362" s="19">
        <v>43307</v>
      </c>
      <c r="B362">
        <v>2563</v>
      </c>
      <c r="C362">
        <v>2598</v>
      </c>
      <c r="D362">
        <v>2050</v>
      </c>
      <c r="E362">
        <v>2008</v>
      </c>
      <c r="F362">
        <v>1.29382470119521</v>
      </c>
      <c r="G362">
        <v>1.42642500424828</v>
      </c>
      <c r="H362">
        <v>0.10136971463946901</v>
      </c>
      <c r="I362">
        <v>-1.30808598529324</v>
      </c>
      <c r="J362">
        <v>-10.25</v>
      </c>
      <c r="L362">
        <v>1.527794718887749</v>
      </c>
      <c r="M362">
        <v>1.325055289608811</v>
      </c>
      <c r="N362">
        <v>1.629164433527218</v>
      </c>
      <c r="O362">
        <v>1.223685574969342</v>
      </c>
    </row>
    <row r="363" spans="1:15">
      <c r="A363" s="19">
        <v>43306</v>
      </c>
      <c r="B363">
        <v>2519</v>
      </c>
      <c r="C363">
        <v>2529</v>
      </c>
      <c r="D363">
        <v>2048</v>
      </c>
      <c r="E363">
        <v>2032</v>
      </c>
      <c r="F363">
        <v>1.24458661417322</v>
      </c>
      <c r="G363">
        <v>1.4300092226793</v>
      </c>
      <c r="H363">
        <v>0.101370272546228</v>
      </c>
      <c r="I363">
        <v>-1.82916158602131</v>
      </c>
      <c r="J363">
        <v>-14.9</v>
      </c>
      <c r="L363">
        <v>1.531379495225528</v>
      </c>
      <c r="M363">
        <v>1.328638950133072</v>
      </c>
      <c r="N363">
        <v>1.632749767771756</v>
      </c>
      <c r="O363">
        <v>1.227268677586844</v>
      </c>
    </row>
    <row r="364" spans="1:15">
      <c r="A364" s="19">
        <v>43305</v>
      </c>
      <c r="B364">
        <v>2437</v>
      </c>
      <c r="C364">
        <v>2510</v>
      </c>
      <c r="D364">
        <v>2001</v>
      </c>
      <c r="E364">
        <v>2029</v>
      </c>
      <c r="F364">
        <v>1.23706259241005</v>
      </c>
      <c r="G364">
        <v>1.4341530019731601</v>
      </c>
      <c r="H364">
        <v>0.100049380460333</v>
      </c>
      <c r="I364">
        <v>-1.9699313344699101</v>
      </c>
      <c r="J364">
        <v>-15.93</v>
      </c>
      <c r="L364">
        <v>1.5342023824334932</v>
      </c>
      <c r="M364">
        <v>1.334103621512827</v>
      </c>
      <c r="N364">
        <v>1.634251762893826</v>
      </c>
      <c r="O364">
        <v>1.2340542410524942</v>
      </c>
    </row>
    <row r="365" spans="1:15">
      <c r="A365" s="19">
        <v>43304</v>
      </c>
      <c r="B365">
        <v>2399</v>
      </c>
      <c r="C365">
        <v>2422</v>
      </c>
      <c r="D365">
        <v>1803</v>
      </c>
      <c r="E365">
        <v>1821</v>
      </c>
      <c r="F365">
        <v>1.33003844041735</v>
      </c>
      <c r="G365">
        <v>1.4386506312406599</v>
      </c>
      <c r="H365">
        <v>9.8660634752509094E-2</v>
      </c>
      <c r="I365">
        <v>-1.1008665319837101</v>
      </c>
      <c r="J365">
        <v>-8.17</v>
      </c>
      <c r="L365">
        <v>1.5373112659931691</v>
      </c>
      <c r="M365">
        <v>1.3399899964881508</v>
      </c>
      <c r="N365">
        <v>1.6359719007456781</v>
      </c>
      <c r="O365">
        <v>1.2413293617356418</v>
      </c>
    </row>
    <row r="366" spans="1:15">
      <c r="A366" s="19">
        <v>43301</v>
      </c>
      <c r="B366">
        <v>2415</v>
      </c>
      <c r="C366">
        <v>2399</v>
      </c>
      <c r="D366">
        <v>1761</v>
      </c>
      <c r="E366">
        <v>1820</v>
      </c>
      <c r="F366">
        <v>1.3181318681318599</v>
      </c>
      <c r="G366">
        <v>1.4416918041795601</v>
      </c>
      <c r="H366">
        <v>9.8781122534187499E-2</v>
      </c>
      <c r="I366">
        <v>-1.2508456360670801</v>
      </c>
      <c r="J366">
        <v>-9.3699999999999992</v>
      </c>
      <c r="L366">
        <v>1.5404729267137476</v>
      </c>
      <c r="M366">
        <v>1.3429106816453726</v>
      </c>
      <c r="N366">
        <v>1.6392540492479351</v>
      </c>
      <c r="O366">
        <v>1.2441295591111852</v>
      </c>
    </row>
    <row r="367" spans="1:15">
      <c r="A367" s="19">
        <v>43300</v>
      </c>
      <c r="B367">
        <v>2412</v>
      </c>
      <c r="C367">
        <v>2411</v>
      </c>
      <c r="D367">
        <v>1816</v>
      </c>
      <c r="E367">
        <v>1793</v>
      </c>
      <c r="F367">
        <v>1.34467373117679</v>
      </c>
      <c r="G367">
        <v>1.4450930665327699</v>
      </c>
      <c r="H367">
        <v>9.8859829989143097E-2</v>
      </c>
      <c r="I367">
        <v>-1.0157749145128101</v>
      </c>
      <c r="J367">
        <v>-7.47</v>
      </c>
      <c r="L367">
        <v>1.5439528965219129</v>
      </c>
      <c r="M367">
        <v>1.3462332365436269</v>
      </c>
      <c r="N367">
        <v>1.6428127265110561</v>
      </c>
      <c r="O367">
        <v>1.2473734065544837</v>
      </c>
    </row>
    <row r="368" spans="1:15">
      <c r="A368" s="19">
        <v>43299</v>
      </c>
      <c r="B368">
        <v>2406</v>
      </c>
      <c r="C368">
        <v>2413</v>
      </c>
      <c r="D368">
        <v>1811</v>
      </c>
      <c r="E368">
        <v>1807</v>
      </c>
      <c r="F368">
        <v>1.3353624792473699</v>
      </c>
      <c r="G368">
        <v>1.4485112735966801</v>
      </c>
      <c r="H368">
        <v>9.9756624581521597E-2</v>
      </c>
      <c r="I368">
        <v>-1.1342484253448599</v>
      </c>
      <c r="J368">
        <v>-8.4700000000000006</v>
      </c>
      <c r="L368">
        <v>1.5482678981782017</v>
      </c>
      <c r="M368">
        <v>1.3487546490151585</v>
      </c>
      <c r="N368">
        <v>1.6480245227597232</v>
      </c>
      <c r="O368">
        <v>1.2489980244336369</v>
      </c>
    </row>
    <row r="369" spans="1:15">
      <c r="A369" s="19">
        <v>43298</v>
      </c>
      <c r="B369">
        <v>2380</v>
      </c>
      <c r="C369">
        <v>2397</v>
      </c>
      <c r="D369">
        <v>1752</v>
      </c>
      <c r="E369">
        <v>1797</v>
      </c>
      <c r="F369">
        <v>1.3338898163605999</v>
      </c>
      <c r="G369">
        <v>1.45236420512956</v>
      </c>
      <c r="H369">
        <v>0.100886129155453</v>
      </c>
      <c r="I369">
        <v>-1.1743377386043701</v>
      </c>
      <c r="J369">
        <v>-8.8800000000000008</v>
      </c>
      <c r="L369">
        <v>1.553250334285013</v>
      </c>
      <c r="M369">
        <v>1.351478075974107</v>
      </c>
      <c r="N369">
        <v>1.6541364634404661</v>
      </c>
      <c r="O369">
        <v>1.2505919468186539</v>
      </c>
    </row>
    <row r="370" spans="1:15">
      <c r="A370" s="19">
        <v>43294</v>
      </c>
      <c r="B370">
        <v>2369</v>
      </c>
      <c r="C370">
        <v>2375</v>
      </c>
      <c r="D370">
        <v>1724</v>
      </c>
      <c r="E370">
        <v>1754</v>
      </c>
      <c r="F370">
        <v>1.3540478905359099</v>
      </c>
      <c r="G370">
        <v>1.4559186080481199</v>
      </c>
      <c r="H370">
        <v>0.101344458938284</v>
      </c>
      <c r="I370">
        <v>-1.0051927710645101</v>
      </c>
      <c r="J370">
        <v>-7.52</v>
      </c>
      <c r="L370">
        <v>1.5572630669864038</v>
      </c>
      <c r="M370">
        <v>1.354574149109836</v>
      </c>
      <c r="N370">
        <v>1.658607525924688</v>
      </c>
      <c r="O370">
        <v>1.2532296901715518</v>
      </c>
    </row>
    <row r="371" spans="1:15">
      <c r="A371" s="19">
        <v>43293</v>
      </c>
      <c r="B371">
        <v>2391</v>
      </c>
      <c r="C371">
        <v>2371</v>
      </c>
      <c r="D371">
        <v>1722</v>
      </c>
      <c r="E371">
        <v>1724</v>
      </c>
      <c r="F371">
        <v>1.3752900232018499</v>
      </c>
      <c r="G371">
        <v>1.4589435685990699</v>
      </c>
      <c r="H371">
        <v>0.101644075787649</v>
      </c>
      <c r="I371">
        <v>-0.82300463405247604</v>
      </c>
      <c r="J371">
        <v>-6.08</v>
      </c>
      <c r="L371">
        <v>1.560587644386719</v>
      </c>
      <c r="M371">
        <v>1.3572994928114208</v>
      </c>
      <c r="N371">
        <v>1.6622317201743679</v>
      </c>
      <c r="O371">
        <v>1.2556554170237719</v>
      </c>
    </row>
    <row r="372" spans="1:15">
      <c r="A372" s="19">
        <v>43292</v>
      </c>
      <c r="B372">
        <v>2375</v>
      </c>
      <c r="C372">
        <v>2389</v>
      </c>
      <c r="D372">
        <v>1721</v>
      </c>
      <c r="E372">
        <v>1737</v>
      </c>
      <c r="F372">
        <v>1.3753598157743201</v>
      </c>
      <c r="G372">
        <v>1.4617708856793099</v>
      </c>
      <c r="H372">
        <v>0.10222535578721501</v>
      </c>
      <c r="I372">
        <v>-0.84529977166195702</v>
      </c>
      <c r="J372">
        <v>-6.28</v>
      </c>
      <c r="L372">
        <v>1.5639962414665249</v>
      </c>
      <c r="M372">
        <v>1.3595455298920949</v>
      </c>
      <c r="N372">
        <v>1.66622159725374</v>
      </c>
      <c r="O372">
        <v>1.2573201741048798</v>
      </c>
    </row>
    <row r="373" spans="1:15">
      <c r="A373" s="19">
        <v>43291</v>
      </c>
      <c r="B373">
        <v>2400</v>
      </c>
      <c r="C373">
        <v>2395</v>
      </c>
      <c r="D373">
        <v>1767</v>
      </c>
      <c r="E373">
        <v>1731</v>
      </c>
      <c r="F373">
        <v>1.38359329867128</v>
      </c>
      <c r="G373">
        <v>1.4643840309044101</v>
      </c>
      <c r="H373">
        <v>0.102487682606147</v>
      </c>
      <c r="I373">
        <v>-0.78829699509941298</v>
      </c>
      <c r="J373">
        <v>-5.84</v>
      </c>
      <c r="L373">
        <v>1.566871713510557</v>
      </c>
      <c r="M373">
        <v>1.3618963482982631</v>
      </c>
      <c r="N373">
        <v>1.6693593961167041</v>
      </c>
      <c r="O373">
        <v>1.259408665692116</v>
      </c>
    </row>
    <row r="374" spans="1:15">
      <c r="A374" s="19">
        <v>43290</v>
      </c>
      <c r="B374">
        <v>2367</v>
      </c>
      <c r="C374">
        <v>2400</v>
      </c>
      <c r="D374">
        <v>1733</v>
      </c>
      <c r="E374">
        <v>1760</v>
      </c>
      <c r="F374">
        <v>1.36363636363636</v>
      </c>
      <c r="G374">
        <v>1.4671237506861201</v>
      </c>
      <c r="H374">
        <v>0.103036333024383</v>
      </c>
      <c r="I374">
        <v>-1.0043776210986699</v>
      </c>
      <c r="J374">
        <v>-7.59</v>
      </c>
      <c r="L374">
        <v>1.5701600837105032</v>
      </c>
      <c r="M374">
        <v>1.364087417661737</v>
      </c>
      <c r="N374">
        <v>1.6731964167348861</v>
      </c>
      <c r="O374">
        <v>1.2610510846373542</v>
      </c>
    </row>
    <row r="375" spans="1:15">
      <c r="A375" s="19">
        <v>43287</v>
      </c>
      <c r="B375">
        <v>2376</v>
      </c>
      <c r="C375">
        <v>2382</v>
      </c>
      <c r="D375">
        <v>1729</v>
      </c>
      <c r="E375">
        <v>1752</v>
      </c>
      <c r="F375">
        <v>1.35958904109589</v>
      </c>
      <c r="G375">
        <v>1.46961717965968</v>
      </c>
      <c r="H375">
        <v>0.102764200673164</v>
      </c>
      <c r="I375">
        <v>-1.0706854901128</v>
      </c>
      <c r="J375">
        <v>-8.09</v>
      </c>
      <c r="L375">
        <v>1.5723813803328439</v>
      </c>
      <c r="M375">
        <v>1.366852978986516</v>
      </c>
      <c r="N375">
        <v>1.6751455810060079</v>
      </c>
      <c r="O375">
        <v>1.2640887783133521</v>
      </c>
    </row>
    <row r="376" spans="1:15">
      <c r="A376" s="19">
        <v>43286</v>
      </c>
      <c r="B376">
        <v>2414</v>
      </c>
      <c r="C376">
        <v>2396</v>
      </c>
      <c r="D376">
        <v>1781</v>
      </c>
      <c r="E376">
        <v>1735</v>
      </c>
      <c r="F376">
        <v>1.3809798270893301</v>
      </c>
      <c r="G376">
        <v>1.4724772594133999</v>
      </c>
      <c r="H376">
        <v>0.102647097356558</v>
      </c>
      <c r="I376">
        <v>-0.89137866223567996</v>
      </c>
      <c r="J376">
        <v>-6.63</v>
      </c>
      <c r="L376">
        <v>1.575124356769958</v>
      </c>
      <c r="M376">
        <v>1.3698301620568418</v>
      </c>
      <c r="N376">
        <v>1.6777714541265158</v>
      </c>
      <c r="O376">
        <v>1.267183064700284</v>
      </c>
    </row>
    <row r="377" spans="1:15">
      <c r="A377" s="19">
        <v>43285</v>
      </c>
      <c r="B377">
        <v>2368</v>
      </c>
      <c r="C377">
        <v>2412</v>
      </c>
      <c r="D377">
        <v>1771</v>
      </c>
      <c r="E377">
        <v>1787</v>
      </c>
      <c r="F377">
        <v>1.3497481813094501</v>
      </c>
      <c r="G377">
        <v>1.47484264921196</v>
      </c>
      <c r="H377">
        <v>0.102555387514428</v>
      </c>
      <c r="I377">
        <v>-1.21977470842185</v>
      </c>
      <c r="J377">
        <v>-9.27</v>
      </c>
      <c r="L377">
        <v>1.577398036726388</v>
      </c>
      <c r="M377">
        <v>1.3722872616975319</v>
      </c>
      <c r="N377">
        <v>1.6799534242408161</v>
      </c>
      <c r="O377">
        <v>1.2697318741831038</v>
      </c>
    </row>
    <row r="378" spans="1:15">
      <c r="A378" s="19">
        <v>43284</v>
      </c>
      <c r="B378">
        <v>2420</v>
      </c>
      <c r="C378">
        <v>2392</v>
      </c>
      <c r="D378">
        <v>1800</v>
      </c>
      <c r="E378">
        <v>1777</v>
      </c>
      <c r="F378">
        <v>1.34608891389983</v>
      </c>
      <c r="G378">
        <v>1.4775566295051199</v>
      </c>
      <c r="H378">
        <v>0.10190024855336</v>
      </c>
      <c r="I378">
        <v>-1.29016089235983</v>
      </c>
      <c r="J378">
        <v>-9.77</v>
      </c>
      <c r="L378">
        <v>1.5794568780584799</v>
      </c>
      <c r="M378">
        <v>1.3756563809517599</v>
      </c>
      <c r="N378">
        <v>1.6813571266118399</v>
      </c>
      <c r="O378">
        <v>1.2737561323983999</v>
      </c>
    </row>
    <row r="379" spans="1:15">
      <c r="A379" s="19">
        <v>43283</v>
      </c>
      <c r="B379">
        <v>2479</v>
      </c>
      <c r="C379">
        <v>2433</v>
      </c>
      <c r="D379">
        <v>1819</v>
      </c>
      <c r="E379">
        <v>1793</v>
      </c>
      <c r="F379">
        <v>1.3569436698271</v>
      </c>
      <c r="G379">
        <v>1.4804081905944499</v>
      </c>
      <c r="H379">
        <v>0.101171180967742</v>
      </c>
      <c r="I379">
        <v>-1.2203526694693201</v>
      </c>
      <c r="J379">
        <v>-9.1</v>
      </c>
      <c r="L379">
        <v>1.581579371562192</v>
      </c>
      <c r="M379">
        <v>1.3792370096267079</v>
      </c>
      <c r="N379">
        <v>1.682750552529934</v>
      </c>
      <c r="O379">
        <v>1.2780658286589659</v>
      </c>
    </row>
    <row r="380" spans="1:15">
      <c r="A380" s="19">
        <v>43280</v>
      </c>
      <c r="B380">
        <v>2459</v>
      </c>
      <c r="C380">
        <v>2493</v>
      </c>
      <c r="D380">
        <v>1783</v>
      </c>
      <c r="E380">
        <v>1815</v>
      </c>
      <c r="F380">
        <v>1.3735537190082601</v>
      </c>
      <c r="G380">
        <v>1.4832127636911401</v>
      </c>
      <c r="H380">
        <v>0.100623724591042</v>
      </c>
      <c r="I380">
        <v>-1.08979313902916</v>
      </c>
      <c r="J380">
        <v>-7.98</v>
      </c>
      <c r="L380">
        <v>1.583836488282182</v>
      </c>
      <c r="M380">
        <v>1.3825890391000981</v>
      </c>
      <c r="N380">
        <v>1.684460212873224</v>
      </c>
      <c r="O380">
        <v>1.2819653145090562</v>
      </c>
    </row>
    <row r="381" spans="1:15">
      <c r="A381" s="19">
        <v>43279</v>
      </c>
      <c r="B381">
        <v>2466</v>
      </c>
      <c r="C381">
        <v>2482</v>
      </c>
      <c r="D381">
        <v>1812</v>
      </c>
      <c r="E381">
        <v>1816</v>
      </c>
      <c r="F381">
        <v>1.3667400881057199</v>
      </c>
      <c r="G381">
        <v>1.4862469450168401</v>
      </c>
      <c r="H381">
        <v>0.100702264457691</v>
      </c>
      <c r="I381">
        <v>-1.18673455413035</v>
      </c>
      <c r="J381">
        <v>-8.74</v>
      </c>
      <c r="L381">
        <v>1.586949209474531</v>
      </c>
      <c r="M381">
        <v>1.3855446805591491</v>
      </c>
      <c r="N381">
        <v>1.6876514739322221</v>
      </c>
      <c r="O381">
        <v>1.284842416101458</v>
      </c>
    </row>
    <row r="382" spans="1:15">
      <c r="A382" s="19">
        <v>43278</v>
      </c>
      <c r="B382">
        <v>2485</v>
      </c>
      <c r="C382">
        <v>2486</v>
      </c>
      <c r="D382">
        <v>1796</v>
      </c>
      <c r="E382">
        <v>1813</v>
      </c>
      <c r="F382">
        <v>1.37120794263651</v>
      </c>
      <c r="G382">
        <v>1.4891713761540699</v>
      </c>
      <c r="H382">
        <v>0.10037348720272</v>
      </c>
      <c r="I382">
        <v>-1.1752449457028</v>
      </c>
      <c r="J382">
        <v>-8.6</v>
      </c>
      <c r="L382">
        <v>1.5895448633567899</v>
      </c>
      <c r="M382">
        <v>1.3887978889513499</v>
      </c>
      <c r="N382">
        <v>1.6899183505595099</v>
      </c>
      <c r="O382">
        <v>1.2884244017486299</v>
      </c>
    </row>
    <row r="383" spans="1:15">
      <c r="A383" s="19">
        <v>43277</v>
      </c>
      <c r="B383">
        <v>2420</v>
      </c>
      <c r="C383">
        <v>2468</v>
      </c>
      <c r="D383">
        <v>1825</v>
      </c>
      <c r="E383">
        <v>1807</v>
      </c>
      <c r="F383">
        <v>1.3657996679579401</v>
      </c>
      <c r="G383">
        <v>1.49204345922863</v>
      </c>
      <c r="H383">
        <v>0.10003824818258</v>
      </c>
      <c r="I383">
        <v>-1.2619552377634999</v>
      </c>
      <c r="J383">
        <v>-9.24</v>
      </c>
      <c r="L383">
        <v>1.5920817074112099</v>
      </c>
      <c r="M383">
        <v>1.3920052110460501</v>
      </c>
      <c r="N383">
        <v>1.69211995559379</v>
      </c>
      <c r="O383">
        <v>1.29196696286347</v>
      </c>
    </row>
    <row r="384" spans="1:15">
      <c r="A384" s="19">
        <v>43276</v>
      </c>
      <c r="B384">
        <v>2480</v>
      </c>
      <c r="C384">
        <v>2450</v>
      </c>
      <c r="D384">
        <v>1897</v>
      </c>
      <c r="E384">
        <v>1850</v>
      </c>
      <c r="F384">
        <v>1.3243243243243199</v>
      </c>
      <c r="G384">
        <v>1.4949152904569001</v>
      </c>
      <c r="H384">
        <v>9.9462847615672895E-2</v>
      </c>
      <c r="I384">
        <v>-1.7151224826354201</v>
      </c>
      <c r="J384">
        <v>-12.88</v>
      </c>
      <c r="L384">
        <v>1.594378138072573</v>
      </c>
      <c r="M384">
        <v>1.3954524428412272</v>
      </c>
      <c r="N384">
        <v>1.6938409856882459</v>
      </c>
      <c r="O384">
        <v>1.2959895952255542</v>
      </c>
    </row>
    <row r="385" spans="1:15">
      <c r="A385" s="19">
        <v>43273</v>
      </c>
      <c r="B385">
        <v>2455</v>
      </c>
      <c r="C385">
        <v>2485</v>
      </c>
      <c r="D385">
        <v>1831</v>
      </c>
      <c r="E385">
        <v>1887</v>
      </c>
      <c r="F385">
        <v>1.31690514043455</v>
      </c>
      <c r="G385">
        <v>1.4987382791727899</v>
      </c>
      <c r="H385">
        <v>9.8336419195114405E-2</v>
      </c>
      <c r="I385">
        <v>-1.84909253587377</v>
      </c>
      <c r="J385">
        <v>-13.81</v>
      </c>
      <c r="L385">
        <v>1.5970746983679043</v>
      </c>
      <c r="M385">
        <v>1.4004018599776755</v>
      </c>
      <c r="N385">
        <v>1.6954111175630187</v>
      </c>
      <c r="O385">
        <v>1.3020654407825611</v>
      </c>
    </row>
    <row r="386" spans="1:15">
      <c r="A386" s="19">
        <v>43272</v>
      </c>
      <c r="B386">
        <v>2479</v>
      </c>
      <c r="C386">
        <v>2468</v>
      </c>
      <c r="D386">
        <v>1822</v>
      </c>
      <c r="E386">
        <v>1840</v>
      </c>
      <c r="F386">
        <v>1.34130434782608</v>
      </c>
      <c r="G386">
        <v>1.5026092075755599</v>
      </c>
      <c r="H386">
        <v>9.6804688074788606E-2</v>
      </c>
      <c r="I386">
        <v>-1.66629181868604</v>
      </c>
      <c r="J386">
        <v>-12.03</v>
      </c>
      <c r="L386">
        <v>1.5994138956503485</v>
      </c>
      <c r="M386">
        <v>1.4058045195007713</v>
      </c>
      <c r="N386">
        <v>1.6962185837251371</v>
      </c>
      <c r="O386">
        <v>1.3089998314259828</v>
      </c>
    </row>
    <row r="387" spans="1:15">
      <c r="A387" s="19">
        <v>43271</v>
      </c>
      <c r="B387">
        <v>2462</v>
      </c>
      <c r="C387">
        <v>2489</v>
      </c>
      <c r="D387">
        <v>1822</v>
      </c>
      <c r="E387">
        <v>1822</v>
      </c>
      <c r="F387">
        <v>1.3660812294182201</v>
      </c>
      <c r="G387">
        <v>1.50615859670352</v>
      </c>
      <c r="H387">
        <v>9.5699238647640295E-2</v>
      </c>
      <c r="I387">
        <v>-1.4637249915964201</v>
      </c>
      <c r="J387">
        <v>-10.25</v>
      </c>
      <c r="L387">
        <v>1.6018578353511603</v>
      </c>
      <c r="M387">
        <v>1.4104593580558797</v>
      </c>
      <c r="N387">
        <v>1.6975570739988006</v>
      </c>
      <c r="O387">
        <v>1.3147601194082394</v>
      </c>
    </row>
    <row r="388" spans="1:15">
      <c r="A388" s="19">
        <v>43270</v>
      </c>
      <c r="B388">
        <v>2499</v>
      </c>
      <c r="C388">
        <v>2488</v>
      </c>
      <c r="D388">
        <v>1862</v>
      </c>
      <c r="E388">
        <v>1825</v>
      </c>
      <c r="F388">
        <v>1.3632876712328701</v>
      </c>
      <c r="G388">
        <v>1.50882913606349</v>
      </c>
      <c r="H388">
        <v>9.4540635639909901E-2</v>
      </c>
      <c r="I388">
        <v>-1.5394593430168899</v>
      </c>
      <c r="J388">
        <v>-10.68</v>
      </c>
      <c r="L388">
        <v>1.6033697717033999</v>
      </c>
      <c r="M388">
        <v>1.4142885004235801</v>
      </c>
      <c r="N388">
        <v>1.6979104073433098</v>
      </c>
      <c r="O388">
        <v>1.3197478647836702</v>
      </c>
    </row>
    <row r="389" spans="1:15">
      <c r="A389" s="19">
        <v>43269</v>
      </c>
      <c r="B389">
        <v>2512</v>
      </c>
      <c r="C389">
        <v>2511</v>
      </c>
      <c r="D389">
        <v>1860</v>
      </c>
      <c r="E389">
        <v>1855</v>
      </c>
      <c r="F389">
        <v>1.3536388140161699</v>
      </c>
      <c r="G389">
        <v>1.51095598448614</v>
      </c>
      <c r="H389">
        <v>9.3024622273592705E-2</v>
      </c>
      <c r="I389">
        <v>-1.69113474072797</v>
      </c>
      <c r="J389">
        <v>-11.62</v>
      </c>
      <c r="L389">
        <v>1.6039806067597326</v>
      </c>
      <c r="M389">
        <v>1.4179313622125473</v>
      </c>
      <c r="N389">
        <v>1.6970052290333255</v>
      </c>
      <c r="O389">
        <v>1.3249067399389545</v>
      </c>
    </row>
    <row r="390" spans="1:15">
      <c r="A390" s="19">
        <v>43266</v>
      </c>
      <c r="B390">
        <v>2563</v>
      </c>
      <c r="C390">
        <v>2522</v>
      </c>
      <c r="D390">
        <v>1888</v>
      </c>
      <c r="E390">
        <v>1859</v>
      </c>
      <c r="F390">
        <v>1.35664335664335</v>
      </c>
      <c r="G390">
        <v>1.5129570595978701</v>
      </c>
      <c r="H390">
        <v>9.1215633083370606E-2</v>
      </c>
      <c r="I390">
        <v>-1.7136722913675499</v>
      </c>
      <c r="J390">
        <v>-11.52</v>
      </c>
      <c r="L390">
        <v>1.6041726926812407</v>
      </c>
      <c r="M390">
        <v>1.4217414265144994</v>
      </c>
      <c r="N390">
        <v>1.6953883257646112</v>
      </c>
      <c r="O390">
        <v>1.330525793431129</v>
      </c>
    </row>
    <row r="391" spans="1:15">
      <c r="A391" s="19">
        <v>43265</v>
      </c>
      <c r="B391">
        <v>2581</v>
      </c>
      <c r="C391">
        <v>2545</v>
      </c>
      <c r="D391">
        <v>1867</v>
      </c>
      <c r="E391">
        <v>1872</v>
      </c>
      <c r="F391">
        <v>1.35950854700854</v>
      </c>
      <c r="G391">
        <v>1.51478687781939</v>
      </c>
      <c r="H391">
        <v>8.9420410223187002E-2</v>
      </c>
      <c r="I391">
        <v>-1.7364976343016401</v>
      </c>
      <c r="J391">
        <v>-11.42</v>
      </c>
      <c r="L391">
        <v>1.6042072880425771</v>
      </c>
      <c r="M391">
        <v>1.425366467596203</v>
      </c>
      <c r="N391">
        <v>1.6936276982657641</v>
      </c>
      <c r="O391">
        <v>1.335946057373016</v>
      </c>
    </row>
    <row r="392" spans="1:15">
      <c r="A392" s="19">
        <v>43264</v>
      </c>
      <c r="B392">
        <v>2543</v>
      </c>
      <c r="C392">
        <v>2570</v>
      </c>
      <c r="D392">
        <v>1877</v>
      </c>
      <c r="E392">
        <v>1857</v>
      </c>
      <c r="F392">
        <v>1.3839526117393599</v>
      </c>
      <c r="G392">
        <v>1.51645743052594</v>
      </c>
      <c r="H392">
        <v>8.7656852113399394E-2</v>
      </c>
      <c r="I392">
        <v>-1.51163104300351</v>
      </c>
      <c r="J392">
        <v>-9.57</v>
      </c>
      <c r="L392">
        <v>1.6041142826393393</v>
      </c>
      <c r="M392">
        <v>1.4288005784125406</v>
      </c>
      <c r="N392">
        <v>1.6917711347527387</v>
      </c>
      <c r="O392">
        <v>1.3411437262991412</v>
      </c>
    </row>
    <row r="393" spans="1:15">
      <c r="A393" s="19">
        <v>43263</v>
      </c>
      <c r="B393">
        <v>2592</v>
      </c>
      <c r="C393">
        <v>2580</v>
      </c>
      <c r="D393">
        <v>1879</v>
      </c>
      <c r="E393">
        <v>1877</v>
      </c>
      <c r="F393">
        <v>1.37453383058071</v>
      </c>
      <c r="G393">
        <v>1.5178832570818099</v>
      </c>
      <c r="H393">
        <v>8.6349907728997102E-2</v>
      </c>
      <c r="I393">
        <v>-1.66009935935307</v>
      </c>
      <c r="J393">
        <v>-10.43</v>
      </c>
      <c r="L393">
        <v>1.604233164810807</v>
      </c>
      <c r="M393">
        <v>1.4315333493528128</v>
      </c>
      <c r="N393">
        <v>1.6905830725398041</v>
      </c>
      <c r="O393">
        <v>1.3451834416238158</v>
      </c>
    </row>
    <row r="394" spans="1:15">
      <c r="A394" s="19">
        <v>43262</v>
      </c>
      <c r="B394">
        <v>2591</v>
      </c>
      <c r="C394">
        <v>2602</v>
      </c>
      <c r="D394">
        <v>1867</v>
      </c>
      <c r="E394">
        <v>1875</v>
      </c>
      <c r="F394">
        <v>1.3877333333333299</v>
      </c>
      <c r="G394">
        <v>1.51917275275927</v>
      </c>
      <c r="H394">
        <v>8.4909697718751204E-2</v>
      </c>
      <c r="I394">
        <v>-1.5479906648744699</v>
      </c>
      <c r="J394">
        <v>-9.4700000000000006</v>
      </c>
      <c r="L394">
        <v>1.6040824504780211</v>
      </c>
      <c r="M394">
        <v>1.4342630550405189</v>
      </c>
      <c r="N394">
        <v>1.6889921481967725</v>
      </c>
      <c r="O394">
        <v>1.3493533573217675</v>
      </c>
    </row>
    <row r="395" spans="1:15">
      <c r="A395" s="19">
        <v>43259</v>
      </c>
      <c r="B395">
        <v>2603</v>
      </c>
      <c r="C395">
        <v>2586</v>
      </c>
      <c r="D395">
        <v>1855</v>
      </c>
      <c r="E395">
        <v>1872</v>
      </c>
      <c r="F395">
        <v>1.3814102564102499</v>
      </c>
      <c r="G395">
        <v>1.5201513217196501</v>
      </c>
      <c r="H395">
        <v>8.3804975318918701E-2</v>
      </c>
      <c r="I395">
        <v>-1.65552301377598</v>
      </c>
      <c r="J395">
        <v>-10.039999999999999</v>
      </c>
      <c r="L395">
        <v>1.6039562970385688</v>
      </c>
      <c r="M395">
        <v>1.4363463464007313</v>
      </c>
      <c r="N395">
        <v>1.6877612723574875</v>
      </c>
      <c r="O395">
        <v>1.3525413710818126</v>
      </c>
    </row>
    <row r="396" spans="1:15">
      <c r="A396" s="19">
        <v>43258</v>
      </c>
      <c r="B396">
        <v>2580</v>
      </c>
      <c r="C396">
        <v>2613</v>
      </c>
      <c r="D396">
        <v>1875</v>
      </c>
      <c r="E396">
        <v>1867</v>
      </c>
      <c r="F396">
        <v>1.3995715050883699</v>
      </c>
      <c r="G396">
        <v>1.5209009617976501</v>
      </c>
      <c r="H396">
        <v>8.2806082025467298E-2</v>
      </c>
      <c r="I396">
        <v>-1.4652239756007299</v>
      </c>
      <c r="J396">
        <v>-8.67</v>
      </c>
      <c r="L396">
        <v>1.6037070438231174</v>
      </c>
      <c r="M396">
        <v>1.4380948797721829</v>
      </c>
      <c r="N396">
        <v>1.6865131258485846</v>
      </c>
      <c r="O396">
        <v>1.3552887977467156</v>
      </c>
    </row>
    <row r="397" spans="1:15">
      <c r="A397" s="19">
        <v>43257</v>
      </c>
      <c r="B397">
        <v>2588</v>
      </c>
      <c r="C397">
        <v>2581</v>
      </c>
      <c r="D397">
        <v>1882</v>
      </c>
      <c r="E397">
        <v>1876</v>
      </c>
      <c r="F397">
        <v>1.37579957356076</v>
      </c>
      <c r="G397">
        <v>1.52128555366956</v>
      </c>
      <c r="H397">
        <v>8.2307156322207503E-2</v>
      </c>
      <c r="I397">
        <v>-1.7675981847710001</v>
      </c>
      <c r="J397">
        <v>-10.57</v>
      </c>
      <c r="L397">
        <v>1.6035927099917675</v>
      </c>
      <c r="M397">
        <v>1.4389783973473524</v>
      </c>
      <c r="N397">
        <v>1.685899866313975</v>
      </c>
      <c r="O397">
        <v>1.3566712410251449</v>
      </c>
    </row>
    <row r="398" spans="1:15">
      <c r="A398" s="19">
        <v>43256</v>
      </c>
      <c r="B398">
        <v>2535</v>
      </c>
      <c r="C398">
        <v>2597</v>
      </c>
      <c r="D398">
        <v>1883</v>
      </c>
      <c r="E398">
        <v>1880</v>
      </c>
      <c r="F398">
        <v>1.3813829787234</v>
      </c>
      <c r="G398">
        <v>1.5222667354770301</v>
      </c>
      <c r="H398">
        <v>8.0995139982022499E-2</v>
      </c>
      <c r="I398">
        <v>-1.73941000392003</v>
      </c>
      <c r="J398">
        <v>-10.199999999999999</v>
      </c>
      <c r="L398">
        <v>1.6032618754590526</v>
      </c>
      <c r="M398">
        <v>1.4412715954950075</v>
      </c>
      <c r="N398">
        <v>1.684257015441075</v>
      </c>
      <c r="O398">
        <v>1.3602764555129851</v>
      </c>
    </row>
    <row r="399" spans="1:15">
      <c r="A399" s="19">
        <v>43255</v>
      </c>
      <c r="B399">
        <v>2502</v>
      </c>
      <c r="C399">
        <v>2535</v>
      </c>
      <c r="D399">
        <v>1842</v>
      </c>
      <c r="E399">
        <v>1875</v>
      </c>
      <c r="F399">
        <v>1.3520000000000001</v>
      </c>
      <c r="G399">
        <v>1.5229640543371299</v>
      </c>
      <c r="H399">
        <v>7.9998210387684399E-2</v>
      </c>
      <c r="I399">
        <v>-2.1370984864363098</v>
      </c>
      <c r="J399">
        <v>-12.65</v>
      </c>
      <c r="L399">
        <v>1.6029622647248143</v>
      </c>
      <c r="M399">
        <v>1.4429658439494455</v>
      </c>
      <c r="N399">
        <v>1.6829604751124987</v>
      </c>
      <c r="O399">
        <v>1.3629676335617611</v>
      </c>
    </row>
    <row r="400" spans="1:15">
      <c r="A400" s="19">
        <v>43252</v>
      </c>
      <c r="B400">
        <v>2450</v>
      </c>
      <c r="C400">
        <v>2502</v>
      </c>
      <c r="D400">
        <v>1819</v>
      </c>
      <c r="E400">
        <v>1827</v>
      </c>
      <c r="F400">
        <v>1.3694581280788101</v>
      </c>
      <c r="G400">
        <v>1.52456335026672</v>
      </c>
      <c r="H400">
        <v>7.7731221176735504E-2</v>
      </c>
      <c r="I400">
        <v>-1.99540441845433</v>
      </c>
      <c r="J400">
        <v>-11.33</v>
      </c>
      <c r="L400">
        <v>1.6022945714434556</v>
      </c>
      <c r="M400">
        <v>1.4468321290899844</v>
      </c>
      <c r="N400">
        <v>1.6800257926201909</v>
      </c>
      <c r="O400">
        <v>1.369100907913249</v>
      </c>
    </row>
    <row r="401" spans="1:15">
      <c r="A401" s="19">
        <v>43251</v>
      </c>
      <c r="B401">
        <v>2466</v>
      </c>
      <c r="C401">
        <v>2484</v>
      </c>
      <c r="D401">
        <v>1791</v>
      </c>
      <c r="E401">
        <v>1818</v>
      </c>
      <c r="F401">
        <v>1.36633663366336</v>
      </c>
      <c r="G401">
        <v>1.52584887063918</v>
      </c>
      <c r="H401">
        <v>7.5931880880858005E-2</v>
      </c>
      <c r="I401">
        <v>-2.10072811479675</v>
      </c>
      <c r="J401">
        <v>-11.67</v>
      </c>
      <c r="L401">
        <v>1.601780751520038</v>
      </c>
      <c r="M401">
        <v>1.449916989758322</v>
      </c>
      <c r="N401">
        <v>1.677712632400896</v>
      </c>
      <c r="O401">
        <v>1.3739851088774639</v>
      </c>
    </row>
    <row r="402" spans="1:15">
      <c r="A402" s="19">
        <v>43250</v>
      </c>
      <c r="B402">
        <v>2489</v>
      </c>
      <c r="C402">
        <v>2466</v>
      </c>
      <c r="D402">
        <v>1787</v>
      </c>
      <c r="E402">
        <v>1797</v>
      </c>
      <c r="F402">
        <v>1.37228714524207</v>
      </c>
      <c r="G402">
        <v>1.5268565130479801</v>
      </c>
      <c r="H402">
        <v>7.42921485978323E-2</v>
      </c>
      <c r="I402">
        <v>-2.08056128034</v>
      </c>
      <c r="J402">
        <v>-11.26</v>
      </c>
      <c r="L402">
        <v>1.6011486616458124</v>
      </c>
      <c r="M402">
        <v>1.4525643644501478</v>
      </c>
      <c r="N402">
        <v>1.6754408102436447</v>
      </c>
      <c r="O402">
        <v>1.3782722158523155</v>
      </c>
    </row>
    <row r="403" spans="1:15">
      <c r="A403" s="19">
        <v>43249</v>
      </c>
      <c r="B403">
        <v>2531</v>
      </c>
      <c r="C403">
        <v>2513</v>
      </c>
      <c r="D403">
        <v>1817</v>
      </c>
      <c r="E403">
        <v>1815</v>
      </c>
      <c r="F403">
        <v>1.38457300275482</v>
      </c>
      <c r="G403">
        <v>1.5278344044163199</v>
      </c>
      <c r="H403">
        <v>7.2717146088111806E-2</v>
      </c>
      <c r="I403">
        <v>-1.9701185946972799</v>
      </c>
      <c r="J403">
        <v>-10.35</v>
      </c>
      <c r="L403">
        <v>1.6005515505044317</v>
      </c>
      <c r="M403">
        <v>1.4551172583282082</v>
      </c>
      <c r="N403">
        <v>1.6732686965925434</v>
      </c>
      <c r="O403">
        <v>1.3824001122400964</v>
      </c>
    </row>
    <row r="404" spans="1:15">
      <c r="A404" s="19">
        <v>43248</v>
      </c>
      <c r="B404">
        <v>2555</v>
      </c>
      <c r="C404">
        <v>2533</v>
      </c>
      <c r="D404">
        <v>1815</v>
      </c>
      <c r="E404">
        <v>1823</v>
      </c>
      <c r="F404">
        <v>1.38946791003839</v>
      </c>
      <c r="G404">
        <v>1.5287113669641199</v>
      </c>
      <c r="H404">
        <v>7.1368229994538304E-2</v>
      </c>
      <c r="I404">
        <v>-1.9510566107129801</v>
      </c>
      <c r="J404">
        <v>-10.02</v>
      </c>
      <c r="L404">
        <v>1.6000795969586583</v>
      </c>
      <c r="M404">
        <v>1.4573431369695815</v>
      </c>
      <c r="N404">
        <v>1.6714478269531965</v>
      </c>
      <c r="O404">
        <v>1.3859749069750433</v>
      </c>
    </row>
    <row r="405" spans="1:15">
      <c r="A405" s="19">
        <v>43245</v>
      </c>
      <c r="B405">
        <v>2521</v>
      </c>
      <c r="C405">
        <v>2531</v>
      </c>
      <c r="D405">
        <v>1797</v>
      </c>
      <c r="E405">
        <v>1803</v>
      </c>
      <c r="F405">
        <v>1.4037714919578399</v>
      </c>
      <c r="G405">
        <v>1.5295440386435999</v>
      </c>
      <c r="H405">
        <v>7.0091678561681095E-2</v>
      </c>
      <c r="I405">
        <v>-1.79440055177266</v>
      </c>
      <c r="J405">
        <v>-8.9600000000000009</v>
      </c>
      <c r="L405">
        <v>1.5996357172052811</v>
      </c>
      <c r="M405">
        <v>1.4594523600819187</v>
      </c>
      <c r="N405">
        <v>1.6697273957669621</v>
      </c>
      <c r="O405">
        <v>1.3893606815202377</v>
      </c>
    </row>
    <row r="406" spans="1:15">
      <c r="A406" s="19">
        <v>43244</v>
      </c>
      <c r="B406">
        <v>2538</v>
      </c>
      <c r="C406">
        <v>2519</v>
      </c>
      <c r="D406">
        <v>1807</v>
      </c>
      <c r="E406">
        <v>1800</v>
      </c>
      <c r="F406">
        <v>1.39944444444444</v>
      </c>
      <c r="G406">
        <v>1.5304061358335499</v>
      </c>
      <c r="H406">
        <v>6.8927387454166406E-2</v>
      </c>
      <c r="I406">
        <v>-1.8999949980142501</v>
      </c>
      <c r="J406">
        <v>-9.36</v>
      </c>
      <c r="L406">
        <v>1.5993335232877164</v>
      </c>
      <c r="M406">
        <v>1.4614787483793834</v>
      </c>
      <c r="N406">
        <v>1.6682609107418827</v>
      </c>
      <c r="O406">
        <v>1.3925513609252171</v>
      </c>
    </row>
    <row r="407" spans="1:15">
      <c r="A407" s="19">
        <v>43243</v>
      </c>
      <c r="B407">
        <v>2568</v>
      </c>
      <c r="C407">
        <v>2516</v>
      </c>
      <c r="D407">
        <v>1814</v>
      </c>
      <c r="E407">
        <v>1813</v>
      </c>
      <c r="F407">
        <v>1.3877551020408101</v>
      </c>
      <c r="G407">
        <v>1.53138312315404</v>
      </c>
      <c r="H407">
        <v>6.7570128236875096E-2</v>
      </c>
      <c r="I407">
        <v>-2.1256141561508102</v>
      </c>
      <c r="J407">
        <v>-10.35</v>
      </c>
      <c r="L407">
        <v>1.598953251390915</v>
      </c>
      <c r="M407">
        <v>1.463812994917165</v>
      </c>
      <c r="N407">
        <v>1.6665233796277903</v>
      </c>
      <c r="O407">
        <v>1.3962428666802897</v>
      </c>
    </row>
    <row r="408" spans="1:15">
      <c r="A408" s="19">
        <v>43242</v>
      </c>
      <c r="B408">
        <v>2560</v>
      </c>
      <c r="C408">
        <v>2568</v>
      </c>
      <c r="D408">
        <v>1832</v>
      </c>
      <c r="E408">
        <v>1829</v>
      </c>
      <c r="F408">
        <v>1.40404592673592</v>
      </c>
      <c r="G408">
        <v>1.5322170312699701</v>
      </c>
      <c r="H408">
        <v>6.6163712775020006E-2</v>
      </c>
      <c r="I408">
        <v>-1.9371812608201</v>
      </c>
      <c r="J408">
        <v>-9.1300000000000008</v>
      </c>
      <c r="L408">
        <v>1.5983807440449902</v>
      </c>
      <c r="M408">
        <v>1.46605331849495</v>
      </c>
      <c r="N408">
        <v>1.6645444568200101</v>
      </c>
      <c r="O408">
        <v>1.3998896057199302</v>
      </c>
    </row>
    <row r="409" spans="1:15">
      <c r="A409" s="19">
        <v>43241</v>
      </c>
      <c r="B409">
        <v>2600</v>
      </c>
      <c r="C409">
        <v>2600</v>
      </c>
      <c r="D409">
        <v>1808</v>
      </c>
      <c r="E409">
        <v>1822</v>
      </c>
      <c r="F409">
        <v>1.42700329308452</v>
      </c>
      <c r="G409">
        <v>1.5336762390933101</v>
      </c>
      <c r="H409">
        <v>6.4506957796476597E-2</v>
      </c>
      <c r="I409">
        <v>-1.65366573859137</v>
      </c>
      <c r="J409">
        <v>-7.48</v>
      </c>
      <c r="L409">
        <v>1.5981831968897866</v>
      </c>
      <c r="M409">
        <v>1.4691692812968336</v>
      </c>
      <c r="N409">
        <v>1.6626901546862634</v>
      </c>
      <c r="O409">
        <v>1.4046623235003568</v>
      </c>
    </row>
    <row r="410" spans="1:15">
      <c r="A410" s="19">
        <v>43238</v>
      </c>
      <c r="B410">
        <v>2645</v>
      </c>
      <c r="C410">
        <v>2614</v>
      </c>
      <c r="D410">
        <v>1814</v>
      </c>
      <c r="E410">
        <v>1812</v>
      </c>
      <c r="F410">
        <v>1.4426048565121401</v>
      </c>
      <c r="G410">
        <v>1.53369251310928</v>
      </c>
      <c r="H410">
        <v>6.4480192370438602E-2</v>
      </c>
      <c r="I410">
        <v>-1.41264554661756</v>
      </c>
      <c r="J410">
        <v>-6.31</v>
      </c>
      <c r="L410">
        <v>1.5981727054797186</v>
      </c>
      <c r="M410">
        <v>1.4692123207388414</v>
      </c>
      <c r="N410">
        <v>1.6626528978501571</v>
      </c>
      <c r="O410">
        <v>1.4047321283684029</v>
      </c>
    </row>
    <row r="411" spans="1:15">
      <c r="A411" s="19">
        <v>43237</v>
      </c>
      <c r="B411">
        <v>2665</v>
      </c>
      <c r="C411">
        <v>2660</v>
      </c>
      <c r="D411">
        <v>1791</v>
      </c>
      <c r="E411">
        <v>1799</v>
      </c>
      <c r="F411">
        <v>1.47859922178988</v>
      </c>
      <c r="G411">
        <v>1.53343779767633</v>
      </c>
      <c r="H411">
        <v>6.4876029381691902E-2</v>
      </c>
      <c r="I411">
        <v>-0.84528255519172801</v>
      </c>
      <c r="J411">
        <v>-3.71</v>
      </c>
      <c r="L411">
        <v>1.5983138270580219</v>
      </c>
      <c r="M411">
        <v>1.4685617682946381</v>
      </c>
      <c r="N411">
        <v>1.6631898564397138</v>
      </c>
      <c r="O411">
        <v>1.4036857389129462</v>
      </c>
    </row>
    <row r="412" spans="1:15">
      <c r="A412" s="19">
        <v>43236</v>
      </c>
      <c r="B412">
        <v>2705</v>
      </c>
      <c r="C412">
        <v>2681</v>
      </c>
      <c r="D412">
        <v>1804</v>
      </c>
      <c r="E412">
        <v>1803</v>
      </c>
      <c r="F412">
        <v>1.4869661674986101</v>
      </c>
      <c r="G412">
        <v>1.5331716174380501</v>
      </c>
      <c r="H412">
        <v>6.5140894380963293E-2</v>
      </c>
      <c r="I412">
        <v>-0.70931555942745805</v>
      </c>
      <c r="J412">
        <v>-3.11</v>
      </c>
      <c r="L412">
        <v>1.5983125118190133</v>
      </c>
      <c r="M412">
        <v>1.4680307230570868</v>
      </c>
      <c r="N412">
        <v>1.6634534061999766</v>
      </c>
      <c r="O412">
        <v>1.4028898286761236</v>
      </c>
    </row>
    <row r="413" spans="1:15">
      <c r="A413" s="19">
        <v>43235</v>
      </c>
      <c r="B413">
        <v>2739</v>
      </c>
      <c r="C413">
        <v>2704</v>
      </c>
      <c r="D413">
        <v>1837</v>
      </c>
      <c r="E413">
        <v>1820</v>
      </c>
      <c r="F413">
        <v>1.48571428571428</v>
      </c>
      <c r="G413">
        <v>1.53252523273146</v>
      </c>
      <c r="H413">
        <v>6.5833025823934799E-2</v>
      </c>
      <c r="I413">
        <v>-0.71105568111619399</v>
      </c>
      <c r="J413">
        <v>-3.15</v>
      </c>
      <c r="L413">
        <v>1.5983582585553948</v>
      </c>
      <c r="M413">
        <v>1.4666922069075252</v>
      </c>
      <c r="N413">
        <v>1.6641912843793296</v>
      </c>
      <c r="O413">
        <v>1.4008591810835904</v>
      </c>
    </row>
    <row r="414" spans="1:15">
      <c r="A414" s="19">
        <v>43234</v>
      </c>
      <c r="B414">
        <v>2750</v>
      </c>
      <c r="C414">
        <v>2739</v>
      </c>
      <c r="D414">
        <v>1845</v>
      </c>
      <c r="E414">
        <v>1835</v>
      </c>
      <c r="F414">
        <v>1.49264305177111</v>
      </c>
      <c r="G414">
        <v>1.5320974164343499</v>
      </c>
      <c r="H414">
        <v>6.6238842405272003E-2</v>
      </c>
      <c r="I414">
        <v>-0.59563789508641196</v>
      </c>
      <c r="J414">
        <v>-2.64</v>
      </c>
      <c r="L414">
        <v>1.5983362588396219</v>
      </c>
      <c r="M414">
        <v>1.4658585740290779</v>
      </c>
      <c r="N414">
        <v>1.6645751012448939</v>
      </c>
      <c r="O414">
        <v>1.3996197316238059</v>
      </c>
    </row>
    <row r="415" spans="1:15">
      <c r="A415" s="19">
        <v>43231</v>
      </c>
      <c r="B415">
        <v>2755</v>
      </c>
      <c r="C415">
        <v>2758</v>
      </c>
      <c r="D415">
        <v>1843</v>
      </c>
      <c r="E415">
        <v>1858</v>
      </c>
      <c r="F415">
        <v>1.48439181916038</v>
      </c>
      <c r="G415">
        <v>1.5312864181683099</v>
      </c>
      <c r="H415">
        <v>6.7083904416230494E-2</v>
      </c>
      <c r="I415">
        <v>-0.69904397211235603</v>
      </c>
      <c r="J415">
        <v>-3.16</v>
      </c>
      <c r="L415">
        <v>1.5983703225845405</v>
      </c>
      <c r="M415">
        <v>1.4642025137520793</v>
      </c>
      <c r="N415">
        <v>1.6654542270007708</v>
      </c>
      <c r="O415">
        <v>1.397118609335849</v>
      </c>
    </row>
    <row r="416" spans="1:15">
      <c r="A416" s="19">
        <v>43230</v>
      </c>
      <c r="B416">
        <v>2758</v>
      </c>
      <c r="C416">
        <v>2755</v>
      </c>
      <c r="D416">
        <v>1832</v>
      </c>
      <c r="E416">
        <v>1852</v>
      </c>
      <c r="F416">
        <v>1.48758099352051</v>
      </c>
      <c r="G416">
        <v>1.5307738065254499</v>
      </c>
      <c r="H416">
        <v>6.7585299423295594E-2</v>
      </c>
      <c r="I416">
        <v>-0.63908591621996003</v>
      </c>
      <c r="J416">
        <v>-2.9</v>
      </c>
      <c r="L416">
        <v>1.5983591059487454</v>
      </c>
      <c r="M416">
        <v>1.4631885071021544</v>
      </c>
      <c r="N416">
        <v>1.6659444053720411</v>
      </c>
      <c r="O416">
        <v>1.3956032076788587</v>
      </c>
    </row>
    <row r="417" spans="1:15">
      <c r="A417" s="19">
        <v>43229</v>
      </c>
      <c r="B417">
        <v>2744</v>
      </c>
      <c r="C417">
        <v>2762</v>
      </c>
      <c r="D417">
        <v>1912</v>
      </c>
      <c r="E417">
        <v>1835</v>
      </c>
      <c r="F417">
        <v>1.5051771117166199</v>
      </c>
      <c r="G417">
        <v>1.52993553227465</v>
      </c>
      <c r="H417">
        <v>6.8499544664961998E-2</v>
      </c>
      <c r="I417">
        <v>-0.36143919903597799</v>
      </c>
      <c r="J417">
        <v>-1.64</v>
      </c>
      <c r="L417">
        <v>1.5984350769396118</v>
      </c>
      <c r="M417">
        <v>1.4614359876096881</v>
      </c>
      <c r="N417">
        <v>1.666934621604574</v>
      </c>
      <c r="O417">
        <v>1.392936442944726</v>
      </c>
    </row>
    <row r="418" spans="1:15">
      <c r="A418" s="19">
        <v>43228</v>
      </c>
      <c r="B418">
        <v>2717</v>
      </c>
      <c r="C418">
        <v>2752</v>
      </c>
      <c r="D418">
        <v>1907</v>
      </c>
      <c r="E418">
        <v>1911</v>
      </c>
      <c r="F418">
        <v>1.4400837257980099</v>
      </c>
      <c r="G418">
        <v>1.5287297025769999</v>
      </c>
      <c r="H418">
        <v>6.9710073634148995E-2</v>
      </c>
      <c r="I418">
        <v>-1.27163797364818</v>
      </c>
      <c r="J418">
        <v>-6.16</v>
      </c>
      <c r="L418">
        <v>1.5984397762111489</v>
      </c>
      <c r="M418">
        <v>1.459019628942851</v>
      </c>
      <c r="N418">
        <v>1.6681498498452978</v>
      </c>
      <c r="O418">
        <v>1.389309555308702</v>
      </c>
    </row>
    <row r="419" spans="1:15">
      <c r="A419" s="19">
        <v>43227</v>
      </c>
      <c r="B419">
        <v>2763</v>
      </c>
      <c r="C419">
        <v>2715</v>
      </c>
      <c r="D419">
        <v>1892</v>
      </c>
      <c r="E419">
        <v>1917</v>
      </c>
      <c r="F419">
        <v>1.4162754303599301</v>
      </c>
      <c r="G419">
        <v>1.52834686939914</v>
      </c>
      <c r="H419">
        <v>7.0272420905945002E-2</v>
      </c>
      <c r="I419">
        <v>-1.59481397672645</v>
      </c>
      <c r="J419">
        <v>-7.91</v>
      </c>
      <c r="L419">
        <v>1.5986192903050851</v>
      </c>
      <c r="M419">
        <v>1.4580744484931949</v>
      </c>
      <c r="N419">
        <v>1.66889171121103</v>
      </c>
      <c r="O419">
        <v>1.38780202758725</v>
      </c>
    </row>
    <row r="420" spans="1:15">
      <c r="A420" s="19">
        <v>43222</v>
      </c>
      <c r="B420">
        <v>2782</v>
      </c>
      <c r="C420">
        <v>2795</v>
      </c>
      <c r="D420">
        <v>1869</v>
      </c>
      <c r="E420">
        <v>1882</v>
      </c>
      <c r="F420">
        <v>1.4851222104144499</v>
      </c>
      <c r="G420">
        <v>1.5288310692654401</v>
      </c>
      <c r="H420">
        <v>6.9620632374057301E-2</v>
      </c>
      <c r="I420">
        <v>-0.62781473480663497</v>
      </c>
      <c r="J420">
        <v>-2.94</v>
      </c>
      <c r="L420">
        <v>1.5984517016394975</v>
      </c>
      <c r="M420">
        <v>1.4592104368913827</v>
      </c>
      <c r="N420">
        <v>1.6680723340135546</v>
      </c>
      <c r="O420">
        <v>1.3895898045173256</v>
      </c>
    </row>
    <row r="421" spans="1:15">
      <c r="A421" s="19">
        <v>43221</v>
      </c>
      <c r="B421">
        <v>2863</v>
      </c>
      <c r="C421">
        <v>2795</v>
      </c>
      <c r="D421">
        <v>1883</v>
      </c>
      <c r="E421">
        <v>1847</v>
      </c>
      <c r="F421">
        <v>1.51326475365457</v>
      </c>
      <c r="G421">
        <v>1.5288420234612501</v>
      </c>
      <c r="H421">
        <v>6.9613818606311703E-2</v>
      </c>
      <c r="I421">
        <v>-0.223766920398</v>
      </c>
      <c r="J421">
        <v>-1.03</v>
      </c>
      <c r="L421">
        <v>1.5984558420675619</v>
      </c>
      <c r="M421">
        <v>1.4592282048549383</v>
      </c>
      <c r="N421">
        <v>1.6680696606738734</v>
      </c>
      <c r="O421">
        <v>1.3896143862486268</v>
      </c>
    </row>
    <row r="422" spans="1:15">
      <c r="A422" s="19">
        <v>43217</v>
      </c>
      <c r="B422">
        <v>2903</v>
      </c>
      <c r="C422">
        <v>2867</v>
      </c>
      <c r="D422">
        <v>1792</v>
      </c>
      <c r="E422">
        <v>1882</v>
      </c>
      <c r="F422">
        <v>1.52337938363443</v>
      </c>
      <c r="G422">
        <v>1.52852682015824</v>
      </c>
      <c r="H422">
        <v>6.9737048157971507E-2</v>
      </c>
      <c r="I422">
        <v>-7.3812079228721003E-2</v>
      </c>
      <c r="J422">
        <v>-0.34</v>
      </c>
      <c r="L422">
        <v>1.5982638683162116</v>
      </c>
      <c r="M422">
        <v>1.4587897720002685</v>
      </c>
      <c r="N422">
        <v>1.6680009164741831</v>
      </c>
      <c r="O422">
        <v>1.3890527238422969</v>
      </c>
    </row>
    <row r="423" spans="1:15">
      <c r="A423" s="19">
        <v>43216</v>
      </c>
      <c r="B423">
        <v>2909</v>
      </c>
      <c r="C423">
        <v>2892</v>
      </c>
      <c r="D423">
        <v>1768</v>
      </c>
      <c r="E423">
        <v>1778</v>
      </c>
      <c r="F423">
        <v>1.62654668166479</v>
      </c>
      <c r="G423">
        <v>1.5279989686923201</v>
      </c>
      <c r="H423">
        <v>6.9923590155268403E-2</v>
      </c>
      <c r="I423">
        <v>1.40936288817026</v>
      </c>
      <c r="J423">
        <v>6.06</v>
      </c>
      <c r="L423">
        <v>1.5979225588475885</v>
      </c>
      <c r="M423">
        <v>1.4580753785370517</v>
      </c>
      <c r="N423">
        <v>1.6678461490028569</v>
      </c>
      <c r="O423">
        <v>1.3881517883817833</v>
      </c>
    </row>
    <row r="424" spans="1:15">
      <c r="A424" s="19">
        <v>43215</v>
      </c>
      <c r="B424">
        <v>2911</v>
      </c>
      <c r="C424">
        <v>2950</v>
      </c>
      <c r="D424">
        <v>1770</v>
      </c>
      <c r="E424">
        <v>1765</v>
      </c>
      <c r="F424">
        <v>1.6713881019829999</v>
      </c>
      <c r="G424">
        <v>1.52608801076687</v>
      </c>
      <c r="H424">
        <v>6.9158496572676503E-2</v>
      </c>
      <c r="I424">
        <v>2.1009723810787899</v>
      </c>
      <c r="J424">
        <v>8.69</v>
      </c>
      <c r="L424">
        <v>1.5952465073395465</v>
      </c>
      <c r="M424">
        <v>1.4569295141941934</v>
      </c>
      <c r="N424">
        <v>1.6644050039122229</v>
      </c>
      <c r="O424">
        <v>1.387771017621517</v>
      </c>
    </row>
    <row r="425" spans="1:15">
      <c r="A425" s="19">
        <v>43214</v>
      </c>
      <c r="B425">
        <v>2890</v>
      </c>
      <c r="C425">
        <v>2919</v>
      </c>
      <c r="D425">
        <v>1769</v>
      </c>
      <c r="E425">
        <v>1788</v>
      </c>
      <c r="F425">
        <v>1.63255033557046</v>
      </c>
      <c r="G425">
        <v>1.52418817281716</v>
      </c>
      <c r="H425">
        <v>6.7066376276172499E-2</v>
      </c>
      <c r="I425">
        <v>1.61574500919927</v>
      </c>
      <c r="J425">
        <v>6.64</v>
      </c>
      <c r="L425">
        <v>1.5912545490933325</v>
      </c>
      <c r="M425">
        <v>1.4571217965409875</v>
      </c>
      <c r="N425">
        <v>1.658320925369505</v>
      </c>
      <c r="O425">
        <v>1.390055420264815</v>
      </c>
    </row>
    <row r="426" spans="1:15">
      <c r="A426" s="19">
        <v>43213</v>
      </c>
      <c r="B426">
        <v>2849</v>
      </c>
      <c r="C426">
        <v>2853</v>
      </c>
      <c r="D426">
        <v>1783</v>
      </c>
      <c r="E426">
        <v>1766</v>
      </c>
      <c r="F426">
        <v>1.61551528878822</v>
      </c>
      <c r="G426">
        <v>1.5228957873409801</v>
      </c>
      <c r="H426">
        <v>6.5889352041180002E-2</v>
      </c>
      <c r="I426">
        <v>1.40568238384484</v>
      </c>
      <c r="J426">
        <v>5.73</v>
      </c>
      <c r="L426">
        <v>1.5887851393821601</v>
      </c>
      <c r="M426">
        <v>1.4570064352998</v>
      </c>
      <c r="N426">
        <v>1.65467449142334</v>
      </c>
      <c r="O426">
        <v>1.3911170832586202</v>
      </c>
    </row>
    <row r="427" spans="1:15">
      <c r="A427" s="19">
        <v>43210</v>
      </c>
      <c r="B427">
        <v>2881</v>
      </c>
      <c r="C427">
        <v>2860</v>
      </c>
      <c r="D427">
        <v>1776</v>
      </c>
      <c r="E427">
        <v>1779</v>
      </c>
      <c r="F427">
        <v>1.6076447442383299</v>
      </c>
      <c r="G427">
        <v>1.52219550617541</v>
      </c>
      <c r="H427">
        <v>6.5176502377419399E-2</v>
      </c>
      <c r="I427">
        <v>1.3110436268596799</v>
      </c>
      <c r="J427">
        <v>5.32</v>
      </c>
      <c r="L427">
        <v>1.5873720085528293</v>
      </c>
      <c r="M427">
        <v>1.4570190037979907</v>
      </c>
      <c r="N427">
        <v>1.6525485109302487</v>
      </c>
      <c r="O427">
        <v>1.3918425014205713</v>
      </c>
    </row>
    <row r="428" spans="1:15">
      <c r="A428" s="19">
        <v>43209</v>
      </c>
      <c r="B428">
        <v>2834</v>
      </c>
      <c r="C428">
        <v>2886</v>
      </c>
      <c r="D428">
        <v>1792</v>
      </c>
      <c r="E428">
        <v>1783</v>
      </c>
      <c r="F428">
        <v>1.6186203028603401</v>
      </c>
      <c r="G428">
        <v>1.52125432781799</v>
      </c>
      <c r="H428">
        <v>6.4441298488961296E-2</v>
      </c>
      <c r="I428">
        <v>1.5109250950153701</v>
      </c>
      <c r="J428">
        <v>6.02</v>
      </c>
      <c r="L428">
        <v>1.5856956263069513</v>
      </c>
      <c r="M428">
        <v>1.4568130293290287</v>
      </c>
      <c r="N428">
        <v>1.6501369247959126</v>
      </c>
      <c r="O428">
        <v>1.3923717308400674</v>
      </c>
    </row>
    <row r="429" spans="1:15">
      <c r="A429" s="19">
        <v>43208</v>
      </c>
      <c r="B429">
        <v>2827</v>
      </c>
      <c r="C429">
        <v>2834</v>
      </c>
      <c r="D429">
        <v>1777</v>
      </c>
      <c r="E429">
        <v>1784</v>
      </c>
      <c r="F429">
        <v>1.58856502242152</v>
      </c>
      <c r="G429">
        <v>1.5201919345794399</v>
      </c>
      <c r="H429">
        <v>6.3476935330473203E-2</v>
      </c>
      <c r="I429">
        <v>1.0771327803731301</v>
      </c>
      <c r="J429">
        <v>4.3</v>
      </c>
      <c r="L429">
        <v>1.5836688699099131</v>
      </c>
      <c r="M429">
        <v>1.4567149992489667</v>
      </c>
      <c r="N429">
        <v>1.6471458052403862</v>
      </c>
      <c r="O429">
        <v>1.3932380639184936</v>
      </c>
    </row>
    <row r="430" spans="1:15">
      <c r="A430" s="19">
        <v>43207</v>
      </c>
      <c r="B430">
        <v>2806</v>
      </c>
      <c r="C430">
        <v>2813</v>
      </c>
      <c r="D430">
        <v>1777</v>
      </c>
      <c r="E430">
        <v>1767</v>
      </c>
      <c r="F430">
        <v>1.5919637804187801</v>
      </c>
      <c r="G430">
        <v>1.5195057917100001</v>
      </c>
      <c r="H430">
        <v>6.3010574639016506E-2</v>
      </c>
      <c r="I430">
        <v>1.14993378689042</v>
      </c>
      <c r="J430">
        <v>4.55</v>
      </c>
      <c r="L430">
        <v>1.5825163663490167</v>
      </c>
      <c r="M430">
        <v>1.4564952170709835</v>
      </c>
      <c r="N430">
        <v>1.6455269409880331</v>
      </c>
      <c r="O430">
        <v>1.3934846424319671</v>
      </c>
    </row>
    <row r="431" spans="1:15">
      <c r="A431" s="19">
        <v>43206</v>
      </c>
      <c r="B431">
        <v>2800</v>
      </c>
      <c r="C431">
        <v>2821</v>
      </c>
      <c r="D431">
        <v>1744</v>
      </c>
      <c r="E431">
        <v>1778</v>
      </c>
      <c r="F431">
        <v>1.5866141732283401</v>
      </c>
      <c r="G431">
        <v>1.5187594974929199</v>
      </c>
      <c r="H431">
        <v>6.2477173709723E-2</v>
      </c>
      <c r="I431">
        <v>1.0860714674880301</v>
      </c>
      <c r="J431">
        <v>4.28</v>
      </c>
      <c r="L431">
        <v>1.5812366712026429</v>
      </c>
      <c r="M431">
        <v>1.456282323783197</v>
      </c>
      <c r="N431">
        <v>1.6437138449123658</v>
      </c>
      <c r="O431">
        <v>1.3938051500734741</v>
      </c>
    </row>
    <row r="432" spans="1:15">
      <c r="A432" s="19">
        <v>43203</v>
      </c>
      <c r="B432">
        <v>2798</v>
      </c>
      <c r="C432">
        <v>2768</v>
      </c>
      <c r="D432">
        <v>1763</v>
      </c>
      <c r="E432">
        <v>1748</v>
      </c>
      <c r="F432">
        <v>1.58352402745995</v>
      </c>
      <c r="G432">
        <v>1.5178855599725201</v>
      </c>
      <c r="H432">
        <v>6.1978338821422403E-2</v>
      </c>
      <c r="I432">
        <v>1.0590549655832899</v>
      </c>
      <c r="J432">
        <v>4.1500000000000004</v>
      </c>
      <c r="L432">
        <v>1.5798638987939424</v>
      </c>
      <c r="M432">
        <v>1.4559072211510977</v>
      </c>
      <c r="N432">
        <v>1.641842237615365</v>
      </c>
      <c r="O432">
        <v>1.3939288823296752</v>
      </c>
    </row>
    <row r="433" spans="1:15">
      <c r="A433" s="19">
        <v>43202</v>
      </c>
      <c r="B433">
        <v>2800</v>
      </c>
      <c r="C433">
        <v>2788</v>
      </c>
      <c r="D433">
        <v>1765</v>
      </c>
      <c r="E433">
        <v>1757</v>
      </c>
      <c r="F433">
        <v>1.58679567444507</v>
      </c>
      <c r="G433">
        <v>1.51651377514244</v>
      </c>
      <c r="H433">
        <v>6.1648061632203301E-2</v>
      </c>
      <c r="I433">
        <v>1.1400504321115701</v>
      </c>
      <c r="J433">
        <v>4.43</v>
      </c>
      <c r="L433">
        <v>1.5781618367746433</v>
      </c>
      <c r="M433">
        <v>1.4548657135102367</v>
      </c>
      <c r="N433">
        <v>1.6398098984068465</v>
      </c>
      <c r="O433">
        <v>1.3932176518780335</v>
      </c>
    </row>
    <row r="434" spans="1:15">
      <c r="A434" s="19">
        <v>43201</v>
      </c>
      <c r="B434">
        <v>2816</v>
      </c>
      <c r="C434">
        <v>2766</v>
      </c>
      <c r="D434">
        <v>1774</v>
      </c>
      <c r="E434">
        <v>1752</v>
      </c>
      <c r="F434">
        <v>1.5787671232876701</v>
      </c>
      <c r="G434">
        <v>1.5150720735379699</v>
      </c>
      <c r="H434">
        <v>6.1250646602598303E-2</v>
      </c>
      <c r="I434">
        <v>1.0399082015077099</v>
      </c>
      <c r="J434">
        <v>4.03</v>
      </c>
      <c r="L434">
        <v>1.5763227201405683</v>
      </c>
      <c r="M434">
        <v>1.4538214269353715</v>
      </c>
      <c r="N434">
        <v>1.6375733667431664</v>
      </c>
      <c r="O434">
        <v>1.3925707803327734</v>
      </c>
    </row>
    <row r="435" spans="1:15">
      <c r="A435" s="19">
        <v>43200</v>
      </c>
      <c r="B435">
        <v>2825</v>
      </c>
      <c r="C435">
        <v>2813</v>
      </c>
      <c r="D435">
        <v>1792</v>
      </c>
      <c r="E435">
        <v>1781</v>
      </c>
      <c r="F435">
        <v>1.5794497473329501</v>
      </c>
      <c r="G435">
        <v>1.51365607573127</v>
      </c>
      <c r="H435">
        <v>6.0988780050968097E-2</v>
      </c>
      <c r="I435">
        <v>1.0787832048239501</v>
      </c>
      <c r="J435">
        <v>4.17</v>
      </c>
      <c r="L435">
        <v>1.5746448557822381</v>
      </c>
      <c r="M435">
        <v>1.452667295680302</v>
      </c>
      <c r="N435">
        <v>1.6356336358332062</v>
      </c>
      <c r="O435">
        <v>1.3916785156293339</v>
      </c>
    </row>
    <row r="436" spans="1:15">
      <c r="A436" s="19">
        <v>43199</v>
      </c>
      <c r="B436">
        <v>2778</v>
      </c>
      <c r="C436">
        <v>2825</v>
      </c>
      <c r="D436">
        <v>1777</v>
      </c>
      <c r="E436">
        <v>1777</v>
      </c>
      <c r="F436">
        <v>1.58975801913337</v>
      </c>
      <c r="G436">
        <v>1.51215276022217</v>
      </c>
      <c r="H436">
        <v>6.0737557200950802E-2</v>
      </c>
      <c r="I436">
        <v>1.2777145227365201</v>
      </c>
      <c r="J436">
        <v>4.88</v>
      </c>
      <c r="L436">
        <v>1.5728903174231208</v>
      </c>
      <c r="M436">
        <v>1.4514152030212193</v>
      </c>
      <c r="N436">
        <v>1.6336278746240716</v>
      </c>
      <c r="O436">
        <v>1.3906776458202685</v>
      </c>
    </row>
    <row r="437" spans="1:15">
      <c r="A437" s="19">
        <v>43196</v>
      </c>
      <c r="B437">
        <v>2806</v>
      </c>
      <c r="C437">
        <v>2769</v>
      </c>
      <c r="D437">
        <v>1802</v>
      </c>
      <c r="E437">
        <v>1772</v>
      </c>
      <c r="F437">
        <v>1.5626410835214399</v>
      </c>
      <c r="G437">
        <v>1.5109559866337301</v>
      </c>
      <c r="H437">
        <v>6.0077339871103003E-2</v>
      </c>
      <c r="I437">
        <v>0.86030934456493602</v>
      </c>
      <c r="J437">
        <v>3.31</v>
      </c>
      <c r="L437">
        <v>1.5710333265048331</v>
      </c>
      <c r="M437">
        <v>1.4508786467626271</v>
      </c>
      <c r="N437">
        <v>1.631110666375936</v>
      </c>
      <c r="O437">
        <v>1.3908013068915241</v>
      </c>
    </row>
    <row r="438" spans="1:15">
      <c r="A438" s="19">
        <v>43195</v>
      </c>
      <c r="B438">
        <v>2827</v>
      </c>
      <c r="C438">
        <v>2795</v>
      </c>
      <c r="D438">
        <v>1808</v>
      </c>
      <c r="E438">
        <v>1797</v>
      </c>
      <c r="F438">
        <v>1.55537006121313</v>
      </c>
      <c r="G438">
        <v>1.51059897190548</v>
      </c>
      <c r="H438">
        <v>5.98482588597712E-2</v>
      </c>
      <c r="I438">
        <v>0.74807672204049103</v>
      </c>
      <c r="J438">
        <v>2.88</v>
      </c>
      <c r="L438">
        <v>1.5704472307652513</v>
      </c>
      <c r="M438">
        <v>1.4507507130457087</v>
      </c>
      <c r="N438">
        <v>1.6302954896250224</v>
      </c>
      <c r="O438">
        <v>1.3909024541859376</v>
      </c>
    </row>
    <row r="439" spans="1:15">
      <c r="A439" s="19">
        <v>43194</v>
      </c>
      <c r="B439">
        <v>2788</v>
      </c>
      <c r="C439">
        <v>2815</v>
      </c>
      <c r="D439">
        <v>1789</v>
      </c>
      <c r="E439">
        <v>1788</v>
      </c>
      <c r="F439">
        <v>1.57438478747203</v>
      </c>
      <c r="G439">
        <v>1.50997655487024</v>
      </c>
      <c r="H439">
        <v>5.9621718615530797E-2</v>
      </c>
      <c r="I439">
        <v>1.0802813823117701</v>
      </c>
      <c r="J439">
        <v>4.09</v>
      </c>
      <c r="L439">
        <v>1.5695982734857707</v>
      </c>
      <c r="M439">
        <v>1.4503548362547092</v>
      </c>
      <c r="N439">
        <v>1.6292199921013015</v>
      </c>
      <c r="O439">
        <v>1.3907331176391784</v>
      </c>
    </row>
    <row r="440" spans="1:15">
      <c r="A440" s="19">
        <v>43193</v>
      </c>
      <c r="B440">
        <v>2738</v>
      </c>
      <c r="C440">
        <v>2761</v>
      </c>
      <c r="D440">
        <v>1729</v>
      </c>
      <c r="E440">
        <v>1772</v>
      </c>
      <c r="F440">
        <v>1.55812641083521</v>
      </c>
      <c r="G440">
        <v>1.50906227708379</v>
      </c>
      <c r="H440">
        <v>5.9150927164701099E-2</v>
      </c>
      <c r="I440">
        <v>0.82947362117928403</v>
      </c>
      <c r="J440">
        <v>3.15</v>
      </c>
      <c r="L440">
        <v>1.5682132042484911</v>
      </c>
      <c r="M440">
        <v>1.449911349919089</v>
      </c>
      <c r="N440">
        <v>1.6273641314131921</v>
      </c>
      <c r="O440">
        <v>1.3907604227543879</v>
      </c>
    </row>
    <row r="441" spans="1:15">
      <c r="A441" s="19">
        <v>43192</v>
      </c>
      <c r="B441">
        <v>2771</v>
      </c>
      <c r="C441">
        <v>2750</v>
      </c>
      <c r="D441">
        <v>1735</v>
      </c>
      <c r="E441">
        <v>1748</v>
      </c>
      <c r="F441">
        <v>1.5732265446224201</v>
      </c>
      <c r="G441">
        <v>1.50847312536015</v>
      </c>
      <c r="H441">
        <v>5.88787323934825E-2</v>
      </c>
      <c r="I441">
        <v>1.0997760418740601</v>
      </c>
      <c r="J441">
        <v>4.12</v>
      </c>
      <c r="L441">
        <v>1.5673518577536325</v>
      </c>
      <c r="M441">
        <v>1.4495943929666675</v>
      </c>
      <c r="N441">
        <v>1.626230590147115</v>
      </c>
      <c r="O441">
        <v>1.390715660573185</v>
      </c>
    </row>
    <row r="442" spans="1:15">
      <c r="A442" s="19">
        <v>43189</v>
      </c>
      <c r="B442">
        <v>2753</v>
      </c>
      <c r="C442">
        <v>2773</v>
      </c>
      <c r="D442">
        <v>1700</v>
      </c>
      <c r="E442">
        <v>1732</v>
      </c>
      <c r="F442">
        <v>1.60103926096997</v>
      </c>
      <c r="G442">
        <v>1.5077973903531601</v>
      </c>
      <c r="H442">
        <v>5.8420737251453803E-2</v>
      </c>
      <c r="I442">
        <v>1.59604063563041</v>
      </c>
      <c r="J442">
        <v>5.82</v>
      </c>
      <c r="L442">
        <v>1.5662181276046139</v>
      </c>
      <c r="M442">
        <v>1.4493766531017063</v>
      </c>
      <c r="N442">
        <v>1.6246388648560677</v>
      </c>
      <c r="O442">
        <v>1.3909559158502525</v>
      </c>
    </row>
    <row r="443" spans="1:15">
      <c r="A443" s="19">
        <v>43188</v>
      </c>
      <c r="B443">
        <v>2790</v>
      </c>
      <c r="C443">
        <v>2737</v>
      </c>
      <c r="D443">
        <v>1717</v>
      </c>
      <c r="E443">
        <v>1685</v>
      </c>
      <c r="F443">
        <v>1.6243323442136499</v>
      </c>
      <c r="G443">
        <v>1.5072496291862001</v>
      </c>
      <c r="H443">
        <v>5.7732461572253799E-2</v>
      </c>
      <c r="I443">
        <v>2.0280222224876701</v>
      </c>
      <c r="J443">
        <v>7.21</v>
      </c>
      <c r="L443">
        <v>1.564982090758454</v>
      </c>
      <c r="M443">
        <v>1.4495171676139462</v>
      </c>
      <c r="N443">
        <v>1.6227145523307076</v>
      </c>
      <c r="O443">
        <v>1.3917847060416926</v>
      </c>
    </row>
    <row r="444" spans="1:15">
      <c r="A444" s="19">
        <v>43187</v>
      </c>
      <c r="B444">
        <v>2709</v>
      </c>
      <c r="C444">
        <v>2724</v>
      </c>
      <c r="D444">
        <v>1677</v>
      </c>
      <c r="E444">
        <v>1702</v>
      </c>
      <c r="F444">
        <v>1.60047003525264</v>
      </c>
      <c r="G444">
        <v>1.5060917733724499</v>
      </c>
      <c r="H444">
        <v>5.6223784477265101E-2</v>
      </c>
      <c r="I444">
        <v>1.6786180929949399</v>
      </c>
      <c r="J444">
        <v>5.9</v>
      </c>
      <c r="L444">
        <v>1.562315557849715</v>
      </c>
      <c r="M444">
        <v>1.4498679888951849</v>
      </c>
      <c r="N444">
        <v>1.61853934232698</v>
      </c>
      <c r="O444">
        <v>1.3936442044179198</v>
      </c>
    </row>
    <row r="445" spans="1:15">
      <c r="A445" s="19">
        <v>43186</v>
      </c>
      <c r="B445">
        <v>2705</v>
      </c>
      <c r="C445">
        <v>2784</v>
      </c>
      <c r="D445">
        <v>1712</v>
      </c>
      <c r="E445">
        <v>1761</v>
      </c>
      <c r="F445">
        <v>1.5809199318568901</v>
      </c>
      <c r="G445">
        <v>1.5053701300089299</v>
      </c>
      <c r="H445">
        <v>5.5348314923914399E-2</v>
      </c>
      <c r="I445">
        <v>1.3649882919078</v>
      </c>
      <c r="J445">
        <v>4.78</v>
      </c>
      <c r="L445">
        <v>1.5607184449328444</v>
      </c>
      <c r="M445">
        <v>1.4500218150850155</v>
      </c>
      <c r="N445">
        <v>1.6160667598567588</v>
      </c>
      <c r="O445">
        <v>1.394673500161101</v>
      </c>
    </row>
    <row r="446" spans="1:15">
      <c r="A446" s="19">
        <v>43185</v>
      </c>
      <c r="B446">
        <v>2697</v>
      </c>
      <c r="C446">
        <v>2708</v>
      </c>
      <c r="D446">
        <v>1717</v>
      </c>
      <c r="E446">
        <v>1706</v>
      </c>
      <c r="F446">
        <v>1.58733880422039</v>
      </c>
      <c r="G446">
        <v>1.5045252401373601</v>
      </c>
      <c r="H446">
        <v>5.4668066715331899E-2</v>
      </c>
      <c r="I446">
        <v>1.51484347369119</v>
      </c>
      <c r="J446">
        <v>5.22</v>
      </c>
      <c r="L446">
        <v>1.559193306852692</v>
      </c>
      <c r="M446">
        <v>1.4498571734220282</v>
      </c>
      <c r="N446">
        <v>1.6138613735680238</v>
      </c>
      <c r="O446">
        <v>1.3951891067066964</v>
      </c>
    </row>
    <row r="447" spans="1:15">
      <c r="A447" s="19">
        <v>43182</v>
      </c>
      <c r="B447">
        <v>2742</v>
      </c>
      <c r="C447">
        <v>2709</v>
      </c>
      <c r="D447">
        <v>1722</v>
      </c>
      <c r="E447">
        <v>1724</v>
      </c>
      <c r="F447">
        <v>1.57134570765661</v>
      </c>
      <c r="G447">
        <v>1.5037005370760099</v>
      </c>
      <c r="H447">
        <v>5.3873317320045799E-2</v>
      </c>
      <c r="I447">
        <v>1.2556340308271901</v>
      </c>
      <c r="J447">
        <v>4.3</v>
      </c>
      <c r="L447">
        <v>1.5575738543960558</v>
      </c>
      <c r="M447">
        <v>1.4498272197559641</v>
      </c>
      <c r="N447">
        <v>1.6114471717161014</v>
      </c>
      <c r="O447">
        <v>1.3959539024359184</v>
      </c>
    </row>
    <row r="448" spans="1:15">
      <c r="A448" s="19">
        <v>43181</v>
      </c>
      <c r="B448">
        <v>2739</v>
      </c>
      <c r="C448">
        <v>2792</v>
      </c>
      <c r="D448">
        <v>1751</v>
      </c>
      <c r="E448">
        <v>1757</v>
      </c>
      <c r="F448">
        <v>1.5890722822993699</v>
      </c>
      <c r="G448">
        <v>1.5030614357918199</v>
      </c>
      <c r="H448">
        <v>5.3348808999819801E-2</v>
      </c>
      <c r="I448">
        <v>1.6122355516473299</v>
      </c>
      <c r="J448">
        <v>5.41</v>
      </c>
      <c r="L448">
        <v>1.5564102447916397</v>
      </c>
      <c r="M448">
        <v>1.4497126267920002</v>
      </c>
      <c r="N448">
        <v>1.6097590537914594</v>
      </c>
      <c r="O448">
        <v>1.3963638177921804</v>
      </c>
    </row>
    <row r="449" spans="1:15">
      <c r="A449" s="19">
        <v>43179</v>
      </c>
      <c r="B449">
        <v>2760</v>
      </c>
      <c r="C449">
        <v>2771</v>
      </c>
      <c r="D449">
        <v>1751</v>
      </c>
      <c r="E449">
        <v>1787</v>
      </c>
      <c r="F449">
        <v>1.5506435366536</v>
      </c>
      <c r="G449">
        <v>1.5021385214879399</v>
      </c>
      <c r="H449">
        <v>5.24439241547471E-2</v>
      </c>
      <c r="I449">
        <v>0.92489293940966</v>
      </c>
      <c r="J449">
        <v>3.13</v>
      </c>
      <c r="L449">
        <v>1.5545824456426871</v>
      </c>
      <c r="M449">
        <v>1.4496945973331927</v>
      </c>
      <c r="N449">
        <v>1.6070263697974341</v>
      </c>
      <c r="O449">
        <v>1.3972506731784458</v>
      </c>
    </row>
    <row r="450" spans="1:15">
      <c r="A450" s="19">
        <v>43178</v>
      </c>
      <c r="B450">
        <v>2805</v>
      </c>
      <c r="C450">
        <v>2783</v>
      </c>
      <c r="D450">
        <v>1787</v>
      </c>
      <c r="E450">
        <v>1768</v>
      </c>
      <c r="F450">
        <v>1.5740950226244299</v>
      </c>
      <c r="G450">
        <v>1.5016188063226601</v>
      </c>
      <c r="H450">
        <v>5.2152998781710098E-2</v>
      </c>
      <c r="I450">
        <v>1.3896845434549101</v>
      </c>
      <c r="J450">
        <v>4.5999999999999996</v>
      </c>
      <c r="L450">
        <v>1.5537718051043703</v>
      </c>
      <c r="M450">
        <v>1.4494658075409499</v>
      </c>
      <c r="N450">
        <v>1.6059248038860803</v>
      </c>
      <c r="O450">
        <v>1.3973128087592399</v>
      </c>
    </row>
    <row r="451" spans="1:15">
      <c r="A451" s="19">
        <v>43175</v>
      </c>
      <c r="B451">
        <v>2837</v>
      </c>
      <c r="C451">
        <v>2816</v>
      </c>
      <c r="D451">
        <v>1815</v>
      </c>
      <c r="E451">
        <v>1807</v>
      </c>
      <c r="F451">
        <v>1.55838406198118</v>
      </c>
      <c r="G451">
        <v>1.5008131369708799</v>
      </c>
      <c r="H451">
        <v>5.1489660896492803E-2</v>
      </c>
      <c r="I451">
        <v>1.1181065093054099</v>
      </c>
      <c r="J451">
        <v>3.69</v>
      </c>
      <c r="L451">
        <v>1.5523027978673727</v>
      </c>
      <c r="M451">
        <v>1.4493234760743872</v>
      </c>
      <c r="N451">
        <v>1.6037924587638654</v>
      </c>
      <c r="O451">
        <v>1.3978338151778944</v>
      </c>
    </row>
    <row r="452" spans="1:15">
      <c r="A452" s="19">
        <v>43174</v>
      </c>
      <c r="B452">
        <v>2854</v>
      </c>
      <c r="C452">
        <v>2827</v>
      </c>
      <c r="D452">
        <v>1803</v>
      </c>
      <c r="E452">
        <v>1820</v>
      </c>
      <c r="F452">
        <v>1.5532967032967</v>
      </c>
      <c r="G452">
        <v>1.50065434093079</v>
      </c>
      <c r="H452">
        <v>5.13299825335796E-2</v>
      </c>
      <c r="I452">
        <v>1.0255675098168799</v>
      </c>
      <c r="J452">
        <v>3.39</v>
      </c>
      <c r="L452">
        <v>1.5519843234643695</v>
      </c>
      <c r="M452">
        <v>1.4493243583972104</v>
      </c>
      <c r="N452">
        <v>1.6033143059979491</v>
      </c>
      <c r="O452">
        <v>1.3979943758636308</v>
      </c>
    </row>
    <row r="453" spans="1:15">
      <c r="A453" s="19">
        <v>43173</v>
      </c>
      <c r="B453">
        <v>2844</v>
      </c>
      <c r="C453">
        <v>2836</v>
      </c>
      <c r="D453">
        <v>1812</v>
      </c>
      <c r="E453">
        <v>1818</v>
      </c>
      <c r="F453">
        <v>1.5599559955995499</v>
      </c>
      <c r="G453">
        <v>1.5005793114405099</v>
      </c>
      <c r="H453">
        <v>5.1257040736593498E-2</v>
      </c>
      <c r="I453">
        <v>1.15841030433614</v>
      </c>
      <c r="J453">
        <v>3.81</v>
      </c>
      <c r="L453">
        <v>1.5518363521771035</v>
      </c>
      <c r="M453">
        <v>1.4493222707039164</v>
      </c>
      <c r="N453">
        <v>1.603093392913697</v>
      </c>
      <c r="O453">
        <v>1.3980652299673229</v>
      </c>
    </row>
    <row r="454" spans="1:15">
      <c r="A454" s="19">
        <v>43172</v>
      </c>
      <c r="B454">
        <v>2865</v>
      </c>
      <c r="C454">
        <v>2865</v>
      </c>
      <c r="D454">
        <v>1792</v>
      </c>
      <c r="E454">
        <v>1828</v>
      </c>
      <c r="F454">
        <v>1.56728665207877</v>
      </c>
      <c r="G454">
        <v>1.5003457038239001</v>
      </c>
      <c r="H454">
        <v>5.1025296668494903E-2</v>
      </c>
      <c r="I454">
        <v>1.3119168848693501</v>
      </c>
      <c r="J454">
        <v>4.2699999999999996</v>
      </c>
      <c r="L454">
        <v>1.5513710004923951</v>
      </c>
      <c r="M454">
        <v>1.4493204071554051</v>
      </c>
      <c r="N454">
        <v>1.6023962971608898</v>
      </c>
      <c r="O454">
        <v>1.3982951104869104</v>
      </c>
    </row>
    <row r="455" spans="1:15">
      <c r="A455" s="19">
        <v>43171</v>
      </c>
      <c r="B455">
        <v>2893</v>
      </c>
      <c r="C455">
        <v>2866</v>
      </c>
      <c r="D455">
        <v>1827</v>
      </c>
      <c r="E455">
        <v>1790</v>
      </c>
      <c r="F455">
        <v>1.6011173184357499</v>
      </c>
      <c r="G455">
        <v>1.5000114799551501</v>
      </c>
      <c r="H455">
        <v>5.0666562826873401E-2</v>
      </c>
      <c r="I455">
        <v>1.9955140597571901</v>
      </c>
      <c r="J455">
        <v>6.31</v>
      </c>
      <c r="L455">
        <v>1.5506780427820235</v>
      </c>
      <c r="M455">
        <v>1.4493449171282766</v>
      </c>
      <c r="N455">
        <v>1.6013446056088969</v>
      </c>
      <c r="O455">
        <v>1.3986783543014032</v>
      </c>
    </row>
    <row r="456" spans="1:15">
      <c r="A456" s="19">
        <v>43168</v>
      </c>
      <c r="B456">
        <v>2853</v>
      </c>
      <c r="C456">
        <v>2847</v>
      </c>
      <c r="D456">
        <v>1823</v>
      </c>
      <c r="E456">
        <v>1795</v>
      </c>
      <c r="F456">
        <v>1.5860724233983201</v>
      </c>
      <c r="G456">
        <v>1.4988381353665601</v>
      </c>
      <c r="H456">
        <v>4.93124242815327E-2</v>
      </c>
      <c r="I456">
        <v>1.7690123595166201</v>
      </c>
      <c r="J456">
        <v>5.5</v>
      </c>
      <c r="L456">
        <v>1.5481505596480927</v>
      </c>
      <c r="M456">
        <v>1.4495257110850275</v>
      </c>
      <c r="N456">
        <v>1.5974629839296255</v>
      </c>
      <c r="O456">
        <v>1.4002132868034947</v>
      </c>
    </row>
    <row r="457" spans="1:15">
      <c r="A457" s="19">
        <v>43167</v>
      </c>
      <c r="B457">
        <v>2858</v>
      </c>
      <c r="C457">
        <v>2821</v>
      </c>
      <c r="D457">
        <v>1800</v>
      </c>
      <c r="E457">
        <v>1778</v>
      </c>
      <c r="F457">
        <v>1.5866141732283401</v>
      </c>
      <c r="G457">
        <v>1.4979423393609901</v>
      </c>
      <c r="H457">
        <v>4.8319853795023703E-2</v>
      </c>
      <c r="I457">
        <v>1.83510145215889</v>
      </c>
      <c r="J457">
        <v>5.59</v>
      </c>
      <c r="L457">
        <v>1.5462621931560139</v>
      </c>
      <c r="M457">
        <v>1.4496224855659663</v>
      </c>
      <c r="N457">
        <v>1.5945820469510374</v>
      </c>
      <c r="O457">
        <v>1.4013026317709427</v>
      </c>
    </row>
    <row r="458" spans="1:15">
      <c r="A458" s="19">
        <v>43166</v>
      </c>
      <c r="B458">
        <v>2823</v>
      </c>
      <c r="C458">
        <v>2824</v>
      </c>
      <c r="D458">
        <v>1771</v>
      </c>
      <c r="E458">
        <v>1786</v>
      </c>
      <c r="F458">
        <v>1.58118701007838</v>
      </c>
      <c r="G458">
        <v>1.49685453859707</v>
      </c>
      <c r="H458">
        <v>4.7217143821721902E-2</v>
      </c>
      <c r="I458">
        <v>1.7860561790803899</v>
      </c>
      <c r="J458">
        <v>5.33</v>
      </c>
      <c r="L458">
        <v>1.5440716824187919</v>
      </c>
      <c r="M458">
        <v>1.449637394775348</v>
      </c>
      <c r="N458">
        <v>1.5912888262405138</v>
      </c>
      <c r="O458">
        <v>1.4024202509536261</v>
      </c>
    </row>
    <row r="459" spans="1:15">
      <c r="A459" s="19">
        <v>43165</v>
      </c>
      <c r="B459">
        <v>2853</v>
      </c>
      <c r="C459">
        <v>2858</v>
      </c>
      <c r="D459">
        <v>1772</v>
      </c>
      <c r="E459">
        <v>1774</v>
      </c>
      <c r="F459">
        <v>1.6110484780157801</v>
      </c>
      <c r="G459">
        <v>1.4958443218459301</v>
      </c>
      <c r="H459">
        <v>4.6201626848058799E-2</v>
      </c>
      <c r="I459">
        <v>2.4935086495702099</v>
      </c>
      <c r="J459">
        <v>7.15</v>
      </c>
      <c r="L459">
        <v>1.5420459486939888</v>
      </c>
      <c r="M459">
        <v>1.4496426949978714</v>
      </c>
      <c r="N459">
        <v>1.5882475755420478</v>
      </c>
      <c r="O459">
        <v>1.4034410681498124</v>
      </c>
    </row>
    <row r="460" spans="1:15">
      <c r="A460" s="19">
        <v>43164</v>
      </c>
      <c r="B460">
        <v>2836</v>
      </c>
      <c r="C460">
        <v>2803</v>
      </c>
      <c r="D460">
        <v>1758</v>
      </c>
      <c r="E460">
        <v>1744</v>
      </c>
      <c r="F460">
        <v>1.6072247706422</v>
      </c>
      <c r="G460">
        <v>1.4947040571124099</v>
      </c>
      <c r="H460">
        <v>4.4363035531419098E-2</v>
      </c>
      <c r="I460">
        <v>2.5363619099081101</v>
      </c>
      <c r="J460">
        <v>7</v>
      </c>
      <c r="L460">
        <v>1.539067092643829</v>
      </c>
      <c r="M460">
        <v>1.4503410215809909</v>
      </c>
      <c r="N460">
        <v>1.5834301281752481</v>
      </c>
      <c r="O460">
        <v>1.4059779860495718</v>
      </c>
    </row>
    <row r="461" spans="1:15">
      <c r="A461" s="19">
        <v>43161</v>
      </c>
      <c r="B461">
        <v>2800</v>
      </c>
      <c r="C461">
        <v>2826</v>
      </c>
      <c r="D461">
        <v>1771</v>
      </c>
      <c r="E461">
        <v>1758</v>
      </c>
      <c r="F461">
        <v>1.6075085324231999</v>
      </c>
      <c r="G461">
        <v>1.49344013001661</v>
      </c>
      <c r="H461">
        <v>4.2448307743452797E-2</v>
      </c>
      <c r="I461">
        <v>2.6872308572580499</v>
      </c>
      <c r="J461">
        <v>7.1</v>
      </c>
      <c r="L461">
        <v>1.5358884377600628</v>
      </c>
      <c r="M461">
        <v>1.4509918222731573</v>
      </c>
      <c r="N461">
        <v>1.5783367455035155</v>
      </c>
      <c r="O461">
        <v>1.4085435145297045</v>
      </c>
    </row>
    <row r="462" spans="1:15">
      <c r="A462" s="19">
        <v>43160</v>
      </c>
      <c r="B462">
        <v>2855</v>
      </c>
      <c r="C462">
        <v>2832</v>
      </c>
      <c r="D462">
        <v>1814</v>
      </c>
      <c r="E462">
        <v>1808</v>
      </c>
      <c r="F462">
        <v>1.5663716814159201</v>
      </c>
      <c r="G462">
        <v>1.49207388721871</v>
      </c>
      <c r="H462">
        <v>4.0352179595396498E-2</v>
      </c>
      <c r="I462">
        <v>1.8412337311685201</v>
      </c>
      <c r="J462">
        <v>4.74</v>
      </c>
      <c r="L462">
        <v>1.5324260668141065</v>
      </c>
      <c r="M462">
        <v>1.4517217076233135</v>
      </c>
      <c r="N462">
        <v>1.572778246409503</v>
      </c>
      <c r="O462">
        <v>1.411369528027917</v>
      </c>
    </row>
    <row r="463" spans="1:15">
      <c r="A463" s="19">
        <v>43159</v>
      </c>
      <c r="B463">
        <v>2811</v>
      </c>
      <c r="C463">
        <v>2805</v>
      </c>
      <c r="D463">
        <v>1875</v>
      </c>
      <c r="E463">
        <v>1842</v>
      </c>
      <c r="F463">
        <v>1.5228013029315901</v>
      </c>
      <c r="G463">
        <v>1.49219719314244</v>
      </c>
      <c r="H463">
        <v>4.0592440630603903E-2</v>
      </c>
      <c r="I463">
        <v>0.75393618402142104</v>
      </c>
      <c r="J463">
        <v>2.0099999999999998</v>
      </c>
      <c r="L463">
        <v>1.532789633773044</v>
      </c>
      <c r="M463">
        <v>1.4516047525118361</v>
      </c>
      <c r="N463">
        <v>1.5733820744036477</v>
      </c>
      <c r="O463">
        <v>1.4110123118812323</v>
      </c>
    </row>
    <row r="464" spans="1:15">
      <c r="A464" s="19">
        <v>43158</v>
      </c>
      <c r="B464">
        <v>2835</v>
      </c>
      <c r="C464">
        <v>2830</v>
      </c>
      <c r="D464">
        <v>1888</v>
      </c>
      <c r="E464">
        <v>1882</v>
      </c>
      <c r="F464">
        <v>1.50371944739638</v>
      </c>
      <c r="G464">
        <v>1.49317996563997</v>
      </c>
      <c r="H464">
        <v>4.2182606403994301E-2</v>
      </c>
      <c r="I464">
        <v>0.24985373486583501</v>
      </c>
      <c r="J464">
        <v>0.7</v>
      </c>
      <c r="L464">
        <v>1.5353625720439643</v>
      </c>
      <c r="M464">
        <v>1.4509973592359757</v>
      </c>
      <c r="N464">
        <v>1.5775451784479586</v>
      </c>
      <c r="O464">
        <v>1.4088147528319814</v>
      </c>
    </row>
    <row r="465" spans="1:15">
      <c r="A465" s="19">
        <v>43157</v>
      </c>
      <c r="B465">
        <v>2783</v>
      </c>
      <c r="C465">
        <v>2807</v>
      </c>
      <c r="D465">
        <v>1888</v>
      </c>
      <c r="E465">
        <v>1879</v>
      </c>
      <c r="F465">
        <v>1.49387972325705</v>
      </c>
      <c r="G465">
        <v>1.4948873957312201</v>
      </c>
      <c r="H465">
        <v>4.50676894887138E-2</v>
      </c>
      <c r="I465">
        <v>-2.2359088864061901E-2</v>
      </c>
      <c r="J465">
        <v>-7.0000000000000007E-2</v>
      </c>
      <c r="L465">
        <v>1.539955085219934</v>
      </c>
      <c r="M465">
        <v>1.4498197062425062</v>
      </c>
      <c r="N465">
        <v>1.5850227747086476</v>
      </c>
      <c r="O465">
        <v>1.4047520167537926</v>
      </c>
    </row>
    <row r="466" spans="1:15">
      <c r="A466" s="19">
        <v>43154</v>
      </c>
      <c r="B466">
        <v>2814</v>
      </c>
      <c r="C466">
        <v>2784</v>
      </c>
      <c r="D466">
        <v>1872</v>
      </c>
      <c r="E466">
        <v>1875</v>
      </c>
      <c r="F466">
        <v>1.4847999999999999</v>
      </c>
      <c r="G466">
        <v>1.4963292544689499</v>
      </c>
      <c r="H466">
        <v>4.6712242324419798E-2</v>
      </c>
      <c r="I466">
        <v>-0.24681440871289401</v>
      </c>
      <c r="J466">
        <v>-0.78</v>
      </c>
      <c r="L466">
        <v>1.5430414967933697</v>
      </c>
      <c r="M466">
        <v>1.4496170121445302</v>
      </c>
      <c r="N466">
        <v>1.5897537391177896</v>
      </c>
      <c r="O466">
        <v>1.4029047698201103</v>
      </c>
    </row>
    <row r="467" spans="1:15">
      <c r="A467" s="19">
        <v>43153</v>
      </c>
      <c r="B467">
        <v>2740</v>
      </c>
      <c r="C467">
        <v>2782</v>
      </c>
      <c r="D467">
        <v>1875</v>
      </c>
      <c r="E467">
        <v>1866</v>
      </c>
      <c r="F467">
        <v>1.49088960342979</v>
      </c>
      <c r="G467">
        <v>1.4972366427705699</v>
      </c>
      <c r="H467">
        <v>4.7138505734974197E-2</v>
      </c>
      <c r="I467">
        <v>-0.134646596064466</v>
      </c>
      <c r="J467">
        <v>-0.43</v>
      </c>
      <c r="L467">
        <v>1.5443751485055441</v>
      </c>
      <c r="M467">
        <v>1.4500981370355956</v>
      </c>
      <c r="N467">
        <v>1.5915136542405184</v>
      </c>
      <c r="O467">
        <v>1.4029596313006214</v>
      </c>
    </row>
    <row r="468" spans="1:15">
      <c r="A468" s="19">
        <v>43152</v>
      </c>
      <c r="B468">
        <v>2770</v>
      </c>
      <c r="C468">
        <v>2763</v>
      </c>
      <c r="D468">
        <v>1872</v>
      </c>
      <c r="E468">
        <v>1878</v>
      </c>
      <c r="F468">
        <v>1.4712460063897701</v>
      </c>
      <c r="G468">
        <v>1.49739014889462</v>
      </c>
      <c r="H468">
        <v>4.7136332586852202E-2</v>
      </c>
      <c r="I468">
        <v>-0.55464948310684703</v>
      </c>
      <c r="J468">
        <v>-1.78</v>
      </c>
      <c r="L468">
        <v>1.5445264814814721</v>
      </c>
      <c r="M468">
        <v>1.4502538163077678</v>
      </c>
      <c r="N468">
        <v>1.5916628140683244</v>
      </c>
      <c r="O468">
        <v>1.4031174837209155</v>
      </c>
    </row>
    <row r="469" spans="1:15">
      <c r="A469" s="19">
        <v>43151</v>
      </c>
      <c r="B469">
        <v>2684</v>
      </c>
      <c r="C469">
        <v>2725</v>
      </c>
      <c r="D469">
        <v>1867</v>
      </c>
      <c r="E469">
        <v>1865</v>
      </c>
      <c r="F469">
        <v>1.4611260053619299</v>
      </c>
      <c r="G469">
        <v>1.4968949269051799</v>
      </c>
      <c r="H469">
        <v>4.7601221358901401E-2</v>
      </c>
      <c r="I469">
        <v>-0.75142865082306698</v>
      </c>
      <c r="J469">
        <v>-2.4500000000000002</v>
      </c>
      <c r="L469">
        <v>1.5444961482640813</v>
      </c>
      <c r="M469">
        <v>1.4492937055462785</v>
      </c>
      <c r="N469">
        <v>1.5920973696229828</v>
      </c>
      <c r="O469">
        <v>1.401692484187377</v>
      </c>
    </row>
    <row r="470" spans="1:15">
      <c r="A470" s="19">
        <v>43150</v>
      </c>
      <c r="B470">
        <v>2644</v>
      </c>
      <c r="C470">
        <v>2697</v>
      </c>
      <c r="D470">
        <v>1850</v>
      </c>
      <c r="E470">
        <v>1876</v>
      </c>
      <c r="F470">
        <v>1.43763326226012</v>
      </c>
      <c r="G470">
        <v>1.49652651195664</v>
      </c>
      <c r="H470">
        <v>4.7982036994447801E-2</v>
      </c>
      <c r="I470">
        <v>-1.22740203179227</v>
      </c>
      <c r="J470">
        <v>-4.0999999999999996</v>
      </c>
      <c r="L470">
        <v>1.5445085489510877</v>
      </c>
      <c r="M470">
        <v>1.4485444749621923</v>
      </c>
      <c r="N470">
        <v>1.5924905859455356</v>
      </c>
      <c r="O470">
        <v>1.4005624379677444</v>
      </c>
    </row>
    <row r="471" spans="1:15">
      <c r="A471" s="19">
        <v>43147</v>
      </c>
      <c r="B471">
        <v>2599</v>
      </c>
      <c r="C471">
        <v>2624</v>
      </c>
      <c r="D471">
        <v>1817</v>
      </c>
      <c r="E471">
        <v>1837</v>
      </c>
      <c r="F471">
        <v>1.4284158954817601</v>
      </c>
      <c r="G471">
        <v>1.49586532243642</v>
      </c>
      <c r="H471">
        <v>4.9117265500041203E-2</v>
      </c>
      <c r="I471">
        <v>-1.3732325337736999</v>
      </c>
      <c r="J471">
        <v>-4.72</v>
      </c>
      <c r="L471">
        <v>1.5449825879364611</v>
      </c>
      <c r="M471">
        <v>1.4467480569363789</v>
      </c>
      <c r="N471">
        <v>1.5940998534365025</v>
      </c>
      <c r="O471">
        <v>1.3976307914363375</v>
      </c>
    </row>
    <row r="472" spans="1:15">
      <c r="A472" s="19">
        <v>43146</v>
      </c>
      <c r="B472">
        <v>2615</v>
      </c>
      <c r="C472">
        <v>2606</v>
      </c>
      <c r="D472">
        <v>1822</v>
      </c>
      <c r="E472">
        <v>1798</v>
      </c>
      <c r="F472">
        <v>1.44938820912124</v>
      </c>
      <c r="G472">
        <v>1.4954317645450299</v>
      </c>
      <c r="H472">
        <v>4.9848793303314202E-2</v>
      </c>
      <c r="I472">
        <v>-0.92366439331095596</v>
      </c>
      <c r="J472">
        <v>-3.18</v>
      </c>
      <c r="L472">
        <v>1.5452805578483442</v>
      </c>
      <c r="M472">
        <v>1.4455829712417156</v>
      </c>
      <c r="N472">
        <v>1.5951293511516582</v>
      </c>
      <c r="O472">
        <v>1.3957341779384016</v>
      </c>
    </row>
    <row r="473" spans="1:15">
      <c r="A473" s="19">
        <v>43145</v>
      </c>
      <c r="B473">
        <v>2676</v>
      </c>
      <c r="C473">
        <v>2605</v>
      </c>
      <c r="D473">
        <v>1833</v>
      </c>
      <c r="E473">
        <v>1817</v>
      </c>
      <c r="F473">
        <v>1.4336818932305999</v>
      </c>
      <c r="G473">
        <v>1.4947006927318001</v>
      </c>
      <c r="H473">
        <v>5.0909478180488799E-2</v>
      </c>
      <c r="I473">
        <v>-1.19857444393515</v>
      </c>
      <c r="J473">
        <v>-4.26</v>
      </c>
      <c r="L473">
        <v>1.5456101709122889</v>
      </c>
      <c r="M473">
        <v>1.4437912145513112</v>
      </c>
      <c r="N473">
        <v>1.5965196490927775</v>
      </c>
      <c r="O473">
        <v>1.3928817363708226</v>
      </c>
    </row>
    <row r="474" spans="1:15">
      <c r="A474" s="19">
        <v>43144</v>
      </c>
      <c r="B474">
        <v>2736</v>
      </c>
      <c r="C474">
        <v>2676</v>
      </c>
      <c r="D474">
        <v>1867</v>
      </c>
      <c r="E474">
        <v>1818</v>
      </c>
      <c r="F474">
        <v>1.47194719471947</v>
      </c>
      <c r="G474">
        <v>1.49411132452026</v>
      </c>
      <c r="H474">
        <v>5.1859466945248102E-2</v>
      </c>
      <c r="I474">
        <v>-0.42738830740756001</v>
      </c>
      <c r="J474">
        <v>-1.51</v>
      </c>
      <c r="L474">
        <v>1.5459707914655081</v>
      </c>
      <c r="M474">
        <v>1.4422518575750118</v>
      </c>
      <c r="N474">
        <v>1.5978302584107562</v>
      </c>
      <c r="O474">
        <v>1.3903923906297637</v>
      </c>
    </row>
    <row r="475" spans="1:15">
      <c r="A475" s="19">
        <v>43140</v>
      </c>
      <c r="B475">
        <v>2618</v>
      </c>
      <c r="C475">
        <v>2706</v>
      </c>
      <c r="D475">
        <v>1821</v>
      </c>
      <c r="E475">
        <v>1846</v>
      </c>
      <c r="F475">
        <v>1.4658721560129999</v>
      </c>
      <c r="G475">
        <v>1.49300585154613</v>
      </c>
      <c r="H475">
        <v>5.3186851961423399E-2</v>
      </c>
      <c r="I475">
        <v>-0.51015795318773205</v>
      </c>
      <c r="J475">
        <v>-1.85</v>
      </c>
      <c r="L475">
        <v>1.5461927035075533</v>
      </c>
      <c r="M475">
        <v>1.4398189995847066</v>
      </c>
      <c r="N475">
        <v>1.5993795554689767</v>
      </c>
      <c r="O475">
        <v>1.3866321476232832</v>
      </c>
    </row>
    <row r="476" spans="1:15">
      <c r="A476" s="19">
        <v>43139</v>
      </c>
      <c r="B476">
        <v>2712</v>
      </c>
      <c r="C476">
        <v>2718</v>
      </c>
      <c r="D476">
        <v>1867</v>
      </c>
      <c r="E476">
        <v>1885</v>
      </c>
      <c r="F476">
        <v>1.4419098143236</v>
      </c>
      <c r="G476">
        <v>1.49167982645998</v>
      </c>
      <c r="H476">
        <v>5.5053778168580703E-2</v>
      </c>
      <c r="I476">
        <v>-0.90402536923031895</v>
      </c>
      <c r="J476">
        <v>-3.45</v>
      </c>
      <c r="L476">
        <v>1.5467336046285607</v>
      </c>
      <c r="M476">
        <v>1.4366260482913993</v>
      </c>
      <c r="N476">
        <v>1.6017873827971414</v>
      </c>
      <c r="O476">
        <v>1.3815722701228186</v>
      </c>
    </row>
    <row r="477" spans="1:15">
      <c r="A477" s="19">
        <v>43138</v>
      </c>
      <c r="B477">
        <v>2794</v>
      </c>
      <c r="C477">
        <v>2712</v>
      </c>
      <c r="D477">
        <v>1919</v>
      </c>
      <c r="E477">
        <v>1876</v>
      </c>
      <c r="F477">
        <v>1.4456289978678001</v>
      </c>
      <c r="G477">
        <v>1.4906330023668799</v>
      </c>
      <c r="H477">
        <v>5.6711653094677697E-2</v>
      </c>
      <c r="I477">
        <v>-0.79355832608070698</v>
      </c>
      <c r="J477">
        <v>-3.11</v>
      </c>
      <c r="L477">
        <v>1.5473446554615575</v>
      </c>
      <c r="M477">
        <v>1.4339213492722023</v>
      </c>
      <c r="N477">
        <v>1.6040563085562354</v>
      </c>
      <c r="O477">
        <v>1.3772096961775244</v>
      </c>
    </row>
    <row r="478" spans="1:15">
      <c r="A478" s="19">
        <v>43137</v>
      </c>
      <c r="B478">
        <v>2802</v>
      </c>
      <c r="C478">
        <v>2731</v>
      </c>
      <c r="D478">
        <v>1917</v>
      </c>
      <c r="E478">
        <v>1883</v>
      </c>
      <c r="F478">
        <v>1.4503451938396099</v>
      </c>
      <c r="G478">
        <v>1.4894397593317801</v>
      </c>
      <c r="H478">
        <v>5.8557462105121701E-2</v>
      </c>
      <c r="I478">
        <v>-0.66762738832468504</v>
      </c>
      <c r="J478">
        <v>-2.7</v>
      </c>
      <c r="L478">
        <v>1.5479972214369018</v>
      </c>
      <c r="M478">
        <v>1.4308822972266584</v>
      </c>
      <c r="N478">
        <v>1.6065546835420235</v>
      </c>
      <c r="O478">
        <v>1.3723248351215367</v>
      </c>
    </row>
    <row r="479" spans="1:15">
      <c r="A479" s="19">
        <v>43136</v>
      </c>
      <c r="B479">
        <v>2947</v>
      </c>
      <c r="C479">
        <v>2914</v>
      </c>
      <c r="D479">
        <v>2043</v>
      </c>
      <c r="E479">
        <v>2007</v>
      </c>
      <c r="F479">
        <v>1.4519182859990001</v>
      </c>
      <c r="G479">
        <v>1.4881985365441901</v>
      </c>
      <c r="H479">
        <v>6.0332689447237201E-2</v>
      </c>
      <c r="I479">
        <v>-0.60133653708434998</v>
      </c>
      <c r="J479">
        <v>-2.5</v>
      </c>
      <c r="L479">
        <v>1.5485312259914272</v>
      </c>
      <c r="M479">
        <v>1.427865847096953</v>
      </c>
      <c r="N479">
        <v>1.6088639154386646</v>
      </c>
      <c r="O479">
        <v>1.3675331576497156</v>
      </c>
    </row>
    <row r="480" spans="1:15">
      <c r="A480" s="19">
        <v>43133</v>
      </c>
      <c r="B480">
        <v>3020</v>
      </c>
      <c r="C480">
        <v>3000</v>
      </c>
      <c r="D480">
        <v>2039</v>
      </c>
      <c r="E480">
        <v>2043</v>
      </c>
      <c r="F480">
        <v>1.4684287812041099</v>
      </c>
      <c r="G480">
        <v>1.48674812279623</v>
      </c>
      <c r="H480">
        <v>6.2457585346035897E-2</v>
      </c>
      <c r="I480">
        <v>-0.29330851474041197</v>
      </c>
      <c r="J480">
        <v>-1.25</v>
      </c>
      <c r="L480">
        <v>1.5492057081422659</v>
      </c>
      <c r="M480">
        <v>1.4242905374501942</v>
      </c>
      <c r="N480">
        <v>1.6116632934883017</v>
      </c>
      <c r="O480">
        <v>1.3618329521041583</v>
      </c>
    </row>
    <row r="481" spans="1:15">
      <c r="A481" s="19">
        <v>43132</v>
      </c>
      <c r="B481">
        <v>2941</v>
      </c>
      <c r="C481">
        <v>3050</v>
      </c>
      <c r="D481">
        <v>2037</v>
      </c>
      <c r="E481">
        <v>2071</v>
      </c>
      <c r="F481">
        <v>1.4727184934814099</v>
      </c>
      <c r="G481">
        <v>1.4849948611318899</v>
      </c>
      <c r="H481">
        <v>6.4750735318032507E-2</v>
      </c>
      <c r="I481">
        <v>-0.18959425850815201</v>
      </c>
      <c r="J481">
        <v>-0.83</v>
      </c>
      <c r="L481">
        <v>1.5497455964499225</v>
      </c>
      <c r="M481">
        <v>1.4202441258138574</v>
      </c>
      <c r="N481">
        <v>1.614496331767955</v>
      </c>
      <c r="O481">
        <v>1.3554933904958248</v>
      </c>
    </row>
    <row r="482" spans="1:15">
      <c r="A482" s="19">
        <v>43131</v>
      </c>
      <c r="B482">
        <v>3025</v>
      </c>
      <c r="C482">
        <v>2918</v>
      </c>
      <c r="D482">
        <v>2010</v>
      </c>
      <c r="E482">
        <v>2012</v>
      </c>
      <c r="F482">
        <v>1.45029821073558</v>
      </c>
      <c r="G482">
        <v>1.48307917754561</v>
      </c>
      <c r="H482">
        <v>6.7165924566267493E-2</v>
      </c>
      <c r="I482">
        <v>-0.48805948882139499</v>
      </c>
      <c r="J482">
        <v>-2.2599999999999998</v>
      </c>
      <c r="L482">
        <v>1.5502451021118775</v>
      </c>
      <c r="M482">
        <v>1.4159132529793426</v>
      </c>
      <c r="N482">
        <v>1.617411026678145</v>
      </c>
      <c r="O482">
        <v>1.3487473284130751</v>
      </c>
    </row>
    <row r="483" spans="1:15">
      <c r="A483" s="19">
        <v>43130</v>
      </c>
      <c r="B483">
        <v>2965</v>
      </c>
      <c r="C483">
        <v>3030</v>
      </c>
      <c r="D483">
        <v>1930</v>
      </c>
      <c r="E483">
        <v>2002</v>
      </c>
      <c r="F483">
        <v>1.5134865134865101</v>
      </c>
      <c r="G483">
        <v>1.4816389597917301</v>
      </c>
      <c r="H483">
        <v>6.8986793626283502E-2</v>
      </c>
      <c r="I483">
        <v>0.46164710694198402</v>
      </c>
      <c r="J483">
        <v>2.1</v>
      </c>
      <c r="L483">
        <v>1.5506257534180137</v>
      </c>
      <c r="M483">
        <v>1.4126521661654465</v>
      </c>
      <c r="N483">
        <v>1.619612547044297</v>
      </c>
      <c r="O483">
        <v>1.3436653725391632</v>
      </c>
    </row>
    <row r="484" spans="1:15">
      <c r="A484" s="19">
        <v>43129</v>
      </c>
      <c r="B484">
        <v>2946</v>
      </c>
      <c r="C484">
        <v>2935</v>
      </c>
      <c r="D484">
        <v>2100</v>
      </c>
      <c r="E484">
        <v>2055</v>
      </c>
      <c r="F484">
        <v>1.4282238442822299</v>
      </c>
      <c r="G484">
        <v>1.4793396395263101</v>
      </c>
      <c r="H484">
        <v>7.0738609656586696E-2</v>
      </c>
      <c r="I484">
        <v>-0.72260107305227395</v>
      </c>
      <c r="J484">
        <v>-3.58</v>
      </c>
      <c r="L484">
        <v>1.5500782491828968</v>
      </c>
      <c r="M484">
        <v>1.4086010298697234</v>
      </c>
      <c r="N484">
        <v>1.6208168588394836</v>
      </c>
      <c r="O484">
        <v>1.3378624202131366</v>
      </c>
    </row>
    <row r="485" spans="1:15">
      <c r="A485" s="19">
        <v>43126</v>
      </c>
      <c r="B485">
        <v>2992</v>
      </c>
      <c r="C485">
        <v>2968</v>
      </c>
      <c r="D485">
        <v>2067</v>
      </c>
      <c r="E485">
        <v>2085</v>
      </c>
      <c r="F485">
        <v>1.42350119904076</v>
      </c>
      <c r="G485">
        <v>1.4784250702364301</v>
      </c>
      <c r="H485">
        <v>7.1828581402023903E-2</v>
      </c>
      <c r="I485">
        <v>-0.76465203855627795</v>
      </c>
      <c r="J485">
        <v>-3.86</v>
      </c>
      <c r="L485">
        <v>1.550253651638454</v>
      </c>
      <c r="M485">
        <v>1.4065964888344062</v>
      </c>
      <c r="N485">
        <v>1.6220822330404778</v>
      </c>
      <c r="O485">
        <v>1.3347679074323824</v>
      </c>
    </row>
    <row r="486" spans="1:15">
      <c r="A486" s="19">
        <v>43125</v>
      </c>
      <c r="B486">
        <v>3025</v>
      </c>
      <c r="C486">
        <v>3015</v>
      </c>
      <c r="D486">
        <v>2089</v>
      </c>
      <c r="E486">
        <v>2067</v>
      </c>
      <c r="F486">
        <v>1.4586357039187201</v>
      </c>
      <c r="G486">
        <v>1.4779624207603601</v>
      </c>
      <c r="H486">
        <v>7.2291115653871404E-2</v>
      </c>
      <c r="I486">
        <v>-0.26734567127417203</v>
      </c>
      <c r="J486">
        <v>-1.32</v>
      </c>
      <c r="L486">
        <v>1.5502535364142316</v>
      </c>
      <c r="M486">
        <v>1.4056713051064886</v>
      </c>
      <c r="N486">
        <v>1.6225446520681028</v>
      </c>
      <c r="O486">
        <v>1.3333801894526174</v>
      </c>
    </row>
    <row r="487" spans="1:15">
      <c r="A487" s="19">
        <v>43124</v>
      </c>
      <c r="B487">
        <v>3025</v>
      </c>
      <c r="C487">
        <v>3005</v>
      </c>
      <c r="D487">
        <v>2083</v>
      </c>
      <c r="E487">
        <v>2089</v>
      </c>
      <c r="F487">
        <v>1.43848731450454</v>
      </c>
      <c r="G487">
        <v>1.4768209845724001</v>
      </c>
      <c r="H487">
        <v>7.3256663155945395E-2</v>
      </c>
      <c r="I487">
        <v>-0.52327895397388602</v>
      </c>
      <c r="J487">
        <v>-2.66</v>
      </c>
      <c r="L487">
        <v>1.5500776477283456</v>
      </c>
      <c r="M487">
        <v>1.4035643214164546</v>
      </c>
      <c r="N487">
        <v>1.6233343108842908</v>
      </c>
      <c r="O487">
        <v>1.3303076582605093</v>
      </c>
    </row>
    <row r="488" spans="1:15">
      <c r="A488" s="19">
        <v>43123</v>
      </c>
      <c r="B488">
        <v>3020</v>
      </c>
      <c r="C488">
        <v>3025</v>
      </c>
      <c r="D488">
        <v>2083</v>
      </c>
      <c r="E488">
        <v>2081</v>
      </c>
      <c r="F488">
        <v>1.4536280634310399</v>
      </c>
      <c r="G488">
        <v>1.4759856727280001</v>
      </c>
      <c r="H488">
        <v>7.4041968024661703E-2</v>
      </c>
      <c r="I488">
        <v>-0.30195860393010798</v>
      </c>
      <c r="J488">
        <v>-1.54</v>
      </c>
      <c r="L488">
        <v>1.5500276407526619</v>
      </c>
      <c r="M488">
        <v>1.4019437047033383</v>
      </c>
      <c r="N488">
        <v>1.6240696087773234</v>
      </c>
      <c r="O488">
        <v>1.3279017366786767</v>
      </c>
    </row>
    <row r="489" spans="1:15">
      <c r="A489" s="19">
        <v>43122</v>
      </c>
      <c r="B489">
        <v>2983</v>
      </c>
      <c r="C489">
        <v>2961</v>
      </c>
      <c r="D489">
        <v>2070</v>
      </c>
      <c r="E489">
        <v>2068</v>
      </c>
      <c r="F489">
        <v>1.4318181818181801</v>
      </c>
      <c r="G489">
        <v>1.4747857833974101</v>
      </c>
      <c r="H489">
        <v>7.5115954954265707E-2</v>
      </c>
      <c r="I489">
        <v>-0.572016978355537</v>
      </c>
      <c r="J489">
        <v>-3</v>
      </c>
      <c r="L489">
        <v>1.5499017383516758</v>
      </c>
      <c r="M489">
        <v>1.3996698284431444</v>
      </c>
      <c r="N489">
        <v>1.6250176933059415</v>
      </c>
      <c r="O489">
        <v>1.3245538734888787</v>
      </c>
    </row>
    <row r="490" spans="1:15">
      <c r="A490" s="19">
        <v>43119</v>
      </c>
      <c r="B490">
        <v>2960</v>
      </c>
      <c r="C490">
        <v>2996</v>
      </c>
      <c r="D490">
        <v>2087</v>
      </c>
      <c r="E490">
        <v>2072</v>
      </c>
      <c r="F490">
        <v>1.4459459459459401</v>
      </c>
      <c r="G490">
        <v>1.4737677377726199</v>
      </c>
      <c r="H490">
        <v>7.6200967818321905E-2</v>
      </c>
      <c r="I490">
        <v>-0.36511074102117602</v>
      </c>
      <c r="J490">
        <v>-1.92</v>
      </c>
      <c r="L490">
        <v>1.5499687055909419</v>
      </c>
      <c r="M490">
        <v>1.397566769954298</v>
      </c>
      <c r="N490">
        <v>1.6261696734092637</v>
      </c>
      <c r="O490">
        <v>1.3213658021359762</v>
      </c>
    </row>
    <row r="491" spans="1:15">
      <c r="A491" s="19">
        <v>43118</v>
      </c>
      <c r="B491">
        <v>2987</v>
      </c>
      <c r="C491">
        <v>2952</v>
      </c>
      <c r="D491">
        <v>2114</v>
      </c>
      <c r="E491">
        <v>2072</v>
      </c>
      <c r="F491">
        <v>1.4247104247104201</v>
      </c>
      <c r="G491">
        <v>1.47271443526208</v>
      </c>
      <c r="H491">
        <v>7.7118713941754194E-2</v>
      </c>
      <c r="I491">
        <v>-0.62246902338023802</v>
      </c>
      <c r="J491">
        <v>-3.37</v>
      </c>
      <c r="L491">
        <v>1.5498331492038342</v>
      </c>
      <c r="M491">
        <v>1.3955957213203258</v>
      </c>
      <c r="N491">
        <v>1.6269518631455884</v>
      </c>
      <c r="O491">
        <v>1.3184770073785717</v>
      </c>
    </row>
    <row r="492" spans="1:15">
      <c r="A492" s="19">
        <v>43117</v>
      </c>
      <c r="B492">
        <v>2949</v>
      </c>
      <c r="C492">
        <v>2937</v>
      </c>
      <c r="D492">
        <v>2078</v>
      </c>
      <c r="E492">
        <v>2076</v>
      </c>
      <c r="F492">
        <v>1.4147398843930601</v>
      </c>
      <c r="G492">
        <v>1.47206647157588</v>
      </c>
      <c r="H492">
        <v>7.7721137181262306E-2</v>
      </c>
      <c r="I492">
        <v>-0.73759326306720596</v>
      </c>
      <c r="J492">
        <v>-4.05</v>
      </c>
      <c r="L492">
        <v>1.5497876087571423</v>
      </c>
      <c r="M492">
        <v>1.3943453343946177</v>
      </c>
      <c r="N492">
        <v>1.6275087459384046</v>
      </c>
      <c r="O492">
        <v>1.3166241972133554</v>
      </c>
    </row>
    <row r="493" spans="1:15">
      <c r="A493" s="19">
        <v>43116</v>
      </c>
      <c r="B493">
        <v>2970</v>
      </c>
      <c r="C493">
        <v>2954</v>
      </c>
      <c r="D493">
        <v>2042</v>
      </c>
      <c r="E493">
        <v>2093</v>
      </c>
      <c r="F493">
        <v>1.4113712374581899</v>
      </c>
      <c r="G493">
        <v>1.4717762230640601</v>
      </c>
      <c r="H493">
        <v>7.7974913585597799E-2</v>
      </c>
      <c r="I493">
        <v>-0.77467204294569103</v>
      </c>
      <c r="J493">
        <v>-4.28</v>
      </c>
      <c r="L493">
        <v>1.5497511366496579</v>
      </c>
      <c r="M493">
        <v>1.3938013094784623</v>
      </c>
      <c r="N493">
        <v>1.6277260502352557</v>
      </c>
      <c r="O493">
        <v>1.3158263958928644</v>
      </c>
    </row>
    <row r="494" spans="1:15">
      <c r="A494" s="19">
        <v>43115</v>
      </c>
      <c r="B494">
        <v>2975</v>
      </c>
      <c r="C494">
        <v>2972</v>
      </c>
      <c r="D494">
        <v>2034</v>
      </c>
      <c r="E494">
        <v>2046</v>
      </c>
      <c r="F494">
        <v>1.4525904203323501</v>
      </c>
      <c r="G494">
        <v>1.47134633353542</v>
      </c>
      <c r="H494">
        <v>7.8394500194625696E-2</v>
      </c>
      <c r="I494">
        <v>-0.23925037032584101</v>
      </c>
      <c r="J494">
        <v>-1.29</v>
      </c>
      <c r="L494">
        <v>1.5497408337300458</v>
      </c>
      <c r="M494">
        <v>1.3929518333407942</v>
      </c>
      <c r="N494">
        <v>1.6281353339246714</v>
      </c>
      <c r="O494">
        <v>1.3145573331461686</v>
      </c>
    </row>
    <row r="495" spans="1:15">
      <c r="A495" s="19">
        <v>43112</v>
      </c>
      <c r="B495">
        <v>3035</v>
      </c>
      <c r="C495">
        <v>2960</v>
      </c>
      <c r="D495">
        <v>2020</v>
      </c>
      <c r="E495">
        <v>1992</v>
      </c>
      <c r="F495">
        <v>1.4859437751004001</v>
      </c>
      <c r="G495">
        <v>1.4704199740171799</v>
      </c>
      <c r="H495">
        <v>7.9018666168339802E-2</v>
      </c>
      <c r="I495">
        <v>0.19645739210707899</v>
      </c>
      <c r="J495">
        <v>1.04</v>
      </c>
      <c r="L495">
        <v>1.5494386401855198</v>
      </c>
      <c r="M495">
        <v>1.3914013078488401</v>
      </c>
      <c r="N495">
        <v>1.6284573063538597</v>
      </c>
      <c r="O495">
        <v>1.3123826416805002</v>
      </c>
    </row>
    <row r="496" spans="1:15">
      <c r="A496" s="19">
        <v>43111</v>
      </c>
      <c r="B496">
        <v>2989</v>
      </c>
      <c r="C496">
        <v>3015</v>
      </c>
      <c r="D496">
        <v>2017</v>
      </c>
      <c r="E496">
        <v>2024</v>
      </c>
      <c r="F496">
        <v>1.48962450592885</v>
      </c>
      <c r="G496">
        <v>1.4692797067333601</v>
      </c>
      <c r="H496">
        <v>7.9402534842695299E-2</v>
      </c>
      <c r="I496">
        <v>0.25622354797354402</v>
      </c>
      <c r="J496">
        <v>1.37</v>
      </c>
      <c r="L496">
        <v>1.5486822415760553</v>
      </c>
      <c r="M496">
        <v>1.3898771718906648</v>
      </c>
      <c r="N496">
        <v>1.6280847764187507</v>
      </c>
      <c r="O496">
        <v>1.3104746370479694</v>
      </c>
    </row>
    <row r="497" spans="1:15">
      <c r="A497" s="19">
        <v>43110</v>
      </c>
      <c r="B497">
        <v>2958</v>
      </c>
      <c r="C497">
        <v>2975</v>
      </c>
      <c r="D497">
        <v>1992</v>
      </c>
      <c r="E497">
        <v>2005</v>
      </c>
      <c r="F497">
        <v>1.48379052369077</v>
      </c>
      <c r="G497">
        <v>1.4684051650591099</v>
      </c>
      <c r="H497">
        <v>7.9534738965462107E-2</v>
      </c>
      <c r="I497">
        <v>0.19344199568367901</v>
      </c>
      <c r="J497">
        <v>1.04</v>
      </c>
      <c r="L497">
        <v>1.547939904024572</v>
      </c>
      <c r="M497">
        <v>1.3888704260936477</v>
      </c>
      <c r="N497">
        <v>1.6274746429900342</v>
      </c>
      <c r="O497">
        <v>1.3093356871281856</v>
      </c>
    </row>
    <row r="498" spans="1:15">
      <c r="A498" s="19">
        <v>43109</v>
      </c>
      <c r="B498">
        <v>2995</v>
      </c>
      <c r="C498">
        <v>2962</v>
      </c>
      <c r="D498">
        <v>1958</v>
      </c>
      <c r="E498">
        <v>1997</v>
      </c>
      <c r="F498">
        <v>1.4832248372558801</v>
      </c>
      <c r="G498">
        <v>1.4671421466500001</v>
      </c>
      <c r="H498">
        <v>8.0030973173322098E-2</v>
      </c>
      <c r="I498">
        <v>0.20095582957678201</v>
      </c>
      <c r="J498">
        <v>1.08</v>
      </c>
      <c r="L498">
        <v>1.5471731198233223</v>
      </c>
      <c r="M498">
        <v>1.3871111734766779</v>
      </c>
      <c r="N498">
        <v>1.6272040929966443</v>
      </c>
      <c r="O498">
        <v>1.3070802003033559</v>
      </c>
    </row>
    <row r="499" spans="1:15">
      <c r="A499" s="19">
        <v>43105</v>
      </c>
      <c r="B499">
        <v>2980</v>
      </c>
      <c r="C499">
        <v>2989</v>
      </c>
      <c r="D499">
        <v>1937</v>
      </c>
      <c r="E499">
        <v>1955</v>
      </c>
      <c r="F499">
        <v>1.52890025575447</v>
      </c>
      <c r="G499">
        <v>1.46581920531709</v>
      </c>
      <c r="H499">
        <v>8.0572430854342902E-2</v>
      </c>
      <c r="I499">
        <v>0.782911099597008</v>
      </c>
      <c r="J499">
        <v>4.13</v>
      </c>
      <c r="L499">
        <v>1.5463916361714329</v>
      </c>
      <c r="M499">
        <v>1.385246774462747</v>
      </c>
      <c r="N499">
        <v>1.6269640670257757</v>
      </c>
      <c r="O499">
        <v>1.3046743436084043</v>
      </c>
    </row>
    <row r="500" spans="1:15">
      <c r="A500" s="19">
        <v>43104</v>
      </c>
      <c r="B500">
        <v>2967</v>
      </c>
      <c r="C500">
        <v>2953</v>
      </c>
      <c r="D500">
        <v>1918</v>
      </c>
      <c r="E500">
        <v>1923</v>
      </c>
      <c r="F500">
        <v>1.5356214248569899</v>
      </c>
      <c r="G500">
        <v>1.4638706018369301</v>
      </c>
      <c r="H500">
        <v>8.0790214838452001E-2</v>
      </c>
      <c r="I500">
        <v>0.88811278895012802</v>
      </c>
      <c r="J500">
        <v>4.67</v>
      </c>
      <c r="L500">
        <v>1.5446608166753821</v>
      </c>
      <c r="M500">
        <v>1.383080386998478</v>
      </c>
      <c r="N500">
        <v>1.6254510315138342</v>
      </c>
      <c r="O500">
        <v>1.302290172160026</v>
      </c>
    </row>
    <row r="501" spans="1:15">
      <c r="A501" s="19">
        <v>43098</v>
      </c>
      <c r="B501">
        <v>2985</v>
      </c>
      <c r="C501">
        <v>2965</v>
      </c>
      <c r="D501">
        <v>1916</v>
      </c>
      <c r="E501">
        <v>1897</v>
      </c>
      <c r="F501">
        <v>1.56299420137058</v>
      </c>
      <c r="G501">
        <v>1.461602256742</v>
      </c>
      <c r="H501">
        <v>8.1131414257924403E-2</v>
      </c>
      <c r="I501">
        <v>1.2497248514150501</v>
      </c>
      <c r="J501">
        <v>6.49</v>
      </c>
      <c r="L501">
        <v>1.5427336709999244</v>
      </c>
      <c r="M501">
        <v>1.3804708424840755</v>
      </c>
      <c r="N501">
        <v>1.6238650852578487</v>
      </c>
      <c r="O501">
        <v>1.2993394282261512</v>
      </c>
    </row>
    <row r="502" spans="1:15">
      <c r="A502" s="19">
        <v>43097</v>
      </c>
      <c r="B502">
        <v>2962</v>
      </c>
      <c r="C502">
        <v>2945</v>
      </c>
      <c r="D502">
        <v>1926</v>
      </c>
      <c r="E502">
        <v>1916</v>
      </c>
      <c r="F502">
        <v>1.53705636743215</v>
      </c>
      <c r="G502">
        <v>1.4593764065517301</v>
      </c>
      <c r="H502">
        <v>8.0607481613987106E-2</v>
      </c>
      <c r="I502">
        <v>0.96368177401209598</v>
      </c>
      <c r="J502">
        <v>5.05</v>
      </c>
      <c r="L502">
        <v>1.5399838881657171</v>
      </c>
      <c r="M502">
        <v>1.3787689249377431</v>
      </c>
      <c r="N502">
        <v>1.6205913697797043</v>
      </c>
      <c r="O502">
        <v>1.2981614433237558</v>
      </c>
    </row>
    <row r="503" spans="1:15">
      <c r="A503" s="19">
        <v>43096</v>
      </c>
      <c r="B503">
        <v>2942</v>
      </c>
      <c r="C503">
        <v>2964</v>
      </c>
      <c r="D503">
        <v>1903</v>
      </c>
      <c r="E503">
        <v>1926</v>
      </c>
      <c r="F503">
        <v>1.53894080996884</v>
      </c>
      <c r="G503">
        <v>1.45722727250161</v>
      </c>
      <c r="H503">
        <v>8.0656470940080799E-2</v>
      </c>
      <c r="I503">
        <v>1.0131057869856299</v>
      </c>
      <c r="J503">
        <v>5.31</v>
      </c>
      <c r="L503">
        <v>1.5378837434416908</v>
      </c>
      <c r="M503">
        <v>1.3765708015615292</v>
      </c>
      <c r="N503">
        <v>1.6185402143817715</v>
      </c>
      <c r="O503">
        <v>1.2959143306214485</v>
      </c>
    </row>
    <row r="504" spans="1:15">
      <c r="A504" s="19">
        <v>43095</v>
      </c>
      <c r="B504">
        <v>2986</v>
      </c>
      <c r="C504">
        <v>2962</v>
      </c>
      <c r="D504">
        <v>1933</v>
      </c>
      <c r="E504">
        <v>1927</v>
      </c>
      <c r="F504">
        <v>1.53710430721328</v>
      </c>
      <c r="G504">
        <v>1.4548820681467101</v>
      </c>
      <c r="H504">
        <v>8.0803435528233603E-2</v>
      </c>
      <c r="I504">
        <v>1.01755870315494</v>
      </c>
      <c r="J504">
        <v>5.35</v>
      </c>
      <c r="L504">
        <v>1.5356855036749437</v>
      </c>
      <c r="M504">
        <v>1.3740786326184764</v>
      </c>
      <c r="N504">
        <v>1.6164889392031774</v>
      </c>
      <c r="O504">
        <v>1.2932751970902427</v>
      </c>
    </row>
    <row r="505" spans="1:15">
      <c r="A505" s="19">
        <v>43094</v>
      </c>
      <c r="B505">
        <v>2971</v>
      </c>
      <c r="C505">
        <v>2966</v>
      </c>
      <c r="D505">
        <v>1946</v>
      </c>
      <c r="E505">
        <v>1931</v>
      </c>
      <c r="F505">
        <v>1.5359917141377499</v>
      </c>
      <c r="G505">
        <v>1.45221250396524</v>
      </c>
      <c r="H505">
        <v>8.1348426539820495E-2</v>
      </c>
      <c r="I505">
        <v>1.02988113889942</v>
      </c>
      <c r="J505">
        <v>5.45</v>
      </c>
      <c r="L505">
        <v>1.5335609305050606</v>
      </c>
      <c r="M505">
        <v>1.3708640774254195</v>
      </c>
      <c r="N505">
        <v>1.6149093570448811</v>
      </c>
      <c r="O505">
        <v>1.2895156508855989</v>
      </c>
    </row>
    <row r="506" spans="1:15">
      <c r="A506" s="19">
        <v>43091</v>
      </c>
      <c r="B506">
        <v>2900</v>
      </c>
      <c r="C506">
        <v>2960</v>
      </c>
      <c r="D506">
        <v>1942</v>
      </c>
      <c r="E506">
        <v>1946</v>
      </c>
      <c r="F506">
        <v>1.5210688591983501</v>
      </c>
      <c r="G506">
        <v>1.4496651264948199</v>
      </c>
      <c r="H506">
        <v>8.1675747451868605E-2</v>
      </c>
      <c r="I506">
        <v>0.874234211882847</v>
      </c>
      <c r="J506">
        <v>4.6900000000000004</v>
      </c>
      <c r="L506">
        <v>1.5313408739466885</v>
      </c>
      <c r="M506">
        <v>1.3679893790429514</v>
      </c>
      <c r="N506">
        <v>1.6130166213985571</v>
      </c>
      <c r="O506">
        <v>1.2863136315910828</v>
      </c>
    </row>
    <row r="507" spans="1:15">
      <c r="A507" s="19">
        <v>43090</v>
      </c>
      <c r="B507">
        <v>2834</v>
      </c>
      <c r="C507">
        <v>2868</v>
      </c>
      <c r="D507">
        <v>1922</v>
      </c>
      <c r="E507">
        <v>1937</v>
      </c>
      <c r="F507">
        <v>1.4806401652039201</v>
      </c>
      <c r="G507">
        <v>1.4470463658470301</v>
      </c>
      <c r="H507">
        <v>8.2488994985112599E-2</v>
      </c>
      <c r="I507">
        <v>0.40725189297008302</v>
      </c>
      <c r="J507">
        <v>2.27</v>
      </c>
      <c r="L507">
        <v>1.5295353608321427</v>
      </c>
      <c r="M507">
        <v>1.3645573708619174</v>
      </c>
      <c r="N507">
        <v>1.6120243558172553</v>
      </c>
      <c r="O507">
        <v>1.2820683758768048</v>
      </c>
    </row>
    <row r="508" spans="1:15">
      <c r="A508" s="19">
        <v>43089</v>
      </c>
      <c r="B508">
        <v>2850</v>
      </c>
      <c r="C508">
        <v>2842</v>
      </c>
      <c r="D508">
        <v>1922</v>
      </c>
      <c r="E508">
        <v>1922</v>
      </c>
      <c r="F508">
        <v>1.4786680541102999</v>
      </c>
      <c r="G508">
        <v>1.444747602734</v>
      </c>
      <c r="H508">
        <v>8.3910815732919905E-2</v>
      </c>
      <c r="I508">
        <v>0.404244090347749</v>
      </c>
      <c r="J508">
        <v>2.29</v>
      </c>
      <c r="L508">
        <v>1.5286584184669199</v>
      </c>
      <c r="M508">
        <v>1.3608367870010802</v>
      </c>
      <c r="N508">
        <v>1.6125692341998399</v>
      </c>
      <c r="O508">
        <v>1.2769259712681602</v>
      </c>
    </row>
    <row r="509" spans="1:15">
      <c r="A509" s="19">
        <v>43088</v>
      </c>
      <c r="B509">
        <v>2841</v>
      </c>
      <c r="C509">
        <v>2845</v>
      </c>
      <c r="D509">
        <v>1954</v>
      </c>
      <c r="E509">
        <v>1932</v>
      </c>
      <c r="F509">
        <v>1.4725672877846701</v>
      </c>
      <c r="G509">
        <v>1.4425704902176599</v>
      </c>
      <c r="H509">
        <v>8.5112127912029906E-2</v>
      </c>
      <c r="I509">
        <v>0.35243858076272799</v>
      </c>
      <c r="J509">
        <v>2.04</v>
      </c>
      <c r="L509">
        <v>1.5276826181296899</v>
      </c>
      <c r="M509">
        <v>1.35745836230563</v>
      </c>
      <c r="N509">
        <v>1.6127947460417198</v>
      </c>
      <c r="O509">
        <v>1.2723462343936001</v>
      </c>
    </row>
    <row r="510" spans="1:15">
      <c r="A510" s="19">
        <v>43087</v>
      </c>
      <c r="B510">
        <v>2938</v>
      </c>
      <c r="C510">
        <v>2841</v>
      </c>
      <c r="D510">
        <v>1961</v>
      </c>
      <c r="E510">
        <v>1937</v>
      </c>
      <c r="F510">
        <v>1.46670108415074</v>
      </c>
      <c r="G510">
        <v>1.44064545038602</v>
      </c>
      <c r="H510">
        <v>8.6039594696799795E-2</v>
      </c>
      <c r="I510">
        <v>0.30283306025025197</v>
      </c>
      <c r="J510">
        <v>1.78</v>
      </c>
      <c r="L510">
        <v>1.5266850450828198</v>
      </c>
      <c r="M510">
        <v>1.3546058556892202</v>
      </c>
      <c r="N510">
        <v>1.6127246397796196</v>
      </c>
      <c r="O510">
        <v>1.2685662609924204</v>
      </c>
    </row>
    <row r="511" spans="1:15">
      <c r="A511" s="19">
        <v>43084</v>
      </c>
      <c r="B511">
        <v>2927</v>
      </c>
      <c r="C511">
        <v>2931</v>
      </c>
      <c r="D511">
        <v>1897</v>
      </c>
      <c r="E511">
        <v>1954</v>
      </c>
      <c r="F511">
        <v>1.5</v>
      </c>
      <c r="G511">
        <v>1.43849137174321</v>
      </c>
      <c r="H511">
        <v>8.7372330530388106E-2</v>
      </c>
      <c r="I511">
        <v>0.70398291865859397</v>
      </c>
      <c r="J511">
        <v>4.0999999999999996</v>
      </c>
      <c r="L511">
        <v>1.5258637022735981</v>
      </c>
      <c r="M511">
        <v>1.3511190412128218</v>
      </c>
      <c r="N511">
        <v>1.6132360328039861</v>
      </c>
      <c r="O511">
        <v>1.2637467106824338</v>
      </c>
    </row>
    <row r="512" spans="1:15">
      <c r="A512" s="19">
        <v>43083</v>
      </c>
      <c r="B512">
        <v>2904</v>
      </c>
      <c r="C512">
        <v>2912</v>
      </c>
      <c r="D512">
        <v>1892</v>
      </c>
      <c r="E512">
        <v>1896</v>
      </c>
      <c r="F512">
        <v>1.5358649789029499</v>
      </c>
      <c r="G512">
        <v>1.43562081506984</v>
      </c>
      <c r="H512">
        <v>8.8828842225934304E-2</v>
      </c>
      <c r="I512">
        <v>1.1285091792386901</v>
      </c>
      <c r="J512">
        <v>6.53</v>
      </c>
      <c r="L512">
        <v>1.5244496572957742</v>
      </c>
      <c r="M512">
        <v>1.3467919728439057</v>
      </c>
      <c r="N512">
        <v>1.6132784995217087</v>
      </c>
      <c r="O512">
        <v>1.2579631306179713</v>
      </c>
    </row>
    <row r="513" spans="1:15">
      <c r="A513" s="19">
        <v>43082</v>
      </c>
      <c r="B513">
        <v>2849</v>
      </c>
      <c r="C513">
        <v>2865</v>
      </c>
      <c r="D513">
        <v>1897</v>
      </c>
      <c r="E513">
        <v>1899</v>
      </c>
      <c r="F513">
        <v>1.5086887835703</v>
      </c>
      <c r="G513">
        <v>1.4324074857120901</v>
      </c>
      <c r="H513">
        <v>8.9500916830867694E-2</v>
      </c>
      <c r="I513">
        <v>0.85229627314724399</v>
      </c>
      <c r="J513">
        <v>5.0599999999999996</v>
      </c>
      <c r="L513">
        <v>1.5219084025429579</v>
      </c>
      <c r="M513">
        <v>1.3429065688812223</v>
      </c>
      <c r="N513">
        <v>1.6114093193738255</v>
      </c>
      <c r="O513">
        <v>1.2534056520503547</v>
      </c>
    </row>
    <row r="514" spans="1:15">
      <c r="A514" s="19">
        <v>43081</v>
      </c>
      <c r="B514">
        <v>2870</v>
      </c>
      <c r="C514">
        <v>2849</v>
      </c>
      <c r="D514">
        <v>1901</v>
      </c>
      <c r="E514">
        <v>1892</v>
      </c>
      <c r="F514">
        <v>1.5058139534883701</v>
      </c>
      <c r="G514">
        <v>1.42923328516388</v>
      </c>
      <c r="H514">
        <v>9.0949109250749394E-2</v>
      </c>
      <c r="I514">
        <v>0.84201669434006599</v>
      </c>
      <c r="J514">
        <v>5.09</v>
      </c>
      <c r="L514">
        <v>1.5201823944146295</v>
      </c>
      <c r="M514">
        <v>1.3382841759131305</v>
      </c>
      <c r="N514">
        <v>1.6111315036653788</v>
      </c>
      <c r="O514">
        <v>1.2473350666623813</v>
      </c>
    </row>
    <row r="515" spans="1:15">
      <c r="A515" s="19">
        <v>43080</v>
      </c>
      <c r="B515">
        <v>2875</v>
      </c>
      <c r="C515">
        <v>2878</v>
      </c>
      <c r="D515">
        <v>1885</v>
      </c>
      <c r="E515">
        <v>1901</v>
      </c>
      <c r="F515">
        <v>1.5139400315623299</v>
      </c>
      <c r="G515">
        <v>1.4259798863870501</v>
      </c>
      <c r="H515">
        <v>9.2502466100494493E-2</v>
      </c>
      <c r="I515">
        <v>0.95089513699800599</v>
      </c>
      <c r="J515">
        <v>5.81</v>
      </c>
      <c r="L515">
        <v>1.5184823524875446</v>
      </c>
      <c r="M515">
        <v>1.3334774202865556</v>
      </c>
      <c r="N515">
        <v>1.6109848185880391</v>
      </c>
      <c r="O515">
        <v>1.2409749541860611</v>
      </c>
    </row>
    <row r="516" spans="1:15">
      <c r="A516" s="19">
        <v>43077</v>
      </c>
      <c r="B516">
        <v>2891</v>
      </c>
      <c r="C516">
        <v>2870</v>
      </c>
      <c r="D516">
        <v>1870</v>
      </c>
      <c r="E516">
        <v>1885</v>
      </c>
      <c r="F516">
        <v>1.5225464190981399</v>
      </c>
      <c r="G516">
        <v>1.4226354171490101</v>
      </c>
      <c r="H516">
        <v>9.3787373068434196E-2</v>
      </c>
      <c r="I516">
        <v>1.0652926793911099</v>
      </c>
      <c r="J516">
        <v>6.56</v>
      </c>
      <c r="L516">
        <v>1.5164227902174443</v>
      </c>
      <c r="M516">
        <v>1.3288480440805759</v>
      </c>
      <c r="N516">
        <v>1.6102101632858785</v>
      </c>
      <c r="O516">
        <v>1.2350606710121417</v>
      </c>
    </row>
    <row r="517" spans="1:15">
      <c r="A517" s="19">
        <v>43076</v>
      </c>
      <c r="B517">
        <v>2868</v>
      </c>
      <c r="C517">
        <v>2914</v>
      </c>
      <c r="D517">
        <v>1852</v>
      </c>
      <c r="E517">
        <v>1868</v>
      </c>
      <c r="F517">
        <v>1.5599571734475299</v>
      </c>
      <c r="G517">
        <v>1.4191563470492501</v>
      </c>
      <c r="H517">
        <v>9.4850236247519801E-2</v>
      </c>
      <c r="I517">
        <v>1.4844541454894</v>
      </c>
      <c r="J517">
        <v>9.0299999999999994</v>
      </c>
      <c r="L517">
        <v>1.51400658329677</v>
      </c>
      <c r="M517">
        <v>1.3243061108017302</v>
      </c>
      <c r="N517">
        <v>1.6088568195442896</v>
      </c>
      <c r="O517">
        <v>1.2294558745542106</v>
      </c>
    </row>
    <row r="518" spans="1:15">
      <c r="A518" s="19">
        <v>43075</v>
      </c>
      <c r="B518">
        <v>2807</v>
      </c>
      <c r="C518">
        <v>2809</v>
      </c>
      <c r="D518">
        <v>1818</v>
      </c>
      <c r="E518">
        <v>1827</v>
      </c>
      <c r="F518">
        <v>1.53749315818281</v>
      </c>
      <c r="G518">
        <v>1.41520725820601</v>
      </c>
      <c r="H518">
        <v>9.5071287832387802E-2</v>
      </c>
      <c r="I518">
        <v>1.2862547964259601</v>
      </c>
      <c r="J518">
        <v>7.95</v>
      </c>
      <c r="L518">
        <v>1.5102785460383978</v>
      </c>
      <c r="M518">
        <v>1.3201359703736222</v>
      </c>
      <c r="N518">
        <v>1.6053498338707857</v>
      </c>
      <c r="O518">
        <v>1.2250646825412344</v>
      </c>
    </row>
    <row r="519" spans="1:15">
      <c r="A519" s="19">
        <v>43074</v>
      </c>
      <c r="B519">
        <v>2820</v>
      </c>
      <c r="C519">
        <v>2836</v>
      </c>
      <c r="D519">
        <v>1875</v>
      </c>
      <c r="E519">
        <v>1834</v>
      </c>
      <c r="F519">
        <v>1.546346782988</v>
      </c>
      <c r="G519">
        <v>1.4114927650515801</v>
      </c>
      <c r="H519">
        <v>9.5661389748388198E-2</v>
      </c>
      <c r="I519">
        <v>1.4097016391996799</v>
      </c>
      <c r="J519">
        <v>8.7200000000000006</v>
      </c>
      <c r="L519">
        <v>1.5071541547999683</v>
      </c>
      <c r="M519">
        <v>1.3158313753031918</v>
      </c>
      <c r="N519">
        <v>1.6028155445483565</v>
      </c>
      <c r="O519">
        <v>1.2201699855548036</v>
      </c>
    </row>
    <row r="520" spans="1:15">
      <c r="A520" s="19">
        <v>43073</v>
      </c>
      <c r="B520">
        <v>2941</v>
      </c>
      <c r="C520">
        <v>2853</v>
      </c>
      <c r="D520">
        <v>1922</v>
      </c>
      <c r="E520">
        <v>1880</v>
      </c>
      <c r="F520">
        <v>1.5175531914893601</v>
      </c>
      <c r="G520">
        <v>1.4075600212311901</v>
      </c>
      <c r="H520">
        <v>9.6098532507040701E-2</v>
      </c>
      <c r="I520">
        <v>1.1445874082427201</v>
      </c>
      <c r="J520">
        <v>7.25</v>
      </c>
      <c r="L520">
        <v>1.5036585537382308</v>
      </c>
      <c r="M520">
        <v>1.3114614887241494</v>
      </c>
      <c r="N520">
        <v>1.5997570862452715</v>
      </c>
      <c r="O520">
        <v>1.2153629562171087</v>
      </c>
    </row>
    <row r="521" spans="1:15">
      <c r="A521" s="19">
        <v>43070</v>
      </c>
      <c r="B521">
        <v>2960</v>
      </c>
      <c r="C521">
        <v>2903</v>
      </c>
      <c r="D521">
        <v>1922</v>
      </c>
      <c r="E521">
        <v>1903</v>
      </c>
      <c r="F521">
        <v>1.52548607461902</v>
      </c>
      <c r="G521">
        <v>1.4041248935644</v>
      </c>
      <c r="H521">
        <v>9.6708088285478305E-2</v>
      </c>
      <c r="I521">
        <v>1.25492275988705</v>
      </c>
      <c r="J521">
        <v>7.96</v>
      </c>
      <c r="L521">
        <v>1.5008329818498782</v>
      </c>
      <c r="M521">
        <v>1.3074168052789217</v>
      </c>
      <c r="N521">
        <v>1.5975410701353565</v>
      </c>
      <c r="O521">
        <v>1.2107087169934434</v>
      </c>
    </row>
    <row r="522" spans="1:15">
      <c r="A522" s="19">
        <v>43069</v>
      </c>
      <c r="B522">
        <v>2909</v>
      </c>
      <c r="C522">
        <v>2928</v>
      </c>
      <c r="D522">
        <v>1917</v>
      </c>
      <c r="E522">
        <v>1922</v>
      </c>
      <c r="F522">
        <v>1.5234131113423499</v>
      </c>
      <c r="G522">
        <v>1.4005386135573901</v>
      </c>
      <c r="H522">
        <v>9.7127379778869094E-2</v>
      </c>
      <c r="I522">
        <v>1.26508609688334</v>
      </c>
      <c r="J522">
        <v>8.07</v>
      </c>
      <c r="L522">
        <v>1.497665993336259</v>
      </c>
      <c r="M522">
        <v>1.3034112337785211</v>
      </c>
      <c r="N522">
        <v>1.5947933731151283</v>
      </c>
      <c r="O522">
        <v>1.2062838539996519</v>
      </c>
    </row>
    <row r="523" spans="1:15">
      <c r="A523" s="19">
        <v>43068</v>
      </c>
      <c r="B523">
        <v>2889</v>
      </c>
      <c r="C523">
        <v>2909</v>
      </c>
      <c r="D523">
        <v>1910</v>
      </c>
      <c r="E523">
        <v>1914</v>
      </c>
      <c r="F523">
        <v>1.51985370950888</v>
      </c>
      <c r="G523">
        <v>1.39693872121964</v>
      </c>
      <c r="H523">
        <v>9.7509182208433895E-2</v>
      </c>
      <c r="I523">
        <v>1.26054783257739</v>
      </c>
      <c r="J523">
        <v>8.09</v>
      </c>
      <c r="L523">
        <v>1.494447903428074</v>
      </c>
      <c r="M523">
        <v>1.2994295390112061</v>
      </c>
      <c r="N523">
        <v>1.5919570856365077</v>
      </c>
      <c r="O523">
        <v>1.2019203568027723</v>
      </c>
    </row>
    <row r="524" spans="1:15">
      <c r="A524" s="19">
        <v>43067</v>
      </c>
      <c r="B524">
        <v>2851</v>
      </c>
      <c r="C524">
        <v>2851</v>
      </c>
      <c r="D524">
        <v>1892</v>
      </c>
      <c r="E524">
        <v>1886</v>
      </c>
      <c r="F524">
        <v>1.51166489925768</v>
      </c>
      <c r="G524">
        <v>1.3934995646349699</v>
      </c>
      <c r="H524">
        <v>9.7661916248481806E-2</v>
      </c>
      <c r="I524">
        <v>1.2099428227689299</v>
      </c>
      <c r="J524">
        <v>7.82</v>
      </c>
      <c r="L524">
        <v>1.4911614808834517</v>
      </c>
      <c r="M524">
        <v>1.2958376483864882</v>
      </c>
      <c r="N524">
        <v>1.5888233971319337</v>
      </c>
      <c r="O524">
        <v>1.1981757321380062</v>
      </c>
    </row>
    <row r="525" spans="1:15">
      <c r="A525" s="19">
        <v>43066</v>
      </c>
      <c r="B525">
        <v>2884</v>
      </c>
      <c r="C525">
        <v>2879</v>
      </c>
      <c r="D525">
        <v>1891</v>
      </c>
      <c r="E525">
        <v>1902</v>
      </c>
      <c r="F525">
        <v>1.51366982124079</v>
      </c>
      <c r="G525">
        <v>1.3900375810319701</v>
      </c>
      <c r="H525">
        <v>9.8013220731205594E-2</v>
      </c>
      <c r="I525">
        <v>1.26138330407364</v>
      </c>
      <c r="J525">
        <v>8.17</v>
      </c>
      <c r="L525">
        <v>1.4880508017631757</v>
      </c>
      <c r="M525">
        <v>1.2920243603007644</v>
      </c>
      <c r="N525">
        <v>1.5860640224943812</v>
      </c>
      <c r="O525">
        <v>1.194011139569559</v>
      </c>
    </row>
    <row r="526" spans="1:15">
      <c r="A526" s="19">
        <v>43063</v>
      </c>
      <c r="B526">
        <v>2897</v>
      </c>
      <c r="C526">
        <v>2895</v>
      </c>
      <c r="D526">
        <v>1882</v>
      </c>
      <c r="E526">
        <v>1872</v>
      </c>
      <c r="F526">
        <v>1.5464743589743499</v>
      </c>
      <c r="G526">
        <v>1.3868801101371899</v>
      </c>
      <c r="H526">
        <v>9.77937273002462E-2</v>
      </c>
      <c r="I526">
        <v>1.63194770506274</v>
      </c>
      <c r="J526">
        <v>10.32</v>
      </c>
      <c r="L526">
        <v>1.4846738374374362</v>
      </c>
      <c r="M526">
        <v>1.2890863828369437</v>
      </c>
      <c r="N526">
        <v>1.5824675647376822</v>
      </c>
      <c r="O526">
        <v>1.1912926555366976</v>
      </c>
    </row>
    <row r="527" spans="1:15">
      <c r="A527" s="19">
        <v>43061</v>
      </c>
      <c r="B527">
        <v>2958</v>
      </c>
      <c r="C527">
        <v>2922</v>
      </c>
      <c r="D527">
        <v>1902</v>
      </c>
      <c r="E527">
        <v>1888</v>
      </c>
      <c r="F527">
        <v>1.5476694915254201</v>
      </c>
      <c r="G527">
        <v>1.38319014086057</v>
      </c>
      <c r="H527">
        <v>9.6919512848661502E-2</v>
      </c>
      <c r="I527">
        <v>1.69707157857549</v>
      </c>
      <c r="J527">
        <v>10.63</v>
      </c>
      <c r="L527">
        <v>1.4801096537092315</v>
      </c>
      <c r="M527">
        <v>1.2862706280119085</v>
      </c>
      <c r="N527">
        <v>1.577029166557893</v>
      </c>
      <c r="O527">
        <v>1.189351115163247</v>
      </c>
    </row>
    <row r="528" spans="1:15">
      <c r="A528" s="19">
        <v>43060</v>
      </c>
      <c r="B528">
        <v>2899</v>
      </c>
      <c r="C528">
        <v>2926</v>
      </c>
      <c r="D528">
        <v>1883</v>
      </c>
      <c r="E528">
        <v>1897</v>
      </c>
      <c r="F528">
        <v>1.54243542435424</v>
      </c>
      <c r="G528">
        <v>1.3792623665702799</v>
      </c>
      <c r="H528">
        <v>9.6140235312579606E-2</v>
      </c>
      <c r="I528">
        <v>1.69724004994829</v>
      </c>
      <c r="J528">
        <v>10.58</v>
      </c>
      <c r="L528">
        <v>1.4754026018828594</v>
      </c>
      <c r="M528">
        <v>1.2831221312577004</v>
      </c>
      <c r="N528">
        <v>1.5715428371954392</v>
      </c>
      <c r="O528">
        <v>1.1869818959451206</v>
      </c>
    </row>
    <row r="529" spans="1:15">
      <c r="A529" s="19">
        <v>43059</v>
      </c>
      <c r="B529">
        <v>2875</v>
      </c>
      <c r="C529">
        <v>2904</v>
      </c>
      <c r="D529">
        <v>1905</v>
      </c>
      <c r="E529">
        <v>1883</v>
      </c>
      <c r="F529">
        <v>1.5422198619224601</v>
      </c>
      <c r="G529">
        <v>1.3754306200102</v>
      </c>
      <c r="H529">
        <v>9.5283566715806803E-2</v>
      </c>
      <c r="I529">
        <v>1.7504512862089601</v>
      </c>
      <c r="J529">
        <v>10.81</v>
      </c>
      <c r="L529">
        <v>1.4707141867260067</v>
      </c>
      <c r="M529">
        <v>1.2801470532943933</v>
      </c>
      <c r="N529">
        <v>1.5659977534418137</v>
      </c>
      <c r="O529">
        <v>1.1848634865785863</v>
      </c>
    </row>
    <row r="530" spans="1:15">
      <c r="A530" s="19">
        <v>43056</v>
      </c>
      <c r="B530">
        <v>2908</v>
      </c>
      <c r="C530">
        <v>2884</v>
      </c>
      <c r="D530">
        <v>1916</v>
      </c>
      <c r="E530">
        <v>1906</v>
      </c>
      <c r="F530">
        <v>1.51311647429171</v>
      </c>
      <c r="G530">
        <v>1.37147015251235</v>
      </c>
      <c r="H530">
        <v>9.4438041859358807E-2</v>
      </c>
      <c r="I530">
        <v>1.49988626395183</v>
      </c>
      <c r="J530">
        <v>9.36</v>
      </c>
      <c r="L530">
        <v>1.4659081943717089</v>
      </c>
      <c r="M530">
        <v>1.2770321106529912</v>
      </c>
      <c r="N530">
        <v>1.5603462362310676</v>
      </c>
      <c r="O530">
        <v>1.1825940687936325</v>
      </c>
    </row>
    <row r="531" spans="1:15">
      <c r="A531" s="19">
        <v>43055</v>
      </c>
      <c r="B531">
        <v>2838</v>
      </c>
      <c r="C531">
        <v>2895</v>
      </c>
      <c r="D531">
        <v>1887</v>
      </c>
      <c r="E531">
        <v>1906</v>
      </c>
      <c r="F531">
        <v>1.5188877229800599</v>
      </c>
      <c r="G531">
        <v>1.3681986503722201</v>
      </c>
      <c r="H531">
        <v>9.37216784061011E-2</v>
      </c>
      <c r="I531">
        <v>1.6078358302003</v>
      </c>
      <c r="J531">
        <v>9.92</v>
      </c>
      <c r="L531">
        <v>1.4619203287783211</v>
      </c>
      <c r="M531">
        <v>1.2744769719661191</v>
      </c>
      <c r="N531">
        <v>1.5556420071844224</v>
      </c>
      <c r="O531">
        <v>1.1807552935600178</v>
      </c>
    </row>
    <row r="532" spans="1:15">
      <c r="A532" s="19">
        <v>43054</v>
      </c>
      <c r="B532">
        <v>2916</v>
      </c>
      <c r="C532">
        <v>2843</v>
      </c>
      <c r="D532">
        <v>1925</v>
      </c>
      <c r="E532">
        <v>1889</v>
      </c>
      <c r="F532">
        <v>1.5050291159343501</v>
      </c>
      <c r="G532">
        <v>1.3659893373481899</v>
      </c>
      <c r="H532">
        <v>9.2082099675759504E-2</v>
      </c>
      <c r="I532">
        <v>1.50995447623095</v>
      </c>
      <c r="J532">
        <v>9.24</v>
      </c>
      <c r="L532">
        <v>1.4580714370239494</v>
      </c>
      <c r="M532">
        <v>1.2739072376724305</v>
      </c>
      <c r="N532">
        <v>1.550153536699709</v>
      </c>
      <c r="O532">
        <v>1.1818251379966709</v>
      </c>
    </row>
    <row r="533" spans="1:15">
      <c r="A533" s="19">
        <v>43053</v>
      </c>
      <c r="B533">
        <v>2930</v>
      </c>
      <c r="C533">
        <v>2916</v>
      </c>
      <c r="D533">
        <v>1939</v>
      </c>
      <c r="E533">
        <v>1937</v>
      </c>
      <c r="F533">
        <v>1.5054207537429001</v>
      </c>
      <c r="G533">
        <v>1.36395045148315</v>
      </c>
      <c r="H533">
        <v>9.0662907048307997E-2</v>
      </c>
      <c r="I533">
        <v>1.5603989201930499</v>
      </c>
      <c r="J533">
        <v>9.4</v>
      </c>
      <c r="L533">
        <v>1.454613358531458</v>
      </c>
      <c r="M533">
        <v>1.2732875444348419</v>
      </c>
      <c r="N533">
        <v>1.5452762655797661</v>
      </c>
      <c r="O533">
        <v>1.1826246373865339</v>
      </c>
    </row>
    <row r="534" spans="1:15">
      <c r="A534" s="19">
        <v>43052</v>
      </c>
      <c r="B534">
        <v>2951</v>
      </c>
      <c r="C534">
        <v>2958</v>
      </c>
      <c r="D534">
        <v>1957</v>
      </c>
      <c r="E534">
        <v>1939</v>
      </c>
      <c r="F534">
        <v>1.5255286230015399</v>
      </c>
      <c r="G534">
        <v>1.36213306635833</v>
      </c>
      <c r="H534">
        <v>8.9162573043798404E-2</v>
      </c>
      <c r="I534">
        <v>1.83255766478326</v>
      </c>
      <c r="J534">
        <v>10.71</v>
      </c>
      <c r="L534">
        <v>1.4512956394021284</v>
      </c>
      <c r="M534">
        <v>1.2729704933145316</v>
      </c>
      <c r="N534">
        <v>1.5404582124459267</v>
      </c>
      <c r="O534">
        <v>1.1838079202707332</v>
      </c>
    </row>
    <row r="535" spans="1:15">
      <c r="A535" s="19">
        <v>43049</v>
      </c>
      <c r="B535">
        <v>2953</v>
      </c>
      <c r="C535">
        <v>2981</v>
      </c>
      <c r="D535">
        <v>1950</v>
      </c>
      <c r="E535">
        <v>1971</v>
      </c>
      <c r="F535">
        <v>1.51243023845763</v>
      </c>
      <c r="G535">
        <v>1.3602299607039701</v>
      </c>
      <c r="H535">
        <v>8.7155381015996E-2</v>
      </c>
      <c r="I535">
        <v>1.7463095907494499</v>
      </c>
      <c r="J535">
        <v>10.06</v>
      </c>
      <c r="L535">
        <v>1.447385341719966</v>
      </c>
      <c r="M535">
        <v>1.2730745796879741</v>
      </c>
      <c r="N535">
        <v>1.534540722735962</v>
      </c>
      <c r="O535">
        <v>1.1859191986719781</v>
      </c>
    </row>
    <row r="536" spans="1:15">
      <c r="A536" s="19">
        <v>43048</v>
      </c>
      <c r="B536">
        <v>3010</v>
      </c>
      <c r="C536">
        <v>2986</v>
      </c>
      <c r="D536">
        <v>1979</v>
      </c>
      <c r="E536">
        <v>1984</v>
      </c>
      <c r="F536">
        <v>1.5050403225806399</v>
      </c>
      <c r="G536">
        <v>1.35908145924804</v>
      </c>
      <c r="H536">
        <v>8.5697526643618405E-2</v>
      </c>
      <c r="I536">
        <v>1.70318641679799</v>
      </c>
      <c r="J536">
        <v>9.6999999999999993</v>
      </c>
      <c r="L536">
        <v>1.4447789858916584</v>
      </c>
      <c r="M536">
        <v>1.2733839326044216</v>
      </c>
      <c r="N536">
        <v>1.5304765125352768</v>
      </c>
      <c r="O536">
        <v>1.1876864059608032</v>
      </c>
    </row>
    <row r="537" spans="1:15">
      <c r="A537" s="19">
        <v>43047</v>
      </c>
      <c r="B537">
        <v>3090</v>
      </c>
      <c r="C537">
        <v>3115</v>
      </c>
      <c r="D537">
        <v>1960</v>
      </c>
      <c r="E537">
        <v>1977</v>
      </c>
      <c r="F537">
        <v>1.57561962569549</v>
      </c>
      <c r="G537">
        <v>1.3581123591251401</v>
      </c>
      <c r="H537">
        <v>8.4443271144669693E-2</v>
      </c>
      <c r="I537">
        <v>2.57577973498582</v>
      </c>
      <c r="J537">
        <v>13.8</v>
      </c>
      <c r="L537">
        <v>1.4425556302698097</v>
      </c>
      <c r="M537">
        <v>1.2736690879804704</v>
      </c>
      <c r="N537">
        <v>1.5269989014144794</v>
      </c>
      <c r="O537">
        <v>1.1892258168358008</v>
      </c>
    </row>
    <row r="538" spans="1:15">
      <c r="A538" s="19">
        <v>43046</v>
      </c>
      <c r="B538">
        <v>3060</v>
      </c>
      <c r="C538">
        <v>3110</v>
      </c>
      <c r="D538">
        <v>1898</v>
      </c>
      <c r="E538">
        <v>1948</v>
      </c>
      <c r="F538">
        <v>1.5965092402464001</v>
      </c>
      <c r="G538">
        <v>1.3560933329901601</v>
      </c>
      <c r="H538">
        <v>8.0956895034340101E-2</v>
      </c>
      <c r="I538">
        <v>2.96967796448051</v>
      </c>
      <c r="J538">
        <v>15.06</v>
      </c>
      <c r="L538">
        <v>1.4370502280245001</v>
      </c>
      <c r="M538">
        <v>1.2751364379558201</v>
      </c>
      <c r="N538">
        <v>1.5180071230588403</v>
      </c>
      <c r="O538">
        <v>1.1941795429214799</v>
      </c>
    </row>
    <row r="539" spans="1:15">
      <c r="A539" s="19">
        <v>43045</v>
      </c>
      <c r="B539">
        <v>3045</v>
      </c>
      <c r="C539">
        <v>3040</v>
      </c>
      <c r="D539">
        <v>1868</v>
      </c>
      <c r="E539">
        <v>1863</v>
      </c>
      <c r="F539">
        <v>1.6317767042404701</v>
      </c>
      <c r="G539">
        <v>1.35377306422647</v>
      </c>
      <c r="H539">
        <v>7.6398623690777101E-2</v>
      </c>
      <c r="I539">
        <v>3.6388566519106198</v>
      </c>
      <c r="J539">
        <v>17.04</v>
      </c>
      <c r="L539">
        <v>1.4301716879172472</v>
      </c>
      <c r="M539">
        <v>1.2773744405356928</v>
      </c>
      <c r="N539">
        <v>1.5065703116080242</v>
      </c>
      <c r="O539">
        <v>1.2009758168449158</v>
      </c>
    </row>
    <row r="540" spans="1:15">
      <c r="A540" s="19">
        <v>43041</v>
      </c>
      <c r="B540">
        <v>2944</v>
      </c>
      <c r="C540">
        <v>3015</v>
      </c>
      <c r="D540">
        <v>1896</v>
      </c>
      <c r="E540">
        <v>1882</v>
      </c>
      <c r="F540">
        <v>1.6020191285865999</v>
      </c>
      <c r="G540">
        <v>1.35122545499839</v>
      </c>
      <c r="H540">
        <v>7.0003882535271705E-2</v>
      </c>
      <c r="I540">
        <v>3.5825680591623299</v>
      </c>
      <c r="J540">
        <v>15.65</v>
      </c>
      <c r="L540">
        <v>1.4212293375336618</v>
      </c>
      <c r="M540">
        <v>1.2812215724631182</v>
      </c>
      <c r="N540">
        <v>1.4912332200689333</v>
      </c>
      <c r="O540">
        <v>1.2112176899278466</v>
      </c>
    </row>
    <row r="541" spans="1:15">
      <c r="A541" s="19">
        <v>43040</v>
      </c>
      <c r="B541">
        <v>2880</v>
      </c>
      <c r="C541">
        <v>2938</v>
      </c>
      <c r="D541">
        <v>1896</v>
      </c>
      <c r="E541">
        <v>1892</v>
      </c>
      <c r="F541">
        <v>1.55285412262156</v>
      </c>
      <c r="G541">
        <v>1.34889274663202</v>
      </c>
      <c r="H541">
        <v>6.4289654413883596E-2</v>
      </c>
      <c r="I541">
        <v>3.1725380677344099</v>
      </c>
      <c r="J541">
        <v>13.13</v>
      </c>
      <c r="L541">
        <v>1.4131824010459035</v>
      </c>
      <c r="M541">
        <v>1.2846030922181364</v>
      </c>
      <c r="N541">
        <v>1.4774720554597871</v>
      </c>
      <c r="O541">
        <v>1.2203134378042528</v>
      </c>
    </row>
    <row r="542" spans="1:15">
      <c r="A542" s="19">
        <v>43039</v>
      </c>
      <c r="B542">
        <v>2670</v>
      </c>
      <c r="C542">
        <v>2814</v>
      </c>
      <c r="D542">
        <v>1861</v>
      </c>
      <c r="E542">
        <v>1873</v>
      </c>
      <c r="F542">
        <v>1.50240256273358</v>
      </c>
      <c r="G542">
        <v>1.34722716430332</v>
      </c>
      <c r="H542">
        <v>6.0489824846970998E-2</v>
      </c>
      <c r="I542">
        <v>2.5653140643541898</v>
      </c>
      <c r="J542">
        <v>10.33</v>
      </c>
      <c r="L542">
        <v>1.407716989150291</v>
      </c>
      <c r="M542">
        <v>1.286737339456349</v>
      </c>
      <c r="N542">
        <v>1.4682068139972619</v>
      </c>
      <c r="O542">
        <v>1.2262475146093781</v>
      </c>
    </row>
    <row r="543" spans="1:15">
      <c r="A543" s="19">
        <v>43038</v>
      </c>
      <c r="B543">
        <v>2664</v>
      </c>
      <c r="C543">
        <v>2666</v>
      </c>
      <c r="D543">
        <v>1852</v>
      </c>
      <c r="E543">
        <v>1859</v>
      </c>
      <c r="F543">
        <v>1.4341043571812799</v>
      </c>
      <c r="G543">
        <v>1.3458309937199</v>
      </c>
      <c r="H543">
        <v>5.8051390051848999E-2</v>
      </c>
      <c r="I543">
        <v>1.5206072306370999</v>
      </c>
      <c r="J543">
        <v>6.16</v>
      </c>
      <c r="L543">
        <v>1.4038823837717489</v>
      </c>
      <c r="M543">
        <v>1.2877796036680511</v>
      </c>
      <c r="N543">
        <v>1.461933773823598</v>
      </c>
      <c r="O543">
        <v>1.229728213616202</v>
      </c>
    </row>
    <row r="544" spans="1:15">
      <c r="A544" s="19">
        <v>43035</v>
      </c>
      <c r="B544">
        <v>2654</v>
      </c>
      <c r="C544">
        <v>2662</v>
      </c>
      <c r="D544">
        <v>1884</v>
      </c>
      <c r="E544">
        <v>1857</v>
      </c>
      <c r="F544">
        <v>1.43349488422186</v>
      </c>
      <c r="G544">
        <v>1.34537190690732</v>
      </c>
      <c r="H544">
        <v>5.7484866745321203E-2</v>
      </c>
      <c r="I544">
        <v>1.5329769781837901</v>
      </c>
      <c r="J544">
        <v>6.15</v>
      </c>
      <c r="L544">
        <v>1.4028567736526412</v>
      </c>
      <c r="M544">
        <v>1.2878870401619988</v>
      </c>
      <c r="N544">
        <v>1.4603416403979623</v>
      </c>
      <c r="O544">
        <v>1.2304021734166777</v>
      </c>
    </row>
    <row r="545" spans="1:15">
      <c r="A545" s="19">
        <v>43034</v>
      </c>
      <c r="B545">
        <v>2645</v>
      </c>
      <c r="C545">
        <v>2647</v>
      </c>
      <c r="D545">
        <v>1904</v>
      </c>
      <c r="E545">
        <v>1907</v>
      </c>
      <c r="F545">
        <v>1.3880440482433101</v>
      </c>
      <c r="G545">
        <v>1.3446545211073899</v>
      </c>
      <c r="H545">
        <v>5.6711172586547801E-2</v>
      </c>
      <c r="I545">
        <v>0.76509663187973098</v>
      </c>
      <c r="J545">
        <v>3.13</v>
      </c>
      <c r="L545">
        <v>1.4013656936939378</v>
      </c>
      <c r="M545">
        <v>1.287943348520842</v>
      </c>
      <c r="N545">
        <v>1.4580768662804855</v>
      </c>
      <c r="O545">
        <v>1.2312321759342943</v>
      </c>
    </row>
    <row r="546" spans="1:15">
      <c r="A546" s="19">
        <v>43033</v>
      </c>
      <c r="B546">
        <v>2665</v>
      </c>
      <c r="C546">
        <v>2655</v>
      </c>
      <c r="D546">
        <v>1920</v>
      </c>
      <c r="E546">
        <v>1902</v>
      </c>
      <c r="F546">
        <v>1.39589905362776</v>
      </c>
      <c r="G546">
        <v>1.3445836645310001</v>
      </c>
      <c r="H546">
        <v>5.6660213182443298E-2</v>
      </c>
      <c r="I546">
        <v>0.90566883205191295</v>
      </c>
      <c r="J546">
        <v>3.68</v>
      </c>
      <c r="L546">
        <v>1.4012438777134433</v>
      </c>
      <c r="M546">
        <v>1.2879234513485569</v>
      </c>
      <c r="N546">
        <v>1.4579040908958867</v>
      </c>
      <c r="O546">
        <v>1.2312632381661135</v>
      </c>
    </row>
    <row r="547" spans="1:15">
      <c r="A547" s="19">
        <v>43032</v>
      </c>
      <c r="B547">
        <v>2641</v>
      </c>
      <c r="C547">
        <v>2665</v>
      </c>
      <c r="D547">
        <v>1888</v>
      </c>
      <c r="E547">
        <v>1911</v>
      </c>
      <c r="F547">
        <v>1.3945578231292499</v>
      </c>
      <c r="G547">
        <v>1.34457341114671</v>
      </c>
      <c r="H547">
        <v>5.66509949147527E-2</v>
      </c>
      <c r="I547">
        <v>0.88232187374200399</v>
      </c>
      <c r="J547">
        <v>3.58</v>
      </c>
      <c r="L547">
        <v>1.4012244060614627</v>
      </c>
      <c r="M547">
        <v>1.2879224162319574</v>
      </c>
      <c r="N547">
        <v>1.4578754009762154</v>
      </c>
      <c r="O547">
        <v>1.2312714213172047</v>
      </c>
    </row>
    <row r="548" spans="1:15">
      <c r="A548" s="19">
        <v>43031</v>
      </c>
      <c r="B548">
        <v>2625</v>
      </c>
      <c r="C548">
        <v>2615</v>
      </c>
      <c r="D548">
        <v>1907</v>
      </c>
      <c r="E548">
        <v>1882</v>
      </c>
      <c r="F548">
        <v>1.3894792773644999</v>
      </c>
      <c r="G548">
        <v>1.34441933627173</v>
      </c>
      <c r="H548">
        <v>5.6530427485931803E-2</v>
      </c>
      <c r="I548">
        <v>0.79709181580104604</v>
      </c>
      <c r="J548">
        <v>3.24</v>
      </c>
      <c r="L548">
        <v>1.4009497637576618</v>
      </c>
      <c r="M548">
        <v>1.2878889087857983</v>
      </c>
      <c r="N548">
        <v>1.4574801912435937</v>
      </c>
      <c r="O548">
        <v>1.2313584812998664</v>
      </c>
    </row>
    <row r="549" spans="1:15">
      <c r="A549" s="19">
        <v>43028</v>
      </c>
      <c r="B549">
        <v>2588</v>
      </c>
      <c r="C549">
        <v>2610</v>
      </c>
      <c r="D549">
        <v>1885</v>
      </c>
      <c r="E549">
        <v>1879</v>
      </c>
      <c r="F549">
        <v>1.38903672166045</v>
      </c>
      <c r="G549">
        <v>1.3441249901057699</v>
      </c>
      <c r="H549">
        <v>5.6352232654834702E-2</v>
      </c>
      <c r="I549">
        <v>0.79698229225057005</v>
      </c>
      <c r="J549">
        <v>3.23</v>
      </c>
      <c r="L549">
        <v>1.4004772227606046</v>
      </c>
      <c r="M549">
        <v>1.2877727574509352</v>
      </c>
      <c r="N549">
        <v>1.4568294554154393</v>
      </c>
      <c r="O549">
        <v>1.2314205247961005</v>
      </c>
    </row>
    <row r="550" spans="1:15">
      <c r="A550" s="19">
        <v>43027</v>
      </c>
      <c r="B550">
        <v>2595</v>
      </c>
      <c r="C550">
        <v>2588</v>
      </c>
      <c r="D550">
        <v>1904</v>
      </c>
      <c r="E550">
        <v>1894</v>
      </c>
      <c r="F550">
        <v>1.36642027455121</v>
      </c>
      <c r="G550">
        <v>1.34345419483817</v>
      </c>
      <c r="H550">
        <v>5.6112551864514901E-2</v>
      </c>
      <c r="I550">
        <v>0.409285960982263</v>
      </c>
      <c r="J550">
        <v>1.68</v>
      </c>
      <c r="L550">
        <v>1.3995667467026849</v>
      </c>
      <c r="M550">
        <v>1.2873416429736551</v>
      </c>
      <c r="N550">
        <v>1.4556792985671998</v>
      </c>
      <c r="O550">
        <v>1.2312290911091401</v>
      </c>
    </row>
    <row r="551" spans="1:15">
      <c r="A551" s="19">
        <v>43026</v>
      </c>
      <c r="B551">
        <v>2597</v>
      </c>
      <c r="C551">
        <v>2600</v>
      </c>
      <c r="D551">
        <v>1908</v>
      </c>
      <c r="E551">
        <v>1907</v>
      </c>
      <c r="F551">
        <v>1.3633980073413701</v>
      </c>
      <c r="G551">
        <v>1.3427545542002901</v>
      </c>
      <c r="H551">
        <v>5.6148955921450402E-2</v>
      </c>
      <c r="I551">
        <v>0.367655155867189</v>
      </c>
      <c r="J551">
        <v>1.51</v>
      </c>
      <c r="L551">
        <v>1.3989035101217404</v>
      </c>
      <c r="M551">
        <v>1.2866055982788398</v>
      </c>
      <c r="N551">
        <v>1.4550524660431909</v>
      </c>
      <c r="O551">
        <v>1.2304566423573893</v>
      </c>
    </row>
    <row r="552" spans="1:15">
      <c r="A552" s="19">
        <v>43025</v>
      </c>
      <c r="B552">
        <v>2627</v>
      </c>
      <c r="C552">
        <v>2597</v>
      </c>
      <c r="D552">
        <v>1937</v>
      </c>
      <c r="E552">
        <v>1915</v>
      </c>
      <c r="F552">
        <v>1.3561357702349801</v>
      </c>
      <c r="G552">
        <v>1.34211525601943</v>
      </c>
      <c r="H552">
        <v>5.6183223182096502E-2</v>
      </c>
      <c r="I552">
        <v>0.24954983750420101</v>
      </c>
      <c r="J552">
        <v>1.03</v>
      </c>
      <c r="L552">
        <v>1.3982984792015265</v>
      </c>
      <c r="M552">
        <v>1.2859320328373336</v>
      </c>
      <c r="N552">
        <v>1.454481702383623</v>
      </c>
      <c r="O552">
        <v>1.2297488096552371</v>
      </c>
    </row>
    <row r="553" spans="1:15">
      <c r="A553" s="19">
        <v>43024</v>
      </c>
      <c r="B553">
        <v>2597</v>
      </c>
      <c r="C553">
        <v>2629</v>
      </c>
      <c r="D553">
        <v>1942</v>
      </c>
      <c r="E553">
        <v>1937</v>
      </c>
      <c r="F553">
        <v>1.35725348477026</v>
      </c>
      <c r="G553">
        <v>1.3417119198640699</v>
      </c>
      <c r="H553">
        <v>5.6189704844764897E-2</v>
      </c>
      <c r="I553">
        <v>0.27659096891727403</v>
      </c>
      <c r="J553">
        <v>1.1499999999999999</v>
      </c>
      <c r="L553">
        <v>1.3979016247088347</v>
      </c>
      <c r="M553">
        <v>1.2855222150193051</v>
      </c>
      <c r="N553">
        <v>1.4540913295535998</v>
      </c>
      <c r="O553">
        <v>1.22933251017454</v>
      </c>
    </row>
    <row r="554" spans="1:15">
      <c r="A554" s="19">
        <v>43021</v>
      </c>
      <c r="B554">
        <v>2594</v>
      </c>
      <c r="C554">
        <v>2603</v>
      </c>
      <c r="D554">
        <v>1927</v>
      </c>
      <c r="E554">
        <v>1938</v>
      </c>
      <c r="F554">
        <v>1.34313725490196</v>
      </c>
      <c r="G554">
        <v>1.3407719672482199</v>
      </c>
      <c r="H554">
        <v>5.6510583694105998E-2</v>
      </c>
      <c r="I554">
        <v>4.1855657809792002E-2</v>
      </c>
      <c r="J554">
        <v>0.18</v>
      </c>
      <c r="L554">
        <v>1.3972825509423259</v>
      </c>
      <c r="M554">
        <v>1.2842613835541139</v>
      </c>
      <c r="N554">
        <v>1.4537931346364319</v>
      </c>
      <c r="O554">
        <v>1.2277507998600079</v>
      </c>
    </row>
    <row r="555" spans="1:15">
      <c r="A555" s="19">
        <v>43020</v>
      </c>
      <c r="B555">
        <v>2581</v>
      </c>
      <c r="C555">
        <v>2599</v>
      </c>
      <c r="D555">
        <v>1942</v>
      </c>
      <c r="E555">
        <v>1944</v>
      </c>
      <c r="F555">
        <v>1.3369341563785999</v>
      </c>
      <c r="G555">
        <v>1.34043317067401</v>
      </c>
      <c r="H555">
        <v>5.6571523910215499E-2</v>
      </c>
      <c r="I555">
        <v>-6.1851158561089602E-2</v>
      </c>
      <c r="J555">
        <v>-0.26</v>
      </c>
      <c r="L555">
        <v>1.3970046945842256</v>
      </c>
      <c r="M555">
        <v>1.2838616467637944</v>
      </c>
      <c r="N555">
        <v>1.453576218494441</v>
      </c>
      <c r="O555">
        <v>1.2272901228535791</v>
      </c>
    </row>
    <row r="556" spans="1:15">
      <c r="A556" s="19">
        <v>43019</v>
      </c>
      <c r="B556">
        <v>2602</v>
      </c>
      <c r="C556">
        <v>2581</v>
      </c>
      <c r="D556">
        <v>1947</v>
      </c>
      <c r="E556">
        <v>1942</v>
      </c>
      <c r="F556">
        <v>1.32904222451081</v>
      </c>
      <c r="G556">
        <v>1.3402747533106001</v>
      </c>
      <c r="H556">
        <v>5.6597729948106697E-2</v>
      </c>
      <c r="I556">
        <v>-0.19846253215608201</v>
      </c>
      <c r="J556">
        <v>-0.85</v>
      </c>
      <c r="L556">
        <v>1.3968724832587067</v>
      </c>
      <c r="M556">
        <v>1.2836770233624935</v>
      </c>
      <c r="N556">
        <v>1.4534702132068136</v>
      </c>
      <c r="O556">
        <v>1.2270792934143866</v>
      </c>
    </row>
    <row r="557" spans="1:15">
      <c r="A557" s="19">
        <v>43018</v>
      </c>
      <c r="B557">
        <v>2605</v>
      </c>
      <c r="C557">
        <v>2600</v>
      </c>
      <c r="D557">
        <v>1927</v>
      </c>
      <c r="E557">
        <v>1937</v>
      </c>
      <c r="F557">
        <v>1.34228187919463</v>
      </c>
      <c r="G557">
        <v>1.3401119460927</v>
      </c>
      <c r="H557">
        <v>5.66473473949256E-2</v>
      </c>
      <c r="I557">
        <v>3.83059966921665E-2</v>
      </c>
      <c r="J557">
        <v>0.16</v>
      </c>
      <c r="L557">
        <v>1.3967592934876256</v>
      </c>
      <c r="M557">
        <v>1.2834645986977744</v>
      </c>
      <c r="N557">
        <v>1.4534066408825512</v>
      </c>
      <c r="O557">
        <v>1.2268172513028488</v>
      </c>
    </row>
    <row r="558" spans="1:15">
      <c r="A558" s="19">
        <v>43014</v>
      </c>
      <c r="B558">
        <v>2634</v>
      </c>
      <c r="C558">
        <v>2611</v>
      </c>
      <c r="D558">
        <v>1957</v>
      </c>
      <c r="E558">
        <v>1947</v>
      </c>
      <c r="F558">
        <v>1.3410374935798599</v>
      </c>
      <c r="G558">
        <v>1.3395268488633001</v>
      </c>
      <c r="H558">
        <v>5.6848181958704197E-2</v>
      </c>
      <c r="I558">
        <v>2.65733162347325E-2</v>
      </c>
      <c r="J558">
        <v>0.11</v>
      </c>
      <c r="L558">
        <v>1.3963750308220042</v>
      </c>
      <c r="M558">
        <v>1.282678666904596</v>
      </c>
      <c r="N558">
        <v>1.4532232127807085</v>
      </c>
      <c r="O558">
        <v>1.2258304849458916</v>
      </c>
    </row>
    <row r="559" spans="1:15">
      <c r="A559" s="19">
        <v>43013</v>
      </c>
      <c r="B559">
        <v>2668</v>
      </c>
      <c r="C559">
        <v>2654</v>
      </c>
      <c r="D559">
        <v>1929</v>
      </c>
      <c r="E559">
        <v>1952</v>
      </c>
      <c r="F559">
        <v>1.3596311475409799</v>
      </c>
      <c r="G559">
        <v>1.3386325581651899</v>
      </c>
      <c r="H559">
        <v>5.73427921719585E-2</v>
      </c>
      <c r="I559">
        <v>0.366194051256231</v>
      </c>
      <c r="J559">
        <v>1.54</v>
      </c>
      <c r="L559">
        <v>1.3959753503371484</v>
      </c>
      <c r="M559">
        <v>1.2812897659932314</v>
      </c>
      <c r="N559">
        <v>1.4533181425091068</v>
      </c>
      <c r="O559">
        <v>1.2239469738212729</v>
      </c>
    </row>
    <row r="560" spans="1:15">
      <c r="A560" s="19">
        <v>43012</v>
      </c>
      <c r="B560">
        <v>2702</v>
      </c>
      <c r="C560">
        <v>2679</v>
      </c>
      <c r="D560">
        <v>1950</v>
      </c>
      <c r="E560">
        <v>1929</v>
      </c>
      <c r="F560">
        <v>1.38880248833592</v>
      </c>
      <c r="G560">
        <v>1.33773230232181</v>
      </c>
      <c r="H560">
        <v>5.7535742731642199E-2</v>
      </c>
      <c r="I560">
        <v>0.887625388835521</v>
      </c>
      <c r="J560">
        <v>3.68</v>
      </c>
      <c r="L560">
        <v>1.3952680450534523</v>
      </c>
      <c r="M560">
        <v>1.2801965595901676</v>
      </c>
      <c r="N560">
        <v>1.4528037877850943</v>
      </c>
      <c r="O560">
        <v>1.2226608168585256</v>
      </c>
    </row>
    <row r="561" spans="1:15">
      <c r="A561" s="19">
        <v>43011</v>
      </c>
      <c r="B561">
        <v>2687</v>
      </c>
      <c r="C561">
        <v>2698</v>
      </c>
      <c r="D561">
        <v>1950</v>
      </c>
      <c r="E561">
        <v>1965</v>
      </c>
      <c r="F561">
        <v>1.37302798982188</v>
      </c>
      <c r="G561">
        <v>1.3363322388722401</v>
      </c>
      <c r="H561">
        <v>5.7553556250924703E-2</v>
      </c>
      <c r="I561">
        <v>0.63759311048746004</v>
      </c>
      <c r="J561">
        <v>2.67</v>
      </c>
      <c r="L561">
        <v>1.3938857951231647</v>
      </c>
      <c r="M561">
        <v>1.2787786826213154</v>
      </c>
      <c r="N561">
        <v>1.4514393513740895</v>
      </c>
      <c r="O561">
        <v>1.2212251263703906</v>
      </c>
    </row>
    <row r="562" spans="1:15">
      <c r="A562" s="19">
        <v>43010</v>
      </c>
      <c r="B562">
        <v>2699</v>
      </c>
      <c r="C562">
        <v>2665</v>
      </c>
      <c r="D562">
        <v>1969</v>
      </c>
      <c r="E562">
        <v>1937</v>
      </c>
      <c r="F562">
        <v>1.3758389261744901</v>
      </c>
      <c r="G562">
        <v>1.33528698091369</v>
      </c>
      <c r="H562">
        <v>5.7589482863379199E-2</v>
      </c>
      <c r="I562">
        <v>0.70415539859951404</v>
      </c>
      <c r="J562">
        <v>2.95</v>
      </c>
      <c r="L562">
        <v>1.3928764637770692</v>
      </c>
      <c r="M562">
        <v>1.2776974980503109</v>
      </c>
      <c r="N562">
        <v>1.4504659466404484</v>
      </c>
      <c r="O562">
        <v>1.2201080151869317</v>
      </c>
    </row>
    <row r="563" spans="1:15">
      <c r="A563" s="19">
        <v>43007</v>
      </c>
      <c r="B563">
        <v>2638</v>
      </c>
      <c r="C563">
        <v>2685</v>
      </c>
      <c r="D563">
        <v>1968</v>
      </c>
      <c r="E563">
        <v>1969</v>
      </c>
      <c r="F563">
        <v>1.36363636363636</v>
      </c>
      <c r="G563">
        <v>1.3343029209486299</v>
      </c>
      <c r="H563">
        <v>5.7518667594931697E-2</v>
      </c>
      <c r="I563">
        <v>0.50998126198449301</v>
      </c>
      <c r="J563">
        <v>2.15</v>
      </c>
      <c r="L563">
        <v>1.3918215885435616</v>
      </c>
      <c r="M563">
        <v>1.2767842533536982</v>
      </c>
      <c r="N563">
        <v>1.4493402561384934</v>
      </c>
      <c r="O563">
        <v>1.2192655857587664</v>
      </c>
    </row>
    <row r="564" spans="1:15">
      <c r="A564" s="19">
        <v>43006</v>
      </c>
      <c r="B564">
        <v>2601</v>
      </c>
      <c r="C564">
        <v>2654</v>
      </c>
      <c r="D564">
        <v>1917</v>
      </c>
      <c r="E564">
        <v>1958</v>
      </c>
      <c r="F564">
        <v>1.3554647599591401</v>
      </c>
      <c r="G564">
        <v>1.3333501836996</v>
      </c>
      <c r="H564">
        <v>5.7616607038038697E-2</v>
      </c>
      <c r="I564">
        <v>0.38382295307569297</v>
      </c>
      <c r="J564">
        <v>1.63</v>
      </c>
      <c r="L564">
        <v>1.3909667907376386</v>
      </c>
      <c r="M564">
        <v>1.2757335766615614</v>
      </c>
      <c r="N564">
        <v>1.4485833977756775</v>
      </c>
      <c r="O564">
        <v>1.2181169696235226</v>
      </c>
    </row>
    <row r="565" spans="1:15">
      <c r="A565" s="19">
        <v>43005</v>
      </c>
      <c r="B565">
        <v>2599</v>
      </c>
      <c r="C565">
        <v>2589</v>
      </c>
      <c r="D565">
        <v>1917</v>
      </c>
      <c r="E565">
        <v>1894</v>
      </c>
      <c r="F565">
        <v>1.3669482576557499</v>
      </c>
      <c r="G565">
        <v>1.33243863248913</v>
      </c>
      <c r="H565">
        <v>5.7800041212336797E-2</v>
      </c>
      <c r="I565">
        <v>0.59705191281523295</v>
      </c>
      <c r="J565">
        <v>2.52</v>
      </c>
      <c r="L565">
        <v>1.3902386737014667</v>
      </c>
      <c r="M565">
        <v>1.2746385912767932</v>
      </c>
      <c r="N565">
        <v>1.4480387149138036</v>
      </c>
      <c r="O565">
        <v>1.2168385500644563</v>
      </c>
    </row>
    <row r="566" spans="1:15">
      <c r="A566" s="19">
        <v>43004</v>
      </c>
      <c r="B566">
        <v>2608</v>
      </c>
      <c r="C566">
        <v>2627</v>
      </c>
      <c r="D566">
        <v>1890</v>
      </c>
      <c r="E566">
        <v>1909</v>
      </c>
      <c r="F566">
        <v>1.3761131482451501</v>
      </c>
      <c r="G566">
        <v>1.3310572583301099</v>
      </c>
      <c r="H566">
        <v>5.81954444371331E-2</v>
      </c>
      <c r="I566">
        <v>0.774216785365617</v>
      </c>
      <c r="J566">
        <v>3.27</v>
      </c>
      <c r="L566">
        <v>1.389252702767243</v>
      </c>
      <c r="M566">
        <v>1.2728618138929768</v>
      </c>
      <c r="N566">
        <v>1.4474481472043761</v>
      </c>
      <c r="O566">
        <v>1.2146663694558437</v>
      </c>
    </row>
    <row r="567" spans="1:15">
      <c r="A567" s="19">
        <v>43003</v>
      </c>
      <c r="B567">
        <v>2627</v>
      </c>
      <c r="C567">
        <v>2616</v>
      </c>
      <c r="D567">
        <v>1914</v>
      </c>
      <c r="E567">
        <v>1878</v>
      </c>
      <c r="F567">
        <v>1.3929712460063799</v>
      </c>
      <c r="G567">
        <v>1.32952887100604</v>
      </c>
      <c r="H567">
        <v>5.8496544080053899E-2</v>
      </c>
      <c r="I567">
        <v>1.0845491130813301</v>
      </c>
      <c r="J567">
        <v>4.55</v>
      </c>
      <c r="L567">
        <v>1.388025415086094</v>
      </c>
      <c r="M567">
        <v>1.271032326925986</v>
      </c>
      <c r="N567">
        <v>1.4465219591661478</v>
      </c>
      <c r="O567">
        <v>1.2125357828459322</v>
      </c>
    </row>
    <row r="568" spans="1:15">
      <c r="A568" s="19">
        <v>43000</v>
      </c>
      <c r="B568">
        <v>2629</v>
      </c>
      <c r="C568">
        <v>2630</v>
      </c>
      <c r="D568">
        <v>1897</v>
      </c>
      <c r="E568">
        <v>1907</v>
      </c>
      <c r="F568">
        <v>1.3791295228106899</v>
      </c>
      <c r="G568">
        <v>1.3275827470885</v>
      </c>
      <c r="H568">
        <v>5.87807765935488E-2</v>
      </c>
      <c r="I568">
        <v>0.87693254001420895</v>
      </c>
      <c r="J568">
        <v>3.74</v>
      </c>
      <c r="L568">
        <v>1.3863635236820488</v>
      </c>
      <c r="M568">
        <v>1.2688019704949511</v>
      </c>
      <c r="N568">
        <v>1.4451443002755977</v>
      </c>
      <c r="O568">
        <v>1.2100211939014023</v>
      </c>
    </row>
    <row r="569" spans="1:15">
      <c r="A569" s="19">
        <v>42999</v>
      </c>
      <c r="B569">
        <v>2633</v>
      </c>
      <c r="C569">
        <v>2621</v>
      </c>
      <c r="D569">
        <v>1899</v>
      </c>
      <c r="E569">
        <v>1895</v>
      </c>
      <c r="F569">
        <v>1.3831134564643699</v>
      </c>
      <c r="G569">
        <v>1.32599220074333</v>
      </c>
      <c r="H569">
        <v>5.8978068919855901E-2</v>
      </c>
      <c r="I569">
        <v>0.96851688716140705</v>
      </c>
      <c r="J569">
        <v>4.13</v>
      </c>
      <c r="L569">
        <v>1.3849702696631858</v>
      </c>
      <c r="M569">
        <v>1.2670141318234742</v>
      </c>
      <c r="N569">
        <v>1.4439483385830418</v>
      </c>
      <c r="O569">
        <v>1.2080360629036182</v>
      </c>
    </row>
    <row r="570" spans="1:15">
      <c r="A570" s="19">
        <v>42998</v>
      </c>
      <c r="B570">
        <v>2690</v>
      </c>
      <c r="C570">
        <v>2644</v>
      </c>
      <c r="D570">
        <v>1890</v>
      </c>
      <c r="E570">
        <v>1888</v>
      </c>
      <c r="F570">
        <v>1.4004237288135499</v>
      </c>
      <c r="G570">
        <v>1.32460448386779</v>
      </c>
      <c r="H570">
        <v>5.8842012659791901E-2</v>
      </c>
      <c r="I570">
        <v>1.2885222907674501</v>
      </c>
      <c r="J570">
        <v>5.41</v>
      </c>
      <c r="L570">
        <v>1.3834464965275819</v>
      </c>
      <c r="M570">
        <v>1.265762471207998</v>
      </c>
      <c r="N570">
        <v>1.4422885091873738</v>
      </c>
      <c r="O570">
        <v>1.2069204585482061</v>
      </c>
    </row>
    <row r="571" spans="1:15">
      <c r="A571" s="19">
        <v>42997</v>
      </c>
      <c r="B571">
        <v>2659</v>
      </c>
      <c r="C571">
        <v>2690</v>
      </c>
      <c r="D571">
        <v>1907</v>
      </c>
      <c r="E571">
        <v>1889</v>
      </c>
      <c r="F571">
        <v>1.4240338803599699</v>
      </c>
      <c r="G571">
        <v>1.32329922995134</v>
      </c>
      <c r="H571">
        <v>5.82282458711725E-2</v>
      </c>
      <c r="I571">
        <v>1.72999630851838</v>
      </c>
      <c r="J571">
        <v>7.07</v>
      </c>
      <c r="L571">
        <v>1.3815274758225125</v>
      </c>
      <c r="M571">
        <v>1.2650709840801675</v>
      </c>
      <c r="N571">
        <v>1.4397557216936849</v>
      </c>
      <c r="O571">
        <v>1.206842738208995</v>
      </c>
    </row>
    <row r="572" spans="1:15">
      <c r="A572" s="19">
        <v>42993</v>
      </c>
      <c r="B572">
        <v>2613</v>
      </c>
      <c r="C572">
        <v>2642</v>
      </c>
      <c r="D572">
        <v>1898</v>
      </c>
      <c r="E572">
        <v>1902</v>
      </c>
      <c r="F572">
        <v>1.38906414300736</v>
      </c>
      <c r="G572">
        <v>1.3214500544429999</v>
      </c>
      <c r="H572">
        <v>5.7192795219048097E-2</v>
      </c>
      <c r="I572">
        <v>1.1822133942814299</v>
      </c>
      <c r="J572">
        <v>4.87</v>
      </c>
      <c r="L572">
        <v>1.378642849662048</v>
      </c>
      <c r="M572">
        <v>1.2642572592239518</v>
      </c>
      <c r="N572">
        <v>1.4358356448810961</v>
      </c>
      <c r="O572">
        <v>1.2070644640049037</v>
      </c>
    </row>
    <row r="573" spans="1:15">
      <c r="A573" s="19">
        <v>42992</v>
      </c>
      <c r="B573">
        <v>2612</v>
      </c>
      <c r="C573">
        <v>2613</v>
      </c>
      <c r="D573">
        <v>1902</v>
      </c>
      <c r="E573">
        <v>1888</v>
      </c>
      <c r="F573">
        <v>1.38400423728813</v>
      </c>
      <c r="G573">
        <v>1.32000169313284</v>
      </c>
      <c r="H573">
        <v>5.6836520838669101E-2</v>
      </c>
      <c r="I573">
        <v>1.1260813155148</v>
      </c>
      <c r="J573">
        <v>4.62</v>
      </c>
      <c r="L573">
        <v>1.3768382139715092</v>
      </c>
      <c r="M573">
        <v>1.2631651722941708</v>
      </c>
      <c r="N573">
        <v>1.4336747348101782</v>
      </c>
      <c r="O573">
        <v>1.2063286514555018</v>
      </c>
    </row>
    <row r="574" spans="1:15">
      <c r="A574" s="19">
        <v>42991</v>
      </c>
      <c r="B574">
        <v>2625</v>
      </c>
      <c r="C574">
        <v>2630</v>
      </c>
      <c r="D574">
        <v>1921</v>
      </c>
      <c r="E574">
        <v>1902</v>
      </c>
      <c r="F574">
        <v>1.3827549947423701</v>
      </c>
      <c r="G574">
        <v>1.3184036492142801</v>
      </c>
      <c r="H574">
        <v>5.6699289512151099E-2</v>
      </c>
      <c r="I574">
        <v>1.13495858734352</v>
      </c>
      <c r="J574">
        <v>4.6500000000000004</v>
      </c>
      <c r="L574">
        <v>1.3751029387264313</v>
      </c>
      <c r="M574">
        <v>1.2617043597021289</v>
      </c>
      <c r="N574">
        <v>1.4318022282385823</v>
      </c>
      <c r="O574">
        <v>1.2050050701899779</v>
      </c>
    </row>
    <row r="575" spans="1:15">
      <c r="A575" s="19">
        <v>42990</v>
      </c>
      <c r="B575">
        <v>2627</v>
      </c>
      <c r="C575">
        <v>2604</v>
      </c>
      <c r="D575">
        <v>1900</v>
      </c>
      <c r="E575">
        <v>1907</v>
      </c>
      <c r="F575">
        <v>1.3654955427372799</v>
      </c>
      <c r="G575">
        <v>1.31706528820866</v>
      </c>
      <c r="H575">
        <v>5.6348099538280703E-2</v>
      </c>
      <c r="I575">
        <v>0.85948337078736903</v>
      </c>
      <c r="J575">
        <v>3.55</v>
      </c>
      <c r="L575">
        <v>1.3734133877469408</v>
      </c>
      <c r="M575">
        <v>1.2607171886703792</v>
      </c>
      <c r="N575">
        <v>1.4297614872852213</v>
      </c>
      <c r="O575">
        <v>1.2043690891320986</v>
      </c>
    </row>
    <row r="576" spans="1:15">
      <c r="A576" s="19">
        <v>42989</v>
      </c>
      <c r="B576">
        <v>2580</v>
      </c>
      <c r="C576">
        <v>2619</v>
      </c>
      <c r="D576">
        <v>1894</v>
      </c>
      <c r="E576">
        <v>1876</v>
      </c>
      <c r="F576">
        <v>1.3960554371002101</v>
      </c>
      <c r="G576">
        <v>1.31606593577054</v>
      </c>
      <c r="H576">
        <v>5.6144587696095802E-2</v>
      </c>
      <c r="I576">
        <v>1.4247054722824599</v>
      </c>
      <c r="J576">
        <v>5.73</v>
      </c>
      <c r="L576">
        <v>1.3722105234666357</v>
      </c>
      <c r="M576">
        <v>1.2599213480744442</v>
      </c>
      <c r="N576">
        <v>1.4283551111627315</v>
      </c>
      <c r="O576">
        <v>1.2037767603783485</v>
      </c>
    </row>
    <row r="577" spans="1:15">
      <c r="A577" s="19">
        <v>42986</v>
      </c>
      <c r="B577">
        <v>2551</v>
      </c>
      <c r="C577">
        <v>2566</v>
      </c>
      <c r="D577">
        <v>1852</v>
      </c>
      <c r="E577">
        <v>1865</v>
      </c>
      <c r="F577">
        <v>1.3758713136729199</v>
      </c>
      <c r="G577">
        <v>1.3153357482460299</v>
      </c>
      <c r="H577">
        <v>5.5451374359788301E-2</v>
      </c>
      <c r="I577">
        <v>1.0916873770181901</v>
      </c>
      <c r="J577">
        <v>4.4000000000000004</v>
      </c>
      <c r="L577">
        <v>1.3707871226058181</v>
      </c>
      <c r="M577">
        <v>1.2598843738862417</v>
      </c>
      <c r="N577">
        <v>1.4262384969656066</v>
      </c>
      <c r="O577">
        <v>1.2044329995264533</v>
      </c>
    </row>
    <row r="578" spans="1:15">
      <c r="A578" s="19">
        <v>42985</v>
      </c>
      <c r="B578">
        <v>2518</v>
      </c>
      <c r="C578">
        <v>2538</v>
      </c>
      <c r="D578">
        <v>1881</v>
      </c>
      <c r="E578">
        <v>1862</v>
      </c>
      <c r="F578">
        <v>1.36305048335123</v>
      </c>
      <c r="G578">
        <v>1.3146935736626999</v>
      </c>
      <c r="H578">
        <v>5.5023838850496699E-2</v>
      </c>
      <c r="I578">
        <v>0.87883562286365802</v>
      </c>
      <c r="J578">
        <v>3.55</v>
      </c>
      <c r="L578">
        <v>1.3697174125131966</v>
      </c>
      <c r="M578">
        <v>1.2596697348122032</v>
      </c>
      <c r="N578">
        <v>1.4247412513636932</v>
      </c>
      <c r="O578">
        <v>1.2046458959617066</v>
      </c>
    </row>
    <row r="579" spans="1:15">
      <c r="A579" s="19">
        <v>42984</v>
      </c>
      <c r="B579">
        <v>2498</v>
      </c>
      <c r="C579">
        <v>2508</v>
      </c>
      <c r="D579">
        <v>1848</v>
      </c>
      <c r="E579">
        <v>1876</v>
      </c>
      <c r="F579">
        <v>1.33688699360341</v>
      </c>
      <c r="G579">
        <v>1.3141610422088901</v>
      </c>
      <c r="H579">
        <v>5.4745824794745997E-2</v>
      </c>
      <c r="I579">
        <v>0.41511752685647402</v>
      </c>
      <c r="J579">
        <v>1.7</v>
      </c>
      <c r="L579">
        <v>1.3689068670036362</v>
      </c>
      <c r="M579">
        <v>1.259415217414144</v>
      </c>
      <c r="N579">
        <v>1.4236526917983821</v>
      </c>
      <c r="O579">
        <v>1.2046693926193981</v>
      </c>
    </row>
    <row r="580" spans="1:15">
      <c r="A580" s="19">
        <v>42983</v>
      </c>
      <c r="B580">
        <v>2545</v>
      </c>
      <c r="C580">
        <v>2511</v>
      </c>
      <c r="D580">
        <v>1919</v>
      </c>
      <c r="E580">
        <v>1867</v>
      </c>
      <c r="F580">
        <v>1.34493840385645</v>
      </c>
      <c r="G580">
        <v>1.31406034612552</v>
      </c>
      <c r="H580">
        <v>5.4710865847228701E-2</v>
      </c>
      <c r="I580">
        <v>0.56438620103647696</v>
      </c>
      <c r="J580">
        <v>2.2999999999999998</v>
      </c>
      <c r="L580">
        <v>1.3687712119727486</v>
      </c>
      <c r="M580">
        <v>1.2593494802782914</v>
      </c>
      <c r="N580">
        <v>1.4234820778199775</v>
      </c>
      <c r="O580">
        <v>1.2046386144310626</v>
      </c>
    </row>
    <row r="581" spans="1:15">
      <c r="A581" s="19">
        <v>42982</v>
      </c>
      <c r="B581">
        <v>2595</v>
      </c>
      <c r="C581">
        <v>2546</v>
      </c>
      <c r="D581">
        <v>1966</v>
      </c>
      <c r="E581">
        <v>1922</v>
      </c>
      <c r="F581">
        <v>1.3246618106139401</v>
      </c>
      <c r="G581">
        <v>1.31409243584401</v>
      </c>
      <c r="H581">
        <v>5.4729670011943503E-2</v>
      </c>
      <c r="I581">
        <v>0.19311965096125699</v>
      </c>
      <c r="J581">
        <v>0.8</v>
      </c>
      <c r="L581">
        <v>1.3688221058559535</v>
      </c>
      <c r="M581">
        <v>1.2593627658320665</v>
      </c>
      <c r="N581">
        <v>1.4235517758678971</v>
      </c>
      <c r="O581">
        <v>1.204633095820123</v>
      </c>
    </row>
    <row r="582" spans="1:15">
      <c r="A582" s="19">
        <v>42979</v>
      </c>
      <c r="B582">
        <v>2578</v>
      </c>
      <c r="C582">
        <v>2606</v>
      </c>
      <c r="D582">
        <v>1967</v>
      </c>
      <c r="E582">
        <v>1992</v>
      </c>
      <c r="F582">
        <v>1.3082329317268999</v>
      </c>
      <c r="G582">
        <v>1.31425914171526</v>
      </c>
      <c r="H582">
        <v>5.4780628473860997E-2</v>
      </c>
      <c r="I582">
        <v>-0.110006222203752</v>
      </c>
      <c r="J582">
        <v>-0.46</v>
      </c>
      <c r="L582">
        <v>1.369039770189121</v>
      </c>
      <c r="M582">
        <v>1.259478513241399</v>
      </c>
      <c r="N582">
        <v>1.423820398662982</v>
      </c>
      <c r="O582">
        <v>1.204697884767538</v>
      </c>
    </row>
    <row r="583" spans="1:15">
      <c r="A583" s="19">
        <v>42978</v>
      </c>
      <c r="B583">
        <v>2582</v>
      </c>
      <c r="C583">
        <v>2565</v>
      </c>
      <c r="D583">
        <v>1937</v>
      </c>
      <c r="E583">
        <v>1950</v>
      </c>
      <c r="F583">
        <v>1.31538461538461</v>
      </c>
      <c r="G583">
        <v>1.3147591431799099</v>
      </c>
      <c r="H583">
        <v>5.4894363433182901E-2</v>
      </c>
      <c r="I583">
        <v>1.1394106162908899E-2</v>
      </c>
      <c r="J583">
        <v>0.05</v>
      </c>
      <c r="L583">
        <v>1.3696535066130928</v>
      </c>
      <c r="M583">
        <v>1.2598647797467271</v>
      </c>
      <c r="N583">
        <v>1.4245478700462757</v>
      </c>
      <c r="O583">
        <v>1.2049704163135442</v>
      </c>
    </row>
    <row r="584" spans="1:15">
      <c r="A584" s="19">
        <v>42977</v>
      </c>
      <c r="B584">
        <v>2569</v>
      </c>
      <c r="C584">
        <v>2582</v>
      </c>
      <c r="D584">
        <v>1960</v>
      </c>
      <c r="E584">
        <v>1944</v>
      </c>
      <c r="F584">
        <v>1.3281893004115199</v>
      </c>
      <c r="G584">
        <v>1.3151190357742</v>
      </c>
      <c r="H584">
        <v>5.4985689234934403E-2</v>
      </c>
      <c r="I584">
        <v>0.23770302453557399</v>
      </c>
      <c r="J584">
        <v>0.98</v>
      </c>
      <c r="L584">
        <v>1.3701047250091343</v>
      </c>
      <c r="M584">
        <v>1.2601333465392657</v>
      </c>
      <c r="N584">
        <v>1.4250904142440688</v>
      </c>
      <c r="O584">
        <v>1.2051476573043312</v>
      </c>
    </row>
    <row r="585" spans="1:15">
      <c r="A585" s="19">
        <v>42976</v>
      </c>
      <c r="B585">
        <v>2554</v>
      </c>
      <c r="C585">
        <v>2562</v>
      </c>
      <c r="D585">
        <v>1964</v>
      </c>
      <c r="E585">
        <v>1963</v>
      </c>
      <c r="F585">
        <v>1.3051451859398799</v>
      </c>
      <c r="G585">
        <v>1.31501384438789</v>
      </c>
      <c r="H585">
        <v>5.4968127937753797E-2</v>
      </c>
      <c r="I585">
        <v>-0.179534192235561</v>
      </c>
      <c r="J585">
        <v>-0.76</v>
      </c>
      <c r="L585">
        <v>1.3699819723256439</v>
      </c>
      <c r="M585">
        <v>1.2600457164501362</v>
      </c>
      <c r="N585">
        <v>1.4249501002633975</v>
      </c>
      <c r="O585">
        <v>1.2050775885123826</v>
      </c>
    </row>
    <row r="586" spans="1:15">
      <c r="A586" s="19">
        <v>42975</v>
      </c>
      <c r="B586">
        <v>2550</v>
      </c>
      <c r="C586">
        <v>2554</v>
      </c>
      <c r="D586">
        <v>1973</v>
      </c>
      <c r="E586">
        <v>1988</v>
      </c>
      <c r="F586">
        <v>1.2847082494969799</v>
      </c>
      <c r="G586">
        <v>1.3150973197159399</v>
      </c>
      <c r="H586">
        <v>5.49578306670453E-2</v>
      </c>
      <c r="I586">
        <v>-0.55295250649668803</v>
      </c>
      <c r="J586">
        <v>-2.37</v>
      </c>
      <c r="L586">
        <v>1.3700551503829852</v>
      </c>
      <c r="M586">
        <v>1.2601394890488946</v>
      </c>
      <c r="N586">
        <v>1.4250129810500305</v>
      </c>
      <c r="O586">
        <v>1.2051816583818493</v>
      </c>
    </row>
    <row r="587" spans="1:15">
      <c r="A587" s="19">
        <v>42972</v>
      </c>
      <c r="B587">
        <v>2539</v>
      </c>
      <c r="C587">
        <v>2547</v>
      </c>
      <c r="D587">
        <v>1987</v>
      </c>
      <c r="E587">
        <v>1967</v>
      </c>
      <c r="F587">
        <v>1.29486527707168</v>
      </c>
      <c r="G587">
        <v>1.3156715003577399</v>
      </c>
      <c r="H587">
        <v>5.4862210056107301E-2</v>
      </c>
      <c r="I587">
        <v>-0.37924508080849101</v>
      </c>
      <c r="J587">
        <v>-1.61</v>
      </c>
      <c r="L587">
        <v>1.3705337104138473</v>
      </c>
      <c r="M587">
        <v>1.2608092903016326</v>
      </c>
      <c r="N587">
        <v>1.4253959204699544</v>
      </c>
      <c r="O587">
        <v>1.2059470802455254</v>
      </c>
    </row>
    <row r="588" spans="1:15">
      <c r="A588" s="19">
        <v>42971</v>
      </c>
      <c r="B588">
        <v>2511</v>
      </c>
      <c r="C588">
        <v>2526</v>
      </c>
      <c r="D588">
        <v>1977</v>
      </c>
      <c r="E588">
        <v>1988</v>
      </c>
      <c r="F588">
        <v>1.27062374245472</v>
      </c>
      <c r="G588">
        <v>1.3157536792658699</v>
      </c>
      <c r="H588">
        <v>5.4835592240936197E-2</v>
      </c>
      <c r="I588">
        <v>-0.82300445690187896</v>
      </c>
      <c r="J588">
        <v>-3.55</v>
      </c>
      <c r="L588">
        <v>1.3705892715068062</v>
      </c>
      <c r="M588">
        <v>1.2609180870249337</v>
      </c>
      <c r="N588">
        <v>1.4254248637477422</v>
      </c>
      <c r="O588">
        <v>1.2060824947839976</v>
      </c>
    </row>
    <row r="589" spans="1:15">
      <c r="A589" s="19">
        <v>42970</v>
      </c>
      <c r="B589">
        <v>2550</v>
      </c>
      <c r="C589">
        <v>2511</v>
      </c>
      <c r="D589">
        <v>2000</v>
      </c>
      <c r="E589">
        <v>1990</v>
      </c>
      <c r="F589">
        <v>1.2618090452261299</v>
      </c>
      <c r="G589">
        <v>1.31621903550587</v>
      </c>
      <c r="H589">
        <v>5.4598208366486697E-2</v>
      </c>
      <c r="I589">
        <v>-0.99655266917410901</v>
      </c>
      <c r="J589">
        <v>-4.3099999999999996</v>
      </c>
      <c r="L589">
        <v>1.3708172438723567</v>
      </c>
      <c r="M589">
        <v>1.2616208271393834</v>
      </c>
      <c r="N589">
        <v>1.4254154522388434</v>
      </c>
      <c r="O589">
        <v>1.2070226187728967</v>
      </c>
    </row>
    <row r="590" spans="1:15">
      <c r="A590" s="19">
        <v>42969</v>
      </c>
      <c r="B590">
        <v>2495</v>
      </c>
      <c r="C590">
        <v>2506</v>
      </c>
      <c r="D590">
        <v>1995</v>
      </c>
      <c r="E590">
        <v>1984</v>
      </c>
      <c r="F590">
        <v>1.2631048387096699</v>
      </c>
      <c r="G590">
        <v>1.31683136703915</v>
      </c>
      <c r="H590">
        <v>5.4240913933809497E-2</v>
      </c>
      <c r="I590">
        <v>-0.99051664938827</v>
      </c>
      <c r="J590">
        <v>-4.25</v>
      </c>
      <c r="L590">
        <v>1.3710722809729596</v>
      </c>
      <c r="M590">
        <v>1.2625904531053405</v>
      </c>
      <c r="N590">
        <v>1.425313194906769</v>
      </c>
      <c r="O590">
        <v>1.2083495391715311</v>
      </c>
    </row>
    <row r="591" spans="1:15">
      <c r="A591" s="19">
        <v>42968</v>
      </c>
      <c r="B591">
        <v>2500</v>
      </c>
      <c r="C591">
        <v>2498</v>
      </c>
      <c r="D591">
        <v>1980</v>
      </c>
      <c r="E591">
        <v>1980</v>
      </c>
      <c r="F591">
        <v>1.2616161616161601</v>
      </c>
      <c r="G591">
        <v>1.3166036135870001</v>
      </c>
      <c r="H591">
        <v>5.4501266498682498E-2</v>
      </c>
      <c r="I591">
        <v>-1.0089206270494699</v>
      </c>
      <c r="J591">
        <v>-4.3600000000000003</v>
      </c>
      <c r="L591">
        <v>1.3711048800856827</v>
      </c>
      <c r="M591">
        <v>1.2621023470883175</v>
      </c>
      <c r="N591">
        <v>1.425606146584365</v>
      </c>
      <c r="O591">
        <v>1.2076010805896351</v>
      </c>
    </row>
    <row r="592" spans="1:15">
      <c r="A592" s="19">
        <v>42965</v>
      </c>
      <c r="B592">
        <v>2479</v>
      </c>
      <c r="C592">
        <v>2477</v>
      </c>
      <c r="D592">
        <v>1971</v>
      </c>
      <c r="E592">
        <v>1960</v>
      </c>
      <c r="F592">
        <v>1.26377551020408</v>
      </c>
      <c r="G592">
        <v>1.3162194545361701</v>
      </c>
      <c r="H592">
        <v>5.4986877432000203E-2</v>
      </c>
      <c r="I592">
        <v>-0.95375381875340404</v>
      </c>
      <c r="J592">
        <v>-4.1500000000000004</v>
      </c>
      <c r="L592">
        <v>1.3712063319681702</v>
      </c>
      <c r="M592">
        <v>1.2612325771041699</v>
      </c>
      <c r="N592">
        <v>1.4261932094001706</v>
      </c>
      <c r="O592">
        <v>1.2062456996721695</v>
      </c>
    </row>
    <row r="593" spans="1:15">
      <c r="A593" s="19">
        <v>42964</v>
      </c>
      <c r="B593">
        <v>2480</v>
      </c>
      <c r="C593">
        <v>2509</v>
      </c>
      <c r="D593">
        <v>1977</v>
      </c>
      <c r="E593">
        <v>1993</v>
      </c>
      <c r="F593">
        <v>1.2589061716006</v>
      </c>
      <c r="G593">
        <v>1.31586052880975</v>
      </c>
      <c r="H593">
        <v>5.5414230116986499E-2</v>
      </c>
      <c r="I593">
        <v>-1.0277929890736099</v>
      </c>
      <c r="J593">
        <v>-4.5199999999999996</v>
      </c>
      <c r="L593">
        <v>1.3712747589267364</v>
      </c>
      <c r="M593">
        <v>1.2604462986927636</v>
      </c>
      <c r="N593">
        <v>1.4266889890437231</v>
      </c>
      <c r="O593">
        <v>1.2050320685757769</v>
      </c>
    </row>
    <row r="594" spans="1:15">
      <c r="A594" s="19">
        <v>42963</v>
      </c>
      <c r="B594">
        <v>2472</v>
      </c>
      <c r="C594">
        <v>2474</v>
      </c>
      <c r="D594">
        <v>1965</v>
      </c>
      <c r="E594">
        <v>1977</v>
      </c>
      <c r="F594">
        <v>1.25139099645928</v>
      </c>
      <c r="G594">
        <v>1.31432419551667</v>
      </c>
      <c r="H594">
        <v>5.8484205806864198E-2</v>
      </c>
      <c r="I594">
        <v>-1.07607170498684</v>
      </c>
      <c r="J594">
        <v>-5.03</v>
      </c>
      <c r="L594">
        <v>1.3728084013235342</v>
      </c>
      <c r="M594">
        <v>1.2558399897098058</v>
      </c>
      <c r="N594">
        <v>1.4312926071303984</v>
      </c>
      <c r="O594">
        <v>1.1973557839029416</v>
      </c>
    </row>
    <row r="595" spans="1:15">
      <c r="A595" s="19">
        <v>42962</v>
      </c>
      <c r="B595">
        <v>2460</v>
      </c>
      <c r="C595">
        <v>2477</v>
      </c>
      <c r="D595">
        <v>1971</v>
      </c>
      <c r="E595">
        <v>1966</v>
      </c>
      <c r="F595">
        <v>1.2599186164801599</v>
      </c>
      <c r="G595">
        <v>1.3134165238529301</v>
      </c>
      <c r="H595">
        <v>5.99634381325993E-2</v>
      </c>
      <c r="I595">
        <v>-0.89217544955436201</v>
      </c>
      <c r="J595">
        <v>-4.25</v>
      </c>
      <c r="L595">
        <v>1.3733799619855294</v>
      </c>
      <c r="M595">
        <v>1.2534530857203308</v>
      </c>
      <c r="N595">
        <v>1.4333434001181287</v>
      </c>
      <c r="O595">
        <v>1.1934896475877315</v>
      </c>
    </row>
    <row r="596" spans="1:15">
      <c r="A596" s="19">
        <v>42961</v>
      </c>
      <c r="B596">
        <v>2453</v>
      </c>
      <c r="C596">
        <v>2459</v>
      </c>
      <c r="D596">
        <v>1952</v>
      </c>
      <c r="E596">
        <v>1957</v>
      </c>
      <c r="F596">
        <v>1.25651507409299</v>
      </c>
      <c r="G596">
        <v>1.3122325822285601</v>
      </c>
      <c r="H596">
        <v>6.1854812475396898E-2</v>
      </c>
      <c r="I596">
        <v>-0.90077887080705699</v>
      </c>
      <c r="J596">
        <v>-4.43</v>
      </c>
      <c r="L596">
        <v>1.3740873947039569</v>
      </c>
      <c r="M596">
        <v>1.2503777697531633</v>
      </c>
      <c r="N596">
        <v>1.4359422071793539</v>
      </c>
      <c r="O596">
        <v>1.1885229572777662</v>
      </c>
    </row>
    <row r="597" spans="1:15">
      <c r="A597" s="19">
        <v>42957</v>
      </c>
      <c r="B597">
        <v>2475</v>
      </c>
      <c r="C597">
        <v>2473</v>
      </c>
      <c r="D597">
        <v>1990</v>
      </c>
      <c r="E597">
        <v>1973</v>
      </c>
      <c r="F597">
        <v>1.2534211860111499</v>
      </c>
      <c r="G597">
        <v>1.31080031166309</v>
      </c>
      <c r="H597">
        <v>6.4322829882674501E-2</v>
      </c>
      <c r="I597">
        <v>-0.89204914890417097</v>
      </c>
      <c r="J597">
        <v>-4.58</v>
      </c>
      <c r="L597">
        <v>1.3751231415457645</v>
      </c>
      <c r="M597">
        <v>1.2464774817804154</v>
      </c>
      <c r="N597">
        <v>1.4394459714284389</v>
      </c>
      <c r="O597">
        <v>1.182154651897741</v>
      </c>
    </row>
    <row r="598" spans="1:15">
      <c r="A598" s="19">
        <v>42956</v>
      </c>
      <c r="B598">
        <v>2485</v>
      </c>
      <c r="C598">
        <v>2462</v>
      </c>
      <c r="D598">
        <v>1977</v>
      </c>
      <c r="E598">
        <v>1951</v>
      </c>
      <c r="F598">
        <v>1.26191696565863</v>
      </c>
      <c r="G598">
        <v>1.3093148959210701</v>
      </c>
      <c r="H598">
        <v>6.6866794387820394E-2</v>
      </c>
      <c r="I598">
        <v>-0.70884107270838503</v>
      </c>
      <c r="J598">
        <v>-3.76</v>
      </c>
      <c r="L598">
        <v>1.3761816903088904</v>
      </c>
      <c r="M598">
        <v>1.2424481015332498</v>
      </c>
      <c r="N598">
        <v>1.4430484846967109</v>
      </c>
      <c r="O598">
        <v>1.1755813071454293</v>
      </c>
    </row>
    <row r="599" spans="1:15">
      <c r="A599" s="19">
        <v>42955</v>
      </c>
      <c r="B599">
        <v>2470</v>
      </c>
      <c r="C599">
        <v>2484</v>
      </c>
      <c r="D599">
        <v>1936</v>
      </c>
      <c r="E599">
        <v>1984</v>
      </c>
      <c r="F599">
        <v>1.25201612903225</v>
      </c>
      <c r="G599">
        <v>1.3077007053302001</v>
      </c>
      <c r="H599">
        <v>6.9404625287687899E-2</v>
      </c>
      <c r="I599">
        <v>-0.802317944476034</v>
      </c>
      <c r="J599">
        <v>-4.45</v>
      </c>
      <c r="L599">
        <v>1.377105330617888</v>
      </c>
      <c r="M599">
        <v>1.2382960800425122</v>
      </c>
      <c r="N599">
        <v>1.4465099559055759</v>
      </c>
      <c r="O599">
        <v>1.1688914547548244</v>
      </c>
    </row>
    <row r="600" spans="1:15">
      <c r="A600" s="19">
        <v>42954</v>
      </c>
      <c r="B600">
        <v>2494</v>
      </c>
      <c r="C600">
        <v>2472</v>
      </c>
      <c r="D600">
        <v>1945</v>
      </c>
      <c r="E600">
        <v>1936</v>
      </c>
      <c r="F600">
        <v>1.2768595041322299</v>
      </c>
      <c r="G600">
        <v>1.30608085610844</v>
      </c>
      <c r="H600">
        <v>7.2052568986658003E-2</v>
      </c>
      <c r="I600">
        <v>-0.40555600427824501</v>
      </c>
      <c r="J600">
        <v>-2.29</v>
      </c>
      <c r="L600">
        <v>1.3781334250950981</v>
      </c>
      <c r="M600">
        <v>1.234028287121782</v>
      </c>
      <c r="N600">
        <v>1.4501859940817561</v>
      </c>
      <c r="O600">
        <v>1.161975718135124</v>
      </c>
    </row>
    <row r="601" spans="1:15">
      <c r="A601" s="19">
        <v>42951</v>
      </c>
      <c r="B601">
        <v>2437</v>
      </c>
      <c r="C601">
        <v>2462</v>
      </c>
      <c r="D601">
        <v>1947</v>
      </c>
      <c r="E601">
        <v>1939</v>
      </c>
      <c r="F601">
        <v>1.2697266632284601</v>
      </c>
      <c r="G601">
        <v>1.3048183945585701</v>
      </c>
      <c r="H601">
        <v>7.3370949580803493E-2</v>
      </c>
      <c r="I601">
        <v>-0.47827827676488799</v>
      </c>
      <c r="J601">
        <v>-2.76</v>
      </c>
      <c r="L601">
        <v>1.3781893441393736</v>
      </c>
      <c r="M601">
        <v>1.2314474449777666</v>
      </c>
      <c r="N601">
        <v>1.451560293720177</v>
      </c>
      <c r="O601">
        <v>1.1580764953969631</v>
      </c>
    </row>
    <row r="602" spans="1:15">
      <c r="A602" s="19">
        <v>42950</v>
      </c>
      <c r="B602">
        <v>2422</v>
      </c>
      <c r="C602">
        <v>2436</v>
      </c>
      <c r="D602">
        <v>1922</v>
      </c>
      <c r="E602">
        <v>1944</v>
      </c>
      <c r="F602">
        <v>1.25308641975308</v>
      </c>
      <c r="G602">
        <v>1.3036401562115001</v>
      </c>
      <c r="H602">
        <v>7.4623851843835798E-2</v>
      </c>
      <c r="I602">
        <v>-0.67744742745543196</v>
      </c>
      <c r="J602">
        <v>-4.03</v>
      </c>
      <c r="L602">
        <v>1.3782640080553359</v>
      </c>
      <c r="M602">
        <v>1.2290163043676643</v>
      </c>
      <c r="N602">
        <v>1.4528878598991717</v>
      </c>
      <c r="O602">
        <v>1.1543924525238285</v>
      </c>
    </row>
    <row r="603" spans="1:15">
      <c r="A603" s="19">
        <v>42949</v>
      </c>
      <c r="B603">
        <v>2442</v>
      </c>
      <c r="C603">
        <v>2421</v>
      </c>
      <c r="D603">
        <v>1926</v>
      </c>
      <c r="E603">
        <v>1929</v>
      </c>
      <c r="F603">
        <v>1.2550544323483599</v>
      </c>
      <c r="G603">
        <v>1.3027222087856201</v>
      </c>
      <c r="H603">
        <v>7.5656361542088699E-2</v>
      </c>
      <c r="I603">
        <v>-0.63005642176882903</v>
      </c>
      <c r="J603">
        <v>-3.8</v>
      </c>
      <c r="L603">
        <v>1.3783785703277087</v>
      </c>
      <c r="M603">
        <v>1.2270658472435314</v>
      </c>
      <c r="N603">
        <v>1.4540349318697974</v>
      </c>
      <c r="O603">
        <v>1.1514094857014427</v>
      </c>
    </row>
    <row r="604" spans="1:15">
      <c r="A604" s="19">
        <v>42948</v>
      </c>
      <c r="B604">
        <v>2412</v>
      </c>
      <c r="C604">
        <v>2392</v>
      </c>
      <c r="D604">
        <v>1901</v>
      </c>
      <c r="E604">
        <v>1921</v>
      </c>
      <c r="F604">
        <v>1.2451847995835501</v>
      </c>
      <c r="G604">
        <v>1.3015868911275801</v>
      </c>
      <c r="H604">
        <v>7.6990279880441104E-2</v>
      </c>
      <c r="I604">
        <v>-0.73258717375263005</v>
      </c>
      <c r="J604">
        <v>-4.53</v>
      </c>
      <c r="L604">
        <v>1.3785771710080212</v>
      </c>
      <c r="M604">
        <v>1.2245966112471389</v>
      </c>
      <c r="N604">
        <v>1.4555674508884624</v>
      </c>
      <c r="O604">
        <v>1.1476063313666978</v>
      </c>
    </row>
    <row r="605" spans="1:15">
      <c r="A605" s="19">
        <v>42947</v>
      </c>
      <c r="B605">
        <v>2588</v>
      </c>
      <c r="C605">
        <v>2410</v>
      </c>
      <c r="D605">
        <v>1897</v>
      </c>
      <c r="E605">
        <v>1901</v>
      </c>
      <c r="F605">
        <v>1.26775381378222</v>
      </c>
      <c r="G605">
        <v>1.30068466827578</v>
      </c>
      <c r="H605">
        <v>7.8035339156877104E-2</v>
      </c>
      <c r="I605">
        <v>-0.42199924866556099</v>
      </c>
      <c r="J605">
        <v>-2.6</v>
      </c>
      <c r="L605">
        <v>1.3787200074326571</v>
      </c>
      <c r="M605">
        <v>1.2226493291189029</v>
      </c>
      <c r="N605">
        <v>1.4567553465895342</v>
      </c>
      <c r="O605">
        <v>1.1446139899620258</v>
      </c>
    </row>
    <row r="606" spans="1:15">
      <c r="A606" s="19">
        <v>42944</v>
      </c>
      <c r="B606">
        <v>2565</v>
      </c>
      <c r="C606">
        <v>2567</v>
      </c>
      <c r="D606">
        <v>1917</v>
      </c>
      <c r="E606">
        <v>1897</v>
      </c>
      <c r="F606">
        <v>1.35318924617817</v>
      </c>
      <c r="G606">
        <v>1.29931265877464</v>
      </c>
      <c r="H606">
        <v>7.9493241178667698E-2</v>
      </c>
      <c r="I606">
        <v>0.67775054337558505</v>
      </c>
      <c r="J606">
        <v>3.98</v>
      </c>
      <c r="L606">
        <v>1.3788058999533077</v>
      </c>
      <c r="M606">
        <v>1.2198194175959722</v>
      </c>
      <c r="N606">
        <v>1.4582991411319755</v>
      </c>
      <c r="O606">
        <v>1.1403261764173045</v>
      </c>
    </row>
    <row r="607" spans="1:15">
      <c r="A607" s="19">
        <v>42943</v>
      </c>
      <c r="B607">
        <v>2600</v>
      </c>
      <c r="C607">
        <v>2592</v>
      </c>
      <c r="D607">
        <v>1887</v>
      </c>
      <c r="E607">
        <v>1917</v>
      </c>
      <c r="F607">
        <v>1.35211267605633</v>
      </c>
      <c r="G607">
        <v>1.2968993225283001</v>
      </c>
      <c r="H607">
        <v>8.0561286898083895E-2</v>
      </c>
      <c r="I607">
        <v>0.68535838557152196</v>
      </c>
      <c r="J607">
        <v>4.08</v>
      </c>
      <c r="L607">
        <v>1.3774606094263839</v>
      </c>
      <c r="M607">
        <v>1.2163380356302163</v>
      </c>
      <c r="N607">
        <v>1.458021896324468</v>
      </c>
      <c r="O607">
        <v>1.1357767487321322</v>
      </c>
    </row>
    <row r="608" spans="1:15">
      <c r="A608" s="19">
        <v>42942</v>
      </c>
      <c r="B608">
        <v>2578</v>
      </c>
      <c r="C608">
        <v>2589</v>
      </c>
      <c r="D608">
        <v>1872</v>
      </c>
      <c r="E608">
        <v>1891</v>
      </c>
      <c r="F608">
        <v>1.3691168693812701</v>
      </c>
      <c r="G608">
        <v>1.2946207416526001</v>
      </c>
      <c r="H608">
        <v>8.1380019928336905E-2</v>
      </c>
      <c r="I608">
        <v>0.91541053681575502</v>
      </c>
      <c r="J608">
        <v>5.44</v>
      </c>
      <c r="L608">
        <v>1.3760007615809371</v>
      </c>
      <c r="M608">
        <v>1.2132407217242631</v>
      </c>
      <c r="N608">
        <v>1.4573807815092739</v>
      </c>
      <c r="O608">
        <v>1.1318607017959263</v>
      </c>
    </row>
    <row r="609" spans="1:15">
      <c r="A609" s="19">
        <v>42941</v>
      </c>
      <c r="B609">
        <v>2600</v>
      </c>
      <c r="C609">
        <v>2572</v>
      </c>
      <c r="D609">
        <v>1860</v>
      </c>
      <c r="E609">
        <v>1860</v>
      </c>
      <c r="F609">
        <v>1.3827956989247301</v>
      </c>
      <c r="G609">
        <v>1.2922146241578001</v>
      </c>
      <c r="H609">
        <v>8.1808498792002193E-2</v>
      </c>
      <c r="I609">
        <v>1.10723306385599</v>
      </c>
      <c r="J609">
        <v>6.55</v>
      </c>
      <c r="L609">
        <v>1.3740231229498023</v>
      </c>
      <c r="M609">
        <v>1.2104061253657978</v>
      </c>
      <c r="N609">
        <v>1.4558316217418046</v>
      </c>
      <c r="O609">
        <v>1.1285976265737956</v>
      </c>
    </row>
    <row r="610" spans="1:15">
      <c r="A610" s="19">
        <v>42940</v>
      </c>
      <c r="B610">
        <v>2576</v>
      </c>
      <c r="C610">
        <v>2593</v>
      </c>
      <c r="D610">
        <v>1800</v>
      </c>
      <c r="E610">
        <v>1818</v>
      </c>
      <c r="F610">
        <v>1.4262926292629201</v>
      </c>
      <c r="G610">
        <v>1.2894360954723501</v>
      </c>
      <c r="H610">
        <v>8.2222640725879301E-2</v>
      </c>
      <c r="I610">
        <v>1.6644628849471499</v>
      </c>
      <c r="J610">
        <v>9.6</v>
      </c>
      <c r="L610">
        <v>1.3716587361982293</v>
      </c>
      <c r="M610">
        <v>1.2072134547464708</v>
      </c>
      <c r="N610">
        <v>1.4538813769241086</v>
      </c>
      <c r="O610">
        <v>1.1249908140205915</v>
      </c>
    </row>
    <row r="611" spans="1:15">
      <c r="A611" s="19">
        <v>42937</v>
      </c>
      <c r="B611">
        <v>2592</v>
      </c>
      <c r="C611">
        <v>2594</v>
      </c>
      <c r="D611">
        <v>1821</v>
      </c>
      <c r="E611">
        <v>1811</v>
      </c>
      <c r="F611">
        <v>1.4323578133627799</v>
      </c>
      <c r="G611">
        <v>1.2865200508917001</v>
      </c>
      <c r="H611">
        <v>8.1188967996229405E-2</v>
      </c>
      <c r="I611">
        <v>1.79627560332887</v>
      </c>
      <c r="J611">
        <v>10.18</v>
      </c>
      <c r="L611">
        <v>1.3677090188879295</v>
      </c>
      <c r="M611">
        <v>1.2053310828954706</v>
      </c>
      <c r="N611">
        <v>1.4488979868841589</v>
      </c>
      <c r="O611">
        <v>1.1241421148992412</v>
      </c>
    </row>
    <row r="612" spans="1:15">
      <c r="A612" s="19">
        <v>42936</v>
      </c>
      <c r="B612">
        <v>2602</v>
      </c>
      <c r="C612">
        <v>2602</v>
      </c>
      <c r="D612">
        <v>1832</v>
      </c>
      <c r="E612">
        <v>1827</v>
      </c>
      <c r="F612">
        <v>1.4241926655719701</v>
      </c>
      <c r="G612">
        <v>1.2833008672095201</v>
      </c>
      <c r="H612">
        <v>8.0122182064641403E-2</v>
      </c>
      <c r="I612">
        <v>1.7584618233285301</v>
      </c>
      <c r="J612">
        <v>9.89</v>
      </c>
      <c r="L612">
        <v>1.3634230492741615</v>
      </c>
      <c r="M612">
        <v>1.2031786851448787</v>
      </c>
      <c r="N612">
        <v>1.4435452313388029</v>
      </c>
      <c r="O612">
        <v>1.1230565030802373</v>
      </c>
    </row>
    <row r="613" spans="1:15">
      <c r="A613" s="19">
        <v>42935</v>
      </c>
      <c r="B613">
        <v>2607</v>
      </c>
      <c r="C613">
        <v>2606</v>
      </c>
      <c r="D613">
        <v>1822</v>
      </c>
      <c r="E613">
        <v>1832</v>
      </c>
      <c r="F613">
        <v>1.4224890829694301</v>
      </c>
      <c r="G613">
        <v>1.28061297560193</v>
      </c>
      <c r="H613">
        <v>7.8719709284100395E-2</v>
      </c>
      <c r="I613">
        <v>1.8022946052234801</v>
      </c>
      <c r="J613">
        <v>9.9700000000000006</v>
      </c>
      <c r="L613">
        <v>1.3593326848860303</v>
      </c>
      <c r="M613">
        <v>1.2018932663178297</v>
      </c>
      <c r="N613">
        <v>1.4380523941701309</v>
      </c>
      <c r="O613">
        <v>1.1231735570337291</v>
      </c>
    </row>
    <row r="614" spans="1:15">
      <c r="A614" s="19">
        <v>42934</v>
      </c>
      <c r="B614">
        <v>2592</v>
      </c>
      <c r="C614">
        <v>2612</v>
      </c>
      <c r="D614">
        <v>1801</v>
      </c>
      <c r="E614">
        <v>1813</v>
      </c>
      <c r="F614">
        <v>1.44070601213458</v>
      </c>
      <c r="G614">
        <v>1.2778470908422901</v>
      </c>
      <c r="H614">
        <v>7.7318015189155001E-2</v>
      </c>
      <c r="I614">
        <v>2.1063515520135501</v>
      </c>
      <c r="J614">
        <v>11.3</v>
      </c>
      <c r="L614">
        <v>1.3551651060314451</v>
      </c>
      <c r="M614">
        <v>1.200529075653135</v>
      </c>
      <c r="N614">
        <v>1.4324831212206002</v>
      </c>
      <c r="O614">
        <v>1.12321106046398</v>
      </c>
    </row>
    <row r="615" spans="1:15">
      <c r="A615" s="19">
        <v>42930</v>
      </c>
      <c r="B615">
        <v>2588</v>
      </c>
      <c r="C615">
        <v>2573</v>
      </c>
      <c r="D615">
        <v>1797</v>
      </c>
      <c r="E615">
        <v>1803</v>
      </c>
      <c r="F615">
        <v>1.42706600110926</v>
      </c>
      <c r="G615">
        <v>1.2747854151126301</v>
      </c>
      <c r="H615">
        <v>7.5329267696412794E-2</v>
      </c>
      <c r="I615">
        <v>2.0215328072793102</v>
      </c>
      <c r="J615">
        <v>10.67</v>
      </c>
      <c r="L615">
        <v>1.3501146828090429</v>
      </c>
      <c r="M615">
        <v>1.1994561474162173</v>
      </c>
      <c r="N615">
        <v>1.4254439505054557</v>
      </c>
      <c r="O615">
        <v>1.1241268797198045</v>
      </c>
    </row>
    <row r="616" spans="1:15">
      <c r="A616" s="19">
        <v>42929</v>
      </c>
      <c r="B616">
        <v>2574</v>
      </c>
      <c r="C616">
        <v>2566</v>
      </c>
      <c r="D616">
        <v>1821</v>
      </c>
      <c r="E616">
        <v>1797</v>
      </c>
      <c r="F616">
        <v>1.42793544796883</v>
      </c>
      <c r="G616">
        <v>1.27179098578179</v>
      </c>
      <c r="H616">
        <v>7.3661662922541504E-2</v>
      </c>
      <c r="I616">
        <v>2.1197520662985299</v>
      </c>
      <c r="J616">
        <v>10.93</v>
      </c>
      <c r="L616">
        <v>1.3454526487043315</v>
      </c>
      <c r="M616">
        <v>1.1981293228592484</v>
      </c>
      <c r="N616">
        <v>1.419114311626873</v>
      </c>
      <c r="O616">
        <v>1.1244676599367069</v>
      </c>
    </row>
    <row r="617" spans="1:15">
      <c r="A617" s="19">
        <v>42928</v>
      </c>
      <c r="B617">
        <v>2567</v>
      </c>
      <c r="C617">
        <v>2541</v>
      </c>
      <c r="D617">
        <v>1835</v>
      </c>
      <c r="E617">
        <v>1818</v>
      </c>
      <c r="F617">
        <v>1.3976897689768899</v>
      </c>
      <c r="G617">
        <v>1.2687738850430299</v>
      </c>
      <c r="H617">
        <v>7.1815373063832094E-2</v>
      </c>
      <c r="I617">
        <v>1.7951015003330399</v>
      </c>
      <c r="J617">
        <v>9.2200000000000006</v>
      </c>
      <c r="L617">
        <v>1.3405892581068619</v>
      </c>
      <c r="M617">
        <v>1.1969585119791979</v>
      </c>
      <c r="N617">
        <v>1.4124046311706941</v>
      </c>
      <c r="O617">
        <v>1.1251431389153657</v>
      </c>
    </row>
    <row r="618" spans="1:15">
      <c r="A618" s="19">
        <v>42927</v>
      </c>
      <c r="B618">
        <v>2516</v>
      </c>
      <c r="C618">
        <v>2567</v>
      </c>
      <c r="D618">
        <v>1814</v>
      </c>
      <c r="E618">
        <v>1834</v>
      </c>
      <c r="F618">
        <v>1.3996728462377299</v>
      </c>
      <c r="G618">
        <v>1.2662021030150199</v>
      </c>
      <c r="H618">
        <v>7.0596043434567796E-2</v>
      </c>
      <c r="I618">
        <v>1.89062639673873</v>
      </c>
      <c r="J618">
        <v>9.5399999999999991</v>
      </c>
      <c r="L618">
        <v>1.3367981464495877</v>
      </c>
      <c r="M618">
        <v>1.1956060595804521</v>
      </c>
      <c r="N618">
        <v>1.4073941898841555</v>
      </c>
      <c r="O618">
        <v>1.1250100161458843</v>
      </c>
    </row>
    <row r="619" spans="1:15">
      <c r="A619" s="19">
        <v>42926</v>
      </c>
      <c r="B619">
        <v>2500</v>
      </c>
      <c r="C619">
        <v>2500</v>
      </c>
      <c r="D619">
        <v>1800</v>
      </c>
      <c r="E619">
        <v>1812</v>
      </c>
      <c r="F619">
        <v>1.3796909492273699</v>
      </c>
      <c r="G619">
        <v>1.2630370310355401</v>
      </c>
      <c r="H619">
        <v>6.9858576400585695E-2</v>
      </c>
      <c r="I619">
        <v>1.66985822217307</v>
      </c>
      <c r="J619">
        <v>8.4600000000000009</v>
      </c>
      <c r="L619">
        <v>1.3328956074361258</v>
      </c>
      <c r="M619">
        <v>1.1931784546349544</v>
      </c>
      <c r="N619">
        <v>1.4027541838367115</v>
      </c>
      <c r="O619">
        <v>1.1233198782343687</v>
      </c>
    </row>
    <row r="620" spans="1:15">
      <c r="A620" s="19">
        <v>42923</v>
      </c>
      <c r="B620">
        <v>2496</v>
      </c>
      <c r="C620">
        <v>2482</v>
      </c>
      <c r="D620">
        <v>1786</v>
      </c>
      <c r="E620">
        <v>1795</v>
      </c>
      <c r="F620">
        <v>1.3827298050139201</v>
      </c>
      <c r="G620">
        <v>1.26003439045835</v>
      </c>
      <c r="H620">
        <v>6.9619351135034299E-2</v>
      </c>
      <c r="I620">
        <v>1.76237515224163</v>
      </c>
      <c r="J620">
        <v>8.8699999999999992</v>
      </c>
      <c r="L620">
        <v>1.3296537415933842</v>
      </c>
      <c r="M620">
        <v>1.1904150393233157</v>
      </c>
      <c r="N620">
        <v>1.3992730927284185</v>
      </c>
      <c r="O620">
        <v>1.1207956881882815</v>
      </c>
    </row>
    <row r="621" spans="1:15">
      <c r="A621" s="19">
        <v>42922</v>
      </c>
      <c r="B621">
        <v>2504</v>
      </c>
      <c r="C621">
        <v>2521</v>
      </c>
      <c r="D621">
        <v>1811</v>
      </c>
      <c r="E621">
        <v>1807</v>
      </c>
      <c r="F621">
        <v>1.3951300498063</v>
      </c>
      <c r="G621">
        <v>1.25692374279964</v>
      </c>
      <c r="H621">
        <v>6.9278879752869199E-2</v>
      </c>
      <c r="I621">
        <v>1.99492698928845</v>
      </c>
      <c r="J621">
        <v>9.91</v>
      </c>
      <c r="L621">
        <v>1.3262026225525092</v>
      </c>
      <c r="M621">
        <v>1.1876448630467709</v>
      </c>
      <c r="N621">
        <v>1.3954815023053784</v>
      </c>
      <c r="O621">
        <v>1.1183659832939017</v>
      </c>
    </row>
    <row r="622" spans="1:15">
      <c r="A622" s="19">
        <v>42921</v>
      </c>
      <c r="B622">
        <v>2482</v>
      </c>
      <c r="C622">
        <v>2506</v>
      </c>
      <c r="D622">
        <v>1802</v>
      </c>
      <c r="E622">
        <v>1812</v>
      </c>
      <c r="F622">
        <v>1.38300220750551</v>
      </c>
      <c r="G622">
        <v>1.25384491891065</v>
      </c>
      <c r="H622">
        <v>6.8190871856037005E-2</v>
      </c>
      <c r="I622">
        <v>1.89405539303765</v>
      </c>
      <c r="J622">
        <v>9.34</v>
      </c>
      <c r="L622">
        <v>1.3220357907666869</v>
      </c>
      <c r="M622">
        <v>1.1856540470546131</v>
      </c>
      <c r="N622">
        <v>1.390226662622724</v>
      </c>
      <c r="O622">
        <v>1.117463175198576</v>
      </c>
    </row>
    <row r="623" spans="1:15">
      <c r="A623" s="19">
        <v>42920</v>
      </c>
      <c r="B623">
        <v>2510</v>
      </c>
      <c r="C623">
        <v>2475</v>
      </c>
      <c r="D623">
        <v>1855</v>
      </c>
      <c r="E623">
        <v>1810</v>
      </c>
      <c r="F623">
        <v>1.3674033149171201</v>
      </c>
      <c r="G623">
        <v>1.2508754674412701</v>
      </c>
      <c r="H623">
        <v>6.7345734191809101E-2</v>
      </c>
      <c r="I623">
        <v>1.7302929261111799</v>
      </c>
      <c r="J623">
        <v>8.52</v>
      </c>
      <c r="L623">
        <v>1.3182212016330792</v>
      </c>
      <c r="M623">
        <v>1.183529733249461</v>
      </c>
      <c r="N623">
        <v>1.3855669358248883</v>
      </c>
      <c r="O623">
        <v>1.1161839990576519</v>
      </c>
    </row>
    <row r="624" spans="1:15">
      <c r="A624" s="19">
        <v>42919</v>
      </c>
      <c r="B624">
        <v>2477</v>
      </c>
      <c r="C624">
        <v>2482</v>
      </c>
      <c r="D624">
        <v>1857</v>
      </c>
      <c r="E624">
        <v>1854</v>
      </c>
      <c r="F624">
        <v>1.3387270765911501</v>
      </c>
      <c r="G624">
        <v>1.24830356778671</v>
      </c>
      <c r="H624">
        <v>6.6524713243620498E-2</v>
      </c>
      <c r="I624">
        <v>1.35924687827364</v>
      </c>
      <c r="J624">
        <v>6.75</v>
      </c>
      <c r="L624">
        <v>1.3148282810303304</v>
      </c>
      <c r="M624">
        <v>1.1817788545430896</v>
      </c>
      <c r="N624">
        <v>1.3813529942739511</v>
      </c>
      <c r="O624">
        <v>1.115254141299469</v>
      </c>
    </row>
    <row r="625" spans="1:15">
      <c r="A625" s="19">
        <v>42916</v>
      </c>
      <c r="B625">
        <v>2440</v>
      </c>
      <c r="C625">
        <v>2440</v>
      </c>
      <c r="D625">
        <v>1848</v>
      </c>
      <c r="E625">
        <v>1857</v>
      </c>
      <c r="F625">
        <v>1.3139472267097401</v>
      </c>
      <c r="G625">
        <v>1.24607252047037</v>
      </c>
      <c r="H625">
        <v>6.6260090222511697E-2</v>
      </c>
      <c r="I625">
        <v>1.0243678511671599</v>
      </c>
      <c r="J625">
        <v>5.17</v>
      </c>
      <c r="L625">
        <v>1.3123326106928817</v>
      </c>
      <c r="M625">
        <v>1.1798124302478583</v>
      </c>
      <c r="N625">
        <v>1.3785927009153933</v>
      </c>
      <c r="O625">
        <v>1.1135523400253466</v>
      </c>
    </row>
    <row r="626" spans="1:15">
      <c r="A626" s="19">
        <v>42915</v>
      </c>
      <c r="B626">
        <v>2450</v>
      </c>
      <c r="C626">
        <v>2452</v>
      </c>
      <c r="D626">
        <v>1857</v>
      </c>
      <c r="E626">
        <v>1864</v>
      </c>
      <c r="F626">
        <v>1.3154506437768201</v>
      </c>
      <c r="G626">
        <v>1.24432807020043</v>
      </c>
      <c r="H626">
        <v>6.61723609683844E-2</v>
      </c>
      <c r="I626">
        <v>1.0748078583802101</v>
      </c>
      <c r="J626">
        <v>5.41</v>
      </c>
      <c r="L626">
        <v>1.3105004311688144</v>
      </c>
      <c r="M626">
        <v>1.1781557092320456</v>
      </c>
      <c r="N626">
        <v>1.3766727921371988</v>
      </c>
      <c r="O626">
        <v>1.1119833482636612</v>
      </c>
    </row>
    <row r="627" spans="1:15">
      <c r="A627" s="19">
        <v>42914</v>
      </c>
      <c r="B627">
        <v>2461</v>
      </c>
      <c r="C627">
        <v>2433</v>
      </c>
      <c r="D627">
        <v>1892</v>
      </c>
      <c r="E627">
        <v>1835</v>
      </c>
      <c r="F627">
        <v>1.3258855585831</v>
      </c>
      <c r="G627">
        <v>1.2422710237657</v>
      </c>
      <c r="H627">
        <v>6.6327242109744902E-2</v>
      </c>
      <c r="I627">
        <v>1.2606363864647701</v>
      </c>
      <c r="J627">
        <v>6.31</v>
      </c>
      <c r="L627">
        <v>1.3085982658754449</v>
      </c>
      <c r="M627">
        <v>1.175943781655955</v>
      </c>
      <c r="N627">
        <v>1.3749255079851899</v>
      </c>
      <c r="O627">
        <v>1.1096165395462101</v>
      </c>
    </row>
    <row r="628" spans="1:15">
      <c r="A628" s="19">
        <v>42913</v>
      </c>
      <c r="B628">
        <v>2501</v>
      </c>
      <c r="C628">
        <v>2468</v>
      </c>
      <c r="D628">
        <v>1899</v>
      </c>
      <c r="E628">
        <v>1918</v>
      </c>
      <c r="F628">
        <v>1.2867570385818501</v>
      </c>
      <c r="G628">
        <v>1.2401246144856499</v>
      </c>
      <c r="H628">
        <v>6.6191271372745802E-2</v>
      </c>
      <c r="I628">
        <v>0.70451017375993097</v>
      </c>
      <c r="J628">
        <v>3.62</v>
      </c>
      <c r="L628">
        <v>1.3063158858583956</v>
      </c>
      <c r="M628">
        <v>1.1739333431129042</v>
      </c>
      <c r="N628">
        <v>1.3725071572311416</v>
      </c>
      <c r="O628">
        <v>1.1077420717401583</v>
      </c>
    </row>
    <row r="629" spans="1:15">
      <c r="A629" s="19">
        <v>42912</v>
      </c>
      <c r="B629">
        <v>2503</v>
      </c>
      <c r="C629">
        <v>2505</v>
      </c>
      <c r="D629">
        <v>1897</v>
      </c>
      <c r="E629">
        <v>1901</v>
      </c>
      <c r="F629">
        <v>1.31772751183587</v>
      </c>
      <c r="G629">
        <v>1.23842576821156</v>
      </c>
      <c r="H629">
        <v>6.6606392990056301E-2</v>
      </c>
      <c r="I629">
        <v>1.1906025842917001</v>
      </c>
      <c r="J629">
        <v>6.02</v>
      </c>
      <c r="L629">
        <v>1.3050321612016162</v>
      </c>
      <c r="M629">
        <v>1.1718193752215038</v>
      </c>
      <c r="N629">
        <v>1.3716385541916727</v>
      </c>
      <c r="O629">
        <v>1.1052129822314474</v>
      </c>
    </row>
    <row r="630" spans="1:15">
      <c r="A630" s="19">
        <v>42909</v>
      </c>
      <c r="B630">
        <v>2534</v>
      </c>
      <c r="C630">
        <v>2507</v>
      </c>
      <c r="D630">
        <v>1922</v>
      </c>
      <c r="E630">
        <v>1892</v>
      </c>
      <c r="F630">
        <v>1.3250528541226201</v>
      </c>
      <c r="G630">
        <v>1.2362466244869601</v>
      </c>
      <c r="H630">
        <v>6.6649780035427098E-2</v>
      </c>
      <c r="I630">
        <v>1.3324309485860599</v>
      </c>
      <c r="J630">
        <v>6.7</v>
      </c>
      <c r="L630">
        <v>1.3028964045223872</v>
      </c>
      <c r="M630">
        <v>1.169596844451533</v>
      </c>
      <c r="N630">
        <v>1.3695461845578143</v>
      </c>
      <c r="O630">
        <v>1.1029470644161059</v>
      </c>
    </row>
    <row r="631" spans="1:15">
      <c r="A631" s="19">
        <v>42908</v>
      </c>
      <c r="B631">
        <v>2515</v>
      </c>
      <c r="C631">
        <v>2527</v>
      </c>
      <c r="D631">
        <v>1939</v>
      </c>
      <c r="E631">
        <v>1919</v>
      </c>
      <c r="F631">
        <v>1.31683168316831</v>
      </c>
      <c r="G631">
        <v>1.2339168058412699</v>
      </c>
      <c r="H631">
        <v>6.6558729131996494E-2</v>
      </c>
      <c r="I631">
        <v>1.2457400916204899</v>
      </c>
      <c r="J631">
        <v>6.3</v>
      </c>
      <c r="L631">
        <v>1.3004755349732664</v>
      </c>
      <c r="M631">
        <v>1.1673580767092735</v>
      </c>
      <c r="N631">
        <v>1.3670342641052629</v>
      </c>
      <c r="O631">
        <v>1.100799347577277</v>
      </c>
    </row>
    <row r="632" spans="1:15">
      <c r="A632" s="19">
        <v>42907</v>
      </c>
      <c r="B632">
        <v>2512</v>
      </c>
      <c r="C632">
        <v>2515</v>
      </c>
      <c r="D632">
        <v>1952</v>
      </c>
      <c r="E632">
        <v>1937</v>
      </c>
      <c r="F632">
        <v>1.2983995869901901</v>
      </c>
      <c r="G632">
        <v>1.2317110881811</v>
      </c>
      <c r="H632">
        <v>6.6515523711215704E-2</v>
      </c>
      <c r="I632">
        <v>1.00260052222725</v>
      </c>
      <c r="J632">
        <v>5.14</v>
      </c>
      <c r="L632">
        <v>1.2982266118923156</v>
      </c>
      <c r="M632">
        <v>1.1651955644698844</v>
      </c>
      <c r="N632">
        <v>1.3647421356035314</v>
      </c>
      <c r="O632">
        <v>1.0986800407586685</v>
      </c>
    </row>
    <row r="633" spans="1:15">
      <c r="A633" s="19">
        <v>42906</v>
      </c>
      <c r="B633">
        <v>2526</v>
      </c>
      <c r="C633">
        <v>2525</v>
      </c>
      <c r="D633">
        <v>1965</v>
      </c>
      <c r="E633">
        <v>1982</v>
      </c>
      <c r="F633">
        <v>1.27396569122098</v>
      </c>
      <c r="G633">
        <v>1.2300962906170201</v>
      </c>
      <c r="H633">
        <v>6.6346803318007797E-2</v>
      </c>
      <c r="I633">
        <v>0.66121347842025902</v>
      </c>
      <c r="J633">
        <v>3.44</v>
      </c>
      <c r="L633">
        <v>1.2964430939350278</v>
      </c>
      <c r="M633">
        <v>1.1637494872990124</v>
      </c>
      <c r="N633">
        <v>1.3627898972530357</v>
      </c>
      <c r="O633">
        <v>1.0974026839810045</v>
      </c>
    </row>
    <row r="634" spans="1:15">
      <c r="A634" s="19">
        <v>42905</v>
      </c>
      <c r="B634">
        <v>2488</v>
      </c>
      <c r="C634">
        <v>2539</v>
      </c>
      <c r="D634">
        <v>1938</v>
      </c>
      <c r="E634">
        <v>1965</v>
      </c>
      <c r="F634">
        <v>1.2921119592875301</v>
      </c>
      <c r="G634">
        <v>1.22844874806741</v>
      </c>
      <c r="H634">
        <v>6.6769830311170203E-2</v>
      </c>
      <c r="I634">
        <v>0.95347271250246701</v>
      </c>
      <c r="J634">
        <v>4.93</v>
      </c>
      <c r="L634">
        <v>1.2952185783785801</v>
      </c>
      <c r="M634">
        <v>1.1616789177562399</v>
      </c>
      <c r="N634">
        <v>1.3619884086897505</v>
      </c>
      <c r="O634">
        <v>1.0949090874450695</v>
      </c>
    </row>
    <row r="635" spans="1:15">
      <c r="A635" s="19">
        <v>42902</v>
      </c>
      <c r="B635">
        <v>2483</v>
      </c>
      <c r="C635">
        <v>2488</v>
      </c>
      <c r="D635">
        <v>1942</v>
      </c>
      <c r="E635">
        <v>1938</v>
      </c>
      <c r="F635">
        <v>1.28379772961816</v>
      </c>
      <c r="G635">
        <v>1.2265374521977801</v>
      </c>
      <c r="H635">
        <v>6.6971468665176795E-2</v>
      </c>
      <c r="I635">
        <v>0.85499509808648699</v>
      </c>
      <c r="J635">
        <v>4.46</v>
      </c>
      <c r="L635">
        <v>1.2935089208629569</v>
      </c>
      <c r="M635">
        <v>1.1595659835326033</v>
      </c>
      <c r="N635">
        <v>1.3604803895281337</v>
      </c>
      <c r="O635">
        <v>1.0925945148674265</v>
      </c>
    </row>
    <row r="636" spans="1:15">
      <c r="A636" s="19">
        <v>42901</v>
      </c>
      <c r="B636">
        <v>2487</v>
      </c>
      <c r="C636">
        <v>2509</v>
      </c>
      <c r="D636">
        <v>1920</v>
      </c>
      <c r="E636">
        <v>1938</v>
      </c>
      <c r="F636">
        <v>1.29463364293085</v>
      </c>
      <c r="G636">
        <v>1.22483547890447</v>
      </c>
      <c r="H636">
        <v>6.7116491699435593E-2</v>
      </c>
      <c r="I636">
        <v>1.03995549020873</v>
      </c>
      <c r="J636">
        <v>5.39</v>
      </c>
      <c r="L636">
        <v>1.2919519706039055</v>
      </c>
      <c r="M636">
        <v>1.1577189872050344</v>
      </c>
      <c r="N636">
        <v>1.3590684623033411</v>
      </c>
      <c r="O636">
        <v>1.0906024955055988</v>
      </c>
    </row>
    <row r="637" spans="1:15">
      <c r="A637" s="19">
        <v>42900</v>
      </c>
      <c r="B637">
        <v>2515</v>
      </c>
      <c r="C637">
        <v>2496</v>
      </c>
      <c r="D637">
        <v>1967</v>
      </c>
      <c r="E637">
        <v>1917</v>
      </c>
      <c r="F637">
        <v>1.3020344287949901</v>
      </c>
      <c r="G637">
        <v>1.2228589499589</v>
      </c>
      <c r="H637">
        <v>6.7214586279521704E-2</v>
      </c>
      <c r="I637">
        <v>1.17795084696084</v>
      </c>
      <c r="J637">
        <v>6.08</v>
      </c>
      <c r="L637">
        <v>1.2900735362384217</v>
      </c>
      <c r="M637">
        <v>1.1556443636793783</v>
      </c>
      <c r="N637">
        <v>1.3572881225179434</v>
      </c>
      <c r="O637">
        <v>1.0884297773998566</v>
      </c>
    </row>
    <row r="638" spans="1:15">
      <c r="A638" s="19">
        <v>42899</v>
      </c>
      <c r="B638">
        <v>2512</v>
      </c>
      <c r="C638">
        <v>2512</v>
      </c>
      <c r="D638">
        <v>1942</v>
      </c>
      <c r="E638">
        <v>1944</v>
      </c>
      <c r="F638">
        <v>1.2921810699588401</v>
      </c>
      <c r="G638">
        <v>1.2206461252021501</v>
      </c>
      <c r="H638">
        <v>6.7303384768065605E-2</v>
      </c>
      <c r="I638">
        <v>1.0628729149835701</v>
      </c>
      <c r="J638">
        <v>5.54</v>
      </c>
      <c r="L638">
        <v>1.2879495099702156</v>
      </c>
      <c r="M638">
        <v>1.1533427404340846</v>
      </c>
      <c r="N638">
        <v>1.3552528947382814</v>
      </c>
      <c r="O638">
        <v>1.0860393556660188</v>
      </c>
    </row>
    <row r="639" spans="1:15">
      <c r="A639" s="19">
        <v>42898</v>
      </c>
      <c r="B639">
        <v>2473</v>
      </c>
      <c r="C639">
        <v>2524</v>
      </c>
      <c r="D639">
        <v>1937</v>
      </c>
      <c r="E639">
        <v>1961</v>
      </c>
      <c r="F639">
        <v>1.2870984191738899</v>
      </c>
      <c r="G639">
        <v>1.2185055085298</v>
      </c>
      <c r="H639">
        <v>6.7546824877574393E-2</v>
      </c>
      <c r="I639">
        <v>1.0154868236724</v>
      </c>
      <c r="J639">
        <v>5.33</v>
      </c>
      <c r="L639">
        <v>1.2860523334073743</v>
      </c>
      <c r="M639">
        <v>1.1509586836522256</v>
      </c>
      <c r="N639">
        <v>1.3535991582849487</v>
      </c>
      <c r="O639">
        <v>1.0834118587746513</v>
      </c>
    </row>
    <row r="640" spans="1:15">
      <c r="A640" s="19">
        <v>42895</v>
      </c>
      <c r="B640">
        <v>2487</v>
      </c>
      <c r="C640">
        <v>2485</v>
      </c>
      <c r="D640">
        <v>1968</v>
      </c>
      <c r="E640">
        <v>1967</v>
      </c>
      <c r="F640">
        <v>1.2633451957295301</v>
      </c>
      <c r="G640">
        <v>1.2170482271962899</v>
      </c>
      <c r="H640">
        <v>6.72295077473124E-2</v>
      </c>
      <c r="I640">
        <v>0.68864059970884905</v>
      </c>
      <c r="J640">
        <v>3.66</v>
      </c>
      <c r="L640">
        <v>1.2842777349436023</v>
      </c>
      <c r="M640">
        <v>1.1498187194489775</v>
      </c>
      <c r="N640">
        <v>1.3515072426909147</v>
      </c>
      <c r="O640">
        <v>1.0825892117016651</v>
      </c>
    </row>
    <row r="641" spans="1:15">
      <c r="A641" s="19">
        <v>42894</v>
      </c>
      <c r="B641">
        <v>2508</v>
      </c>
      <c r="C641">
        <v>2499</v>
      </c>
      <c r="D641">
        <v>2008</v>
      </c>
      <c r="E641">
        <v>1981</v>
      </c>
      <c r="F641">
        <v>1.2614840989399201</v>
      </c>
      <c r="G641">
        <v>1.2157897555717101</v>
      </c>
      <c r="H641">
        <v>6.7234495840683403E-2</v>
      </c>
      <c r="I641">
        <v>0.67962647442905799</v>
      </c>
      <c r="J641">
        <v>3.62</v>
      </c>
      <c r="L641">
        <v>1.2830242514123935</v>
      </c>
      <c r="M641">
        <v>1.1485552597310267</v>
      </c>
      <c r="N641">
        <v>1.3502587472530769</v>
      </c>
      <c r="O641">
        <v>1.0813207638903433</v>
      </c>
    </row>
    <row r="642" spans="1:15">
      <c r="A642" s="19">
        <v>42893</v>
      </c>
      <c r="B642">
        <v>2480</v>
      </c>
      <c r="C642">
        <v>2504</v>
      </c>
      <c r="D642">
        <v>2002</v>
      </c>
      <c r="E642">
        <v>2008</v>
      </c>
      <c r="F642">
        <v>1.24701195219123</v>
      </c>
      <c r="G642">
        <v>1.2147013824539501</v>
      </c>
      <c r="H642">
        <v>6.7146627527045505E-2</v>
      </c>
      <c r="I642">
        <v>0.48119423010888401</v>
      </c>
      <c r="J642">
        <v>2.59</v>
      </c>
      <c r="L642">
        <v>1.2818480099809957</v>
      </c>
      <c r="M642">
        <v>1.1475547549269045</v>
      </c>
      <c r="N642">
        <v>1.3489946375080411</v>
      </c>
      <c r="O642">
        <v>1.0804081273998591</v>
      </c>
    </row>
    <row r="643" spans="1:15">
      <c r="A643" s="19">
        <v>42892</v>
      </c>
      <c r="B643">
        <v>2538</v>
      </c>
      <c r="C643">
        <v>2497</v>
      </c>
      <c r="D643">
        <v>1994</v>
      </c>
      <c r="E643">
        <v>1982</v>
      </c>
      <c r="F643">
        <v>1.2598385469222999</v>
      </c>
      <c r="G643">
        <v>1.21397056385277</v>
      </c>
      <c r="H643">
        <v>6.7089241676722006E-2</v>
      </c>
      <c r="I643">
        <v>0.68368611603253404</v>
      </c>
      <c r="J643">
        <v>3.64</v>
      </c>
      <c r="L643">
        <v>1.2810598055294919</v>
      </c>
      <c r="M643">
        <v>1.1468813221760481</v>
      </c>
      <c r="N643">
        <v>1.3481490472062141</v>
      </c>
      <c r="O643">
        <v>1.079792080499326</v>
      </c>
    </row>
    <row r="644" spans="1:15">
      <c r="A644" s="19">
        <v>42891</v>
      </c>
      <c r="B644">
        <v>2523</v>
      </c>
      <c r="C644">
        <v>2544</v>
      </c>
      <c r="D644">
        <v>1922</v>
      </c>
      <c r="E644">
        <v>1989</v>
      </c>
      <c r="F644">
        <v>1.2790346907993899</v>
      </c>
      <c r="G644">
        <v>1.2136126258575199</v>
      </c>
      <c r="H644">
        <v>6.6914956564063405E-2</v>
      </c>
      <c r="I644">
        <v>0.97768971693544604</v>
      </c>
      <c r="J644">
        <v>5.1100000000000003</v>
      </c>
      <c r="L644">
        <v>1.2805275824215834</v>
      </c>
      <c r="M644">
        <v>1.1466976692934565</v>
      </c>
      <c r="N644">
        <v>1.3474425389856468</v>
      </c>
      <c r="O644">
        <v>1.0797827127293931</v>
      </c>
    </row>
    <row r="645" spans="1:15">
      <c r="A645" s="19">
        <v>42888</v>
      </c>
      <c r="B645">
        <v>2500</v>
      </c>
      <c r="C645">
        <v>2523</v>
      </c>
      <c r="D645">
        <v>1942</v>
      </c>
      <c r="E645">
        <v>1937</v>
      </c>
      <c r="F645">
        <v>1.3025296850800201</v>
      </c>
      <c r="G645">
        <v>1.21305940935448</v>
      </c>
      <c r="H645">
        <v>6.6542271293786495E-2</v>
      </c>
      <c r="I645">
        <v>1.3445629971139099</v>
      </c>
      <c r="J645">
        <v>6.87</v>
      </c>
      <c r="L645">
        <v>1.2796016806482664</v>
      </c>
      <c r="M645">
        <v>1.1465171380606936</v>
      </c>
      <c r="N645">
        <v>1.3461439519420531</v>
      </c>
      <c r="O645">
        <v>1.0799748667669069</v>
      </c>
    </row>
    <row r="646" spans="1:15">
      <c r="A646" s="19">
        <v>42887</v>
      </c>
      <c r="B646">
        <v>2461</v>
      </c>
      <c r="C646">
        <v>2491</v>
      </c>
      <c r="D646">
        <v>1912</v>
      </c>
      <c r="E646">
        <v>1938</v>
      </c>
      <c r="F646">
        <v>1.2853457172342599</v>
      </c>
      <c r="G646">
        <v>1.2124452880632099</v>
      </c>
      <c r="H646">
        <v>6.5923375167596998E-2</v>
      </c>
      <c r="I646">
        <v>1.10583581295269</v>
      </c>
      <c r="J646">
        <v>5.67</v>
      </c>
      <c r="L646">
        <v>1.2783686632308069</v>
      </c>
      <c r="M646">
        <v>1.146521912895613</v>
      </c>
      <c r="N646">
        <v>1.3442920383984038</v>
      </c>
      <c r="O646">
        <v>1.0805985377280161</v>
      </c>
    </row>
    <row r="647" spans="1:15">
      <c r="A647" s="19">
        <v>42886</v>
      </c>
      <c r="B647">
        <v>2448</v>
      </c>
      <c r="C647">
        <v>2461</v>
      </c>
      <c r="D647">
        <v>1915</v>
      </c>
      <c r="E647">
        <v>1922</v>
      </c>
      <c r="F647">
        <v>1.2804370447450499</v>
      </c>
      <c r="G647">
        <v>1.21202891379421</v>
      </c>
      <c r="H647">
        <v>6.5559231730054596E-2</v>
      </c>
      <c r="I647">
        <v>1.04345534786804</v>
      </c>
      <c r="J647">
        <v>5.34</v>
      </c>
      <c r="L647">
        <v>1.2775881455242646</v>
      </c>
      <c r="M647">
        <v>1.1464696820641553</v>
      </c>
      <c r="N647">
        <v>1.3431473772543192</v>
      </c>
      <c r="O647">
        <v>1.0809104503341007</v>
      </c>
    </row>
    <row r="648" spans="1:15">
      <c r="A648" s="19">
        <v>42885</v>
      </c>
      <c r="B648">
        <v>2405</v>
      </c>
      <c r="C648">
        <v>2412</v>
      </c>
      <c r="D648">
        <v>1891</v>
      </c>
      <c r="E648">
        <v>1908</v>
      </c>
      <c r="F648">
        <v>1.2641509433962199</v>
      </c>
      <c r="G648">
        <v>1.21114633550092</v>
      </c>
      <c r="H648">
        <v>6.5076137646235099E-2</v>
      </c>
      <c r="I648">
        <v>0.81450144111874201</v>
      </c>
      <c r="J648">
        <v>4.1900000000000004</v>
      </c>
      <c r="L648">
        <v>1.276222473147155</v>
      </c>
      <c r="M648">
        <v>1.146070197854685</v>
      </c>
      <c r="N648">
        <v>1.3412986107933902</v>
      </c>
      <c r="O648">
        <v>1.0809940602084498</v>
      </c>
    </row>
    <row r="649" spans="1:15">
      <c r="A649" s="19">
        <v>42884</v>
      </c>
      <c r="B649">
        <v>2420</v>
      </c>
      <c r="C649">
        <v>2416</v>
      </c>
      <c r="D649">
        <v>1907</v>
      </c>
      <c r="E649">
        <v>1884</v>
      </c>
      <c r="F649">
        <v>1.28237791932059</v>
      </c>
      <c r="G649">
        <v>1.2105490541051001</v>
      </c>
      <c r="H649">
        <v>6.4791862864430699E-2</v>
      </c>
      <c r="I649">
        <v>1.10860935370514</v>
      </c>
      <c r="J649">
        <v>5.6</v>
      </c>
      <c r="L649">
        <v>1.2753409169695307</v>
      </c>
      <c r="M649">
        <v>1.1457571912406694</v>
      </c>
      <c r="N649">
        <v>1.3401327798339615</v>
      </c>
      <c r="O649">
        <v>1.0809653283762386</v>
      </c>
    </row>
    <row r="650" spans="1:15">
      <c r="A650" s="19">
        <v>42881</v>
      </c>
      <c r="B650">
        <v>2472</v>
      </c>
      <c r="C650">
        <v>2443</v>
      </c>
      <c r="D650">
        <v>1851</v>
      </c>
      <c r="E650">
        <v>1893</v>
      </c>
      <c r="F650">
        <v>1.29054410987849</v>
      </c>
      <c r="G650">
        <v>1.2103244130695801</v>
      </c>
      <c r="H650">
        <v>6.4571265886125606E-2</v>
      </c>
      <c r="I650">
        <v>1.2423435673444301</v>
      </c>
      <c r="J650">
        <v>6.22</v>
      </c>
      <c r="L650">
        <v>1.2748956789557058</v>
      </c>
      <c r="M650">
        <v>1.1457531471834543</v>
      </c>
      <c r="N650">
        <v>1.3394669448418313</v>
      </c>
      <c r="O650">
        <v>1.0811818812973288</v>
      </c>
    </row>
    <row r="651" spans="1:15">
      <c r="A651" s="19">
        <v>42880</v>
      </c>
      <c r="B651">
        <v>2429</v>
      </c>
      <c r="C651">
        <v>2472</v>
      </c>
      <c r="D651">
        <v>1838</v>
      </c>
      <c r="E651">
        <v>1843</v>
      </c>
      <c r="F651">
        <v>1.3412913727618001</v>
      </c>
      <c r="G651">
        <v>1.2100661730995601</v>
      </c>
      <c r="H651">
        <v>6.4288034790425899E-2</v>
      </c>
      <c r="I651">
        <v>2.0412072027092401</v>
      </c>
      <c r="J651">
        <v>9.7799999999999994</v>
      </c>
      <c r="L651">
        <v>1.2743542078899861</v>
      </c>
      <c r="M651">
        <v>1.1457781383091341</v>
      </c>
      <c r="N651">
        <v>1.3386422426804119</v>
      </c>
      <c r="O651">
        <v>1.0814901035187083</v>
      </c>
    </row>
    <row r="652" spans="1:15">
      <c r="A652" s="19">
        <v>42879</v>
      </c>
      <c r="B652">
        <v>2457</v>
      </c>
      <c r="C652">
        <v>2439</v>
      </c>
      <c r="D652">
        <v>1842</v>
      </c>
      <c r="E652">
        <v>1837</v>
      </c>
      <c r="F652">
        <v>1.32770821992378</v>
      </c>
      <c r="G652">
        <v>1.2094909301047101</v>
      </c>
      <c r="H652">
        <v>6.3296647594793101E-2</v>
      </c>
      <c r="I652">
        <v>1.8676706320351899</v>
      </c>
      <c r="J652">
        <v>8.9</v>
      </c>
      <c r="L652">
        <v>1.2727875776995032</v>
      </c>
      <c r="M652">
        <v>1.146194282509917</v>
      </c>
      <c r="N652">
        <v>1.3360842252942964</v>
      </c>
      <c r="O652">
        <v>1.0828976349151238</v>
      </c>
    </row>
    <row r="653" spans="1:15">
      <c r="A653" s="19">
        <v>42878</v>
      </c>
      <c r="B653">
        <v>2442</v>
      </c>
      <c r="C653">
        <v>2416</v>
      </c>
      <c r="D653">
        <v>1815</v>
      </c>
      <c r="E653">
        <v>1826</v>
      </c>
      <c r="F653">
        <v>1.32311062431544</v>
      </c>
      <c r="G653">
        <v>1.2089544110053101</v>
      </c>
      <c r="H653">
        <v>6.24573056740646E-2</v>
      </c>
      <c r="I653">
        <v>1.8277479644391299</v>
      </c>
      <c r="J653">
        <v>8.6300000000000008</v>
      </c>
      <c r="L653">
        <v>1.2714117166793746</v>
      </c>
      <c r="M653">
        <v>1.1464971053312456</v>
      </c>
      <c r="N653">
        <v>1.3338690223534393</v>
      </c>
      <c r="O653">
        <v>1.0840397996571809</v>
      </c>
    </row>
    <row r="654" spans="1:15">
      <c r="A654" s="19">
        <v>42877</v>
      </c>
      <c r="B654">
        <v>2438</v>
      </c>
      <c r="C654">
        <v>2438</v>
      </c>
      <c r="D654">
        <v>1804</v>
      </c>
      <c r="E654">
        <v>1834</v>
      </c>
      <c r="F654">
        <v>1.3293347873500501</v>
      </c>
      <c r="G654">
        <v>1.2081189121905</v>
      </c>
      <c r="H654">
        <v>6.1333649672604303E-2</v>
      </c>
      <c r="I654">
        <v>1.97633559728789</v>
      </c>
      <c r="J654">
        <v>9.1199999999999992</v>
      </c>
      <c r="L654">
        <v>1.2694525618631043</v>
      </c>
      <c r="M654">
        <v>1.1467852625178958</v>
      </c>
      <c r="N654">
        <v>1.3307862115357088</v>
      </c>
      <c r="O654">
        <v>1.0854516128452913</v>
      </c>
    </row>
    <row r="655" spans="1:15">
      <c r="A655" s="19">
        <v>42874</v>
      </c>
      <c r="B655">
        <v>2450</v>
      </c>
      <c r="C655">
        <v>2436</v>
      </c>
      <c r="D655">
        <v>1828</v>
      </c>
      <c r="E655">
        <v>1808</v>
      </c>
      <c r="F655">
        <v>1.3473451327433601</v>
      </c>
      <c r="G655">
        <v>1.2075766650153901</v>
      </c>
      <c r="H655">
        <v>6.0432747896442499E-2</v>
      </c>
      <c r="I655">
        <v>2.3127935199549698</v>
      </c>
      <c r="J655">
        <v>10.37</v>
      </c>
      <c r="L655">
        <v>1.2680094129118327</v>
      </c>
      <c r="M655">
        <v>1.1471439171189475</v>
      </c>
      <c r="N655">
        <v>1.328442160808275</v>
      </c>
      <c r="O655">
        <v>1.0867111692225051</v>
      </c>
    </row>
    <row r="656" spans="1:15">
      <c r="A656" s="19">
        <v>42873</v>
      </c>
      <c r="B656">
        <v>2415</v>
      </c>
      <c r="C656">
        <v>2443</v>
      </c>
      <c r="D656">
        <v>1817</v>
      </c>
      <c r="E656">
        <v>1827</v>
      </c>
      <c r="F656">
        <v>1.3371647509578499</v>
      </c>
      <c r="G656">
        <v>1.2067200559239399</v>
      </c>
      <c r="H656">
        <v>5.8880920458486002E-2</v>
      </c>
      <c r="I656">
        <v>2.2153983670461601</v>
      </c>
      <c r="J656">
        <v>9.76</v>
      </c>
      <c r="L656">
        <v>1.2656009763824259</v>
      </c>
      <c r="M656">
        <v>1.147839135465454</v>
      </c>
      <c r="N656">
        <v>1.324481896840912</v>
      </c>
      <c r="O656">
        <v>1.0889582150069679</v>
      </c>
    </row>
    <row r="657" spans="1:15">
      <c r="A657" s="19">
        <v>42872</v>
      </c>
      <c r="B657">
        <v>2446</v>
      </c>
      <c r="C657">
        <v>2460</v>
      </c>
      <c r="D657">
        <v>1824</v>
      </c>
      <c r="E657">
        <v>1828</v>
      </c>
      <c r="F657">
        <v>1.34573304157549</v>
      </c>
      <c r="G657">
        <v>1.2065501638212599</v>
      </c>
      <c r="H657">
        <v>5.8521582626894698E-2</v>
      </c>
      <c r="I657">
        <v>2.3783170499948998</v>
      </c>
      <c r="J657">
        <v>10.34</v>
      </c>
      <c r="L657">
        <v>1.2650717464481547</v>
      </c>
      <c r="M657">
        <v>1.1480285811943651</v>
      </c>
      <c r="N657">
        <v>1.3235933290750492</v>
      </c>
      <c r="O657">
        <v>1.0895069985674706</v>
      </c>
    </row>
    <row r="658" spans="1:15">
      <c r="A658" s="19">
        <v>42871</v>
      </c>
      <c r="B658">
        <v>2465</v>
      </c>
      <c r="C658">
        <v>2474</v>
      </c>
      <c r="D658">
        <v>1850</v>
      </c>
      <c r="E658">
        <v>1843</v>
      </c>
      <c r="F658">
        <v>1.34237655995659</v>
      </c>
      <c r="G658">
        <v>1.20612811556535</v>
      </c>
      <c r="H658">
        <v>5.7623546242692503E-2</v>
      </c>
      <c r="I658">
        <v>2.3644578175976401</v>
      </c>
      <c r="J658">
        <v>10.15</v>
      </c>
      <c r="L658">
        <v>1.2637516618080427</v>
      </c>
      <c r="M658">
        <v>1.1485045693226574</v>
      </c>
      <c r="N658">
        <v>1.3213752080507351</v>
      </c>
      <c r="O658">
        <v>1.090881023079965</v>
      </c>
    </row>
    <row r="659" spans="1:15">
      <c r="A659" s="19">
        <v>42870</v>
      </c>
      <c r="B659">
        <v>2440</v>
      </c>
      <c r="C659">
        <v>2465</v>
      </c>
      <c r="D659">
        <v>1874</v>
      </c>
      <c r="E659">
        <v>1867</v>
      </c>
      <c r="F659">
        <v>1.32029994643813</v>
      </c>
      <c r="G659">
        <v>1.2058667894472199</v>
      </c>
      <c r="H659">
        <v>5.70466132789232E-2</v>
      </c>
      <c r="I659">
        <v>2.0059588188243</v>
      </c>
      <c r="J659">
        <v>8.67</v>
      </c>
      <c r="L659">
        <v>1.2629134027261431</v>
      </c>
      <c r="M659">
        <v>1.1488201761682968</v>
      </c>
      <c r="N659">
        <v>1.3199600160050664</v>
      </c>
      <c r="O659">
        <v>1.0917735628893734</v>
      </c>
    </row>
    <row r="660" spans="1:15">
      <c r="A660" s="19">
        <v>42867</v>
      </c>
      <c r="B660">
        <v>2467</v>
      </c>
      <c r="C660">
        <v>2472</v>
      </c>
      <c r="D660">
        <v>1871</v>
      </c>
      <c r="E660">
        <v>1885</v>
      </c>
      <c r="F660">
        <v>1.3114058355437599</v>
      </c>
      <c r="G660">
        <v>1.2058995605498199</v>
      </c>
      <c r="H660">
        <v>5.7113008675747E-2</v>
      </c>
      <c r="I660">
        <v>1.8473247591094399</v>
      </c>
      <c r="J660">
        <v>8.0500000000000007</v>
      </c>
      <c r="L660">
        <v>1.2630125692255669</v>
      </c>
      <c r="M660">
        <v>1.148786551874073</v>
      </c>
      <c r="N660">
        <v>1.3201255779013139</v>
      </c>
      <c r="O660">
        <v>1.091673543198326</v>
      </c>
    </row>
    <row r="661" spans="1:15">
      <c r="A661" s="19">
        <v>42866</v>
      </c>
      <c r="B661">
        <v>2428</v>
      </c>
      <c r="C661">
        <v>2467</v>
      </c>
      <c r="D661">
        <v>1841</v>
      </c>
      <c r="E661">
        <v>1858</v>
      </c>
      <c r="F661">
        <v>1.3277717976318599</v>
      </c>
      <c r="G661">
        <v>1.2060740301413</v>
      </c>
      <c r="H661">
        <v>5.7454012624239402E-2</v>
      </c>
      <c r="I661">
        <v>2.1181769894208702</v>
      </c>
      <c r="J661">
        <v>9.17</v>
      </c>
      <c r="L661">
        <v>1.2635280427655393</v>
      </c>
      <c r="M661">
        <v>1.1486200175170607</v>
      </c>
      <c r="N661">
        <v>1.3209820553897789</v>
      </c>
      <c r="O661">
        <v>1.0911660048928211</v>
      </c>
    </row>
    <row r="662" spans="1:15">
      <c r="A662" s="19">
        <v>42865</v>
      </c>
      <c r="B662">
        <v>2392</v>
      </c>
      <c r="C662">
        <v>2403</v>
      </c>
      <c r="D662">
        <v>1854</v>
      </c>
      <c r="E662">
        <v>1847</v>
      </c>
      <c r="F662">
        <v>1.3010286951813701</v>
      </c>
      <c r="G662">
        <v>1.2061317837866501</v>
      </c>
      <c r="H662">
        <v>5.7578358537009898E-2</v>
      </c>
      <c r="I662">
        <v>1.64813505987193</v>
      </c>
      <c r="J662">
        <v>7.29</v>
      </c>
      <c r="L662">
        <v>1.2637101423236601</v>
      </c>
      <c r="M662">
        <v>1.1485534252496401</v>
      </c>
      <c r="N662">
        <v>1.3212885008606698</v>
      </c>
      <c r="O662">
        <v>1.0909750667126303</v>
      </c>
    </row>
    <row r="663" spans="1:15">
      <c r="A663" s="19">
        <v>42864</v>
      </c>
      <c r="B663">
        <v>2400</v>
      </c>
      <c r="C663">
        <v>2410</v>
      </c>
      <c r="D663">
        <v>1854</v>
      </c>
      <c r="E663">
        <v>1846</v>
      </c>
      <c r="F663">
        <v>1.3055254604550299</v>
      </c>
      <c r="G663">
        <v>1.20658991330918</v>
      </c>
      <c r="H663">
        <v>5.8461515905994098E-2</v>
      </c>
      <c r="I663">
        <v>1.69231922252824</v>
      </c>
      <c r="J663">
        <v>7.58</v>
      </c>
      <c r="L663">
        <v>1.265051429215174</v>
      </c>
      <c r="M663">
        <v>1.148128397403186</v>
      </c>
      <c r="N663">
        <v>1.3235129451211682</v>
      </c>
      <c r="O663">
        <v>1.0896668814971917</v>
      </c>
    </row>
    <row r="664" spans="1:15">
      <c r="A664" s="19">
        <v>42863</v>
      </c>
      <c r="B664">
        <v>2374</v>
      </c>
      <c r="C664">
        <v>2418</v>
      </c>
      <c r="D664">
        <v>1886</v>
      </c>
      <c r="E664">
        <v>1849</v>
      </c>
      <c r="F664">
        <v>1.30773391022174</v>
      </c>
      <c r="G664">
        <v>1.2068350276369</v>
      </c>
      <c r="H664">
        <v>5.8912612221569099E-2</v>
      </c>
      <c r="I664">
        <v>1.7126872969978399</v>
      </c>
      <c r="J664">
        <v>7.72</v>
      </c>
      <c r="L664">
        <v>1.2657476398584691</v>
      </c>
      <c r="M664">
        <v>1.1479224154153309</v>
      </c>
      <c r="N664">
        <v>1.3246602520800381</v>
      </c>
      <c r="O664">
        <v>1.0890098031937618</v>
      </c>
    </row>
    <row r="665" spans="1:15">
      <c r="A665" s="19">
        <v>42857</v>
      </c>
      <c r="B665">
        <v>2316</v>
      </c>
      <c r="C665">
        <v>2350</v>
      </c>
      <c r="D665">
        <v>1905</v>
      </c>
      <c r="E665">
        <v>1886</v>
      </c>
      <c r="F665">
        <v>1.2460233297985099</v>
      </c>
      <c r="G665">
        <v>1.2069097954108501</v>
      </c>
      <c r="H665">
        <v>5.9044030390383799E-2</v>
      </c>
      <c r="I665">
        <v>0.66244689139708002</v>
      </c>
      <c r="J665">
        <v>3.14</v>
      </c>
      <c r="L665">
        <v>1.2659538258012339</v>
      </c>
      <c r="M665">
        <v>1.1478657650204662</v>
      </c>
      <c r="N665">
        <v>1.3249978561916176</v>
      </c>
      <c r="O665">
        <v>1.0888217346300826</v>
      </c>
    </row>
    <row r="666" spans="1:15">
      <c r="A666" s="19">
        <v>42856</v>
      </c>
      <c r="B666">
        <v>2261</v>
      </c>
      <c r="C666">
        <v>2330</v>
      </c>
      <c r="D666">
        <v>1878</v>
      </c>
      <c r="E666">
        <v>1890</v>
      </c>
      <c r="F666">
        <v>1.2328042328042299</v>
      </c>
      <c r="G666">
        <v>1.2083396734865799</v>
      </c>
      <c r="H666">
        <v>6.1231931966590901E-2</v>
      </c>
      <c r="I666">
        <v>0.399539236014815</v>
      </c>
      <c r="J666">
        <v>1.98</v>
      </c>
      <c r="L666">
        <v>1.2695716054531707</v>
      </c>
      <c r="M666">
        <v>1.1471077415199891</v>
      </c>
      <c r="N666">
        <v>1.3308035374197618</v>
      </c>
      <c r="O666">
        <v>1.085875809553398</v>
      </c>
    </row>
    <row r="667" spans="1:15">
      <c r="A667" s="19">
        <v>42853</v>
      </c>
      <c r="B667">
        <v>2225</v>
      </c>
      <c r="C667">
        <v>2329</v>
      </c>
      <c r="D667">
        <v>1854</v>
      </c>
      <c r="E667">
        <v>1883</v>
      </c>
      <c r="F667">
        <v>1.23685608072225</v>
      </c>
      <c r="G667">
        <v>1.20974447373197</v>
      </c>
      <c r="H667">
        <v>6.2961269413849497E-2</v>
      </c>
      <c r="I667">
        <v>0.43060769331181797</v>
      </c>
      <c r="J667">
        <v>2.19</v>
      </c>
      <c r="L667">
        <v>1.2727057431458195</v>
      </c>
      <c r="M667">
        <v>1.1467832043181205</v>
      </c>
      <c r="N667">
        <v>1.335667012559669</v>
      </c>
      <c r="O667">
        <v>1.083821934904271</v>
      </c>
    </row>
    <row r="668" spans="1:15">
      <c r="A668" s="19">
        <v>42852</v>
      </c>
      <c r="B668">
        <v>2203</v>
      </c>
      <c r="C668">
        <v>2181</v>
      </c>
      <c r="D668">
        <v>1858</v>
      </c>
      <c r="E668">
        <v>1907</v>
      </c>
      <c r="F668">
        <v>1.1436811746198201</v>
      </c>
      <c r="G668">
        <v>1.21095238981534</v>
      </c>
      <c r="H668">
        <v>6.43240940241908E-2</v>
      </c>
      <c r="I668">
        <v>-1.04581675367584</v>
      </c>
      <c r="J668">
        <v>-5.88</v>
      </c>
      <c r="L668">
        <v>1.2752764838395307</v>
      </c>
      <c r="M668">
        <v>1.1466282957911493</v>
      </c>
      <c r="N668">
        <v>1.3396005778637217</v>
      </c>
      <c r="O668">
        <v>1.0823042017669584</v>
      </c>
    </row>
    <row r="669" spans="1:15">
      <c r="A669" s="19">
        <v>42851</v>
      </c>
      <c r="B669">
        <v>2220</v>
      </c>
      <c r="C669">
        <v>2227</v>
      </c>
      <c r="D669">
        <v>1875</v>
      </c>
      <c r="E669">
        <v>1882</v>
      </c>
      <c r="F669">
        <v>1.1833156216790599</v>
      </c>
      <c r="G669">
        <v>1.2131153528060901</v>
      </c>
      <c r="H669">
        <v>6.4751687491255497E-2</v>
      </c>
      <c r="I669">
        <v>-0.460215513781908</v>
      </c>
      <c r="J669">
        <v>-2.52</v>
      </c>
      <c r="L669">
        <v>1.2778670402973455</v>
      </c>
      <c r="M669">
        <v>1.1483636653148346</v>
      </c>
      <c r="N669">
        <v>1.342618727788601</v>
      </c>
      <c r="O669">
        <v>1.0836119778235791</v>
      </c>
    </row>
    <row r="670" spans="1:15">
      <c r="A670" s="19">
        <v>42850</v>
      </c>
      <c r="B670">
        <v>2154</v>
      </c>
      <c r="C670">
        <v>2190</v>
      </c>
      <c r="D670">
        <v>1852</v>
      </c>
      <c r="E670">
        <v>1870</v>
      </c>
      <c r="F670">
        <v>1.1711229946524</v>
      </c>
      <c r="G670">
        <v>1.2141998866912</v>
      </c>
      <c r="H670">
        <v>6.4924442346195002E-2</v>
      </c>
      <c r="I670">
        <v>-0.66349267675031198</v>
      </c>
      <c r="J670">
        <v>-3.68</v>
      </c>
      <c r="L670">
        <v>1.279124329037395</v>
      </c>
      <c r="M670">
        <v>1.1492754443450051</v>
      </c>
      <c r="N670">
        <v>1.34404877138359</v>
      </c>
      <c r="O670">
        <v>1.0843510019988101</v>
      </c>
    </row>
    <row r="671" spans="1:15">
      <c r="A671" s="19">
        <v>42849</v>
      </c>
      <c r="B671">
        <v>2142</v>
      </c>
      <c r="C671">
        <v>2158</v>
      </c>
      <c r="D671">
        <v>1869</v>
      </c>
      <c r="E671">
        <v>1878</v>
      </c>
      <c r="F671">
        <v>1.14909478168264</v>
      </c>
      <c r="G671">
        <v>1.21552573400016</v>
      </c>
      <c r="H671">
        <v>6.5046436578823696E-2</v>
      </c>
      <c r="I671">
        <v>-1.0212850359147101</v>
      </c>
      <c r="J671">
        <v>-5.78</v>
      </c>
      <c r="L671">
        <v>1.2805721705789836</v>
      </c>
      <c r="M671">
        <v>1.1504792974213363</v>
      </c>
      <c r="N671">
        <v>1.3456186071578073</v>
      </c>
      <c r="O671">
        <v>1.0854328608425126</v>
      </c>
    </row>
    <row r="672" spans="1:15">
      <c r="A672" s="19">
        <v>42846</v>
      </c>
      <c r="B672">
        <v>2125</v>
      </c>
      <c r="C672">
        <v>2131</v>
      </c>
      <c r="D672">
        <v>1863</v>
      </c>
      <c r="E672">
        <v>1866</v>
      </c>
      <c r="F672">
        <v>1.1420150053590501</v>
      </c>
      <c r="G672">
        <v>1.21687494643487</v>
      </c>
      <c r="H672">
        <v>6.4703073096446698E-2</v>
      </c>
      <c r="I672">
        <v>-1.1569765931246101</v>
      </c>
      <c r="J672">
        <v>-6.56</v>
      </c>
      <c r="L672">
        <v>1.2815780195313167</v>
      </c>
      <c r="M672">
        <v>1.1521718733384234</v>
      </c>
      <c r="N672">
        <v>1.3462810926277635</v>
      </c>
      <c r="O672">
        <v>1.0874688002419766</v>
      </c>
    </row>
    <row r="673" spans="1:15">
      <c r="A673" s="19">
        <v>42845</v>
      </c>
      <c r="B673">
        <v>2115</v>
      </c>
      <c r="C673">
        <v>2114</v>
      </c>
      <c r="D673">
        <v>1896</v>
      </c>
      <c r="E673">
        <v>1853</v>
      </c>
      <c r="F673">
        <v>1.1408526713437599</v>
      </c>
      <c r="G673">
        <v>1.21821765898478</v>
      </c>
      <c r="H673">
        <v>6.4178421613285103E-2</v>
      </c>
      <c r="I673">
        <v>-1.2054672847392101</v>
      </c>
      <c r="J673">
        <v>-6.78</v>
      </c>
      <c r="L673">
        <v>1.282396080598065</v>
      </c>
      <c r="M673">
        <v>1.1540392373714949</v>
      </c>
      <c r="N673">
        <v>1.3465745022113502</v>
      </c>
      <c r="O673">
        <v>1.0898608157582097</v>
      </c>
    </row>
    <row r="674" spans="1:15">
      <c r="A674" s="19">
        <v>42844</v>
      </c>
      <c r="B674">
        <v>2100</v>
      </c>
      <c r="C674">
        <v>2122</v>
      </c>
      <c r="D674">
        <v>1856</v>
      </c>
      <c r="E674">
        <v>1877</v>
      </c>
      <c r="F674">
        <v>1.1305274374001</v>
      </c>
      <c r="G674">
        <v>1.2194279158600501</v>
      </c>
      <c r="H674">
        <v>6.3560964360868E-2</v>
      </c>
      <c r="I674">
        <v>-1.3986647206171701</v>
      </c>
      <c r="J674">
        <v>-7.86</v>
      </c>
      <c r="L674">
        <v>1.2829888802209179</v>
      </c>
      <c r="M674">
        <v>1.1558669514991822</v>
      </c>
      <c r="N674">
        <v>1.3465498445817861</v>
      </c>
      <c r="O674">
        <v>1.0923059871383141</v>
      </c>
    </row>
    <row r="675" spans="1:15">
      <c r="A675" s="19">
        <v>42843</v>
      </c>
      <c r="B675">
        <v>2115</v>
      </c>
      <c r="C675">
        <v>2109</v>
      </c>
      <c r="D675">
        <v>1798</v>
      </c>
      <c r="E675">
        <v>1784</v>
      </c>
      <c r="F675">
        <v>1.1821748878923699</v>
      </c>
      <c r="G675">
        <v>1.2208403358948701</v>
      </c>
      <c r="H675">
        <v>6.2741464781849193E-2</v>
      </c>
      <c r="I675">
        <v>-0.61626626246201099</v>
      </c>
      <c r="J675">
        <v>-3.27</v>
      </c>
      <c r="L675">
        <v>1.2835818006767192</v>
      </c>
      <c r="M675">
        <v>1.1580988711130209</v>
      </c>
      <c r="N675">
        <v>1.3463232654585684</v>
      </c>
      <c r="O675">
        <v>1.0953574063311717</v>
      </c>
    </row>
    <row r="676" spans="1:15">
      <c r="A676" s="19">
        <v>42842</v>
      </c>
      <c r="B676">
        <v>2081</v>
      </c>
      <c r="C676">
        <v>2104</v>
      </c>
      <c r="D676">
        <v>1758</v>
      </c>
      <c r="E676">
        <v>1781</v>
      </c>
      <c r="F676">
        <v>1.1813587871982001</v>
      </c>
      <c r="G676">
        <v>1.2212215356899301</v>
      </c>
      <c r="H676">
        <v>6.2592060712689898E-2</v>
      </c>
      <c r="I676">
        <v>-0.636865890623177</v>
      </c>
      <c r="J676">
        <v>-3.37</v>
      </c>
      <c r="L676">
        <v>1.28381359640262</v>
      </c>
      <c r="M676">
        <v>1.1586294749772401</v>
      </c>
      <c r="N676">
        <v>1.3464056571153098</v>
      </c>
      <c r="O676">
        <v>1.0960374142645504</v>
      </c>
    </row>
    <row r="677" spans="1:15">
      <c r="A677" s="19">
        <v>42839</v>
      </c>
      <c r="B677">
        <v>2106</v>
      </c>
      <c r="C677">
        <v>2089</v>
      </c>
      <c r="D677">
        <v>1781</v>
      </c>
      <c r="E677">
        <v>1764</v>
      </c>
      <c r="F677">
        <v>1.1842403628117899</v>
      </c>
      <c r="G677">
        <v>1.22176638149025</v>
      </c>
      <c r="H677">
        <v>6.2420312207362001E-2</v>
      </c>
      <c r="I677">
        <v>-0.60118280975264704</v>
      </c>
      <c r="J677">
        <v>-3.17</v>
      </c>
      <c r="L677">
        <v>1.2841866936976121</v>
      </c>
      <c r="M677">
        <v>1.1593460692828879</v>
      </c>
      <c r="N677">
        <v>1.346607005904974</v>
      </c>
      <c r="O677">
        <v>1.096925757075526</v>
      </c>
    </row>
    <row r="678" spans="1:15">
      <c r="A678" s="19">
        <v>42838</v>
      </c>
      <c r="B678">
        <v>2115</v>
      </c>
      <c r="C678">
        <v>2107</v>
      </c>
      <c r="D678">
        <v>1791</v>
      </c>
      <c r="E678">
        <v>1801</v>
      </c>
      <c r="F678">
        <v>1.1699056079955501</v>
      </c>
      <c r="G678">
        <v>1.22227195583377</v>
      </c>
      <c r="H678">
        <v>6.2267694612801301E-2</v>
      </c>
      <c r="I678">
        <v>-0.84098741994302695</v>
      </c>
      <c r="J678">
        <v>-4.4800000000000004</v>
      </c>
      <c r="L678">
        <v>1.2845396504465714</v>
      </c>
      <c r="M678">
        <v>1.1600042612209687</v>
      </c>
      <c r="N678">
        <v>1.3468073450593727</v>
      </c>
      <c r="O678">
        <v>1.0977365666081673</v>
      </c>
    </row>
    <row r="679" spans="1:15">
      <c r="A679" s="19">
        <v>42837</v>
      </c>
      <c r="B679">
        <v>2127</v>
      </c>
      <c r="C679">
        <v>2116</v>
      </c>
      <c r="D679">
        <v>1804</v>
      </c>
      <c r="E679">
        <v>1797</v>
      </c>
      <c r="F679">
        <v>1.17751808569838</v>
      </c>
      <c r="G679">
        <v>1.2235880446499401</v>
      </c>
      <c r="H679">
        <v>6.2190054719842298E-2</v>
      </c>
      <c r="I679">
        <v>-0.74079302806686498</v>
      </c>
      <c r="J679">
        <v>-3.91</v>
      </c>
      <c r="L679">
        <v>1.2857780993697825</v>
      </c>
      <c r="M679">
        <v>1.1613979899300977</v>
      </c>
      <c r="N679">
        <v>1.3479681540896247</v>
      </c>
      <c r="O679">
        <v>1.0992079352102555</v>
      </c>
    </row>
    <row r="680" spans="1:15">
      <c r="A680" s="19">
        <v>42836</v>
      </c>
      <c r="B680">
        <v>2142</v>
      </c>
      <c r="C680">
        <v>2141</v>
      </c>
      <c r="D680">
        <v>1831</v>
      </c>
      <c r="E680">
        <v>1838</v>
      </c>
      <c r="F680">
        <v>1.1648531011969501</v>
      </c>
      <c r="G680">
        <v>1.22481610388676</v>
      </c>
      <c r="H680">
        <v>6.2177578040583298E-2</v>
      </c>
      <c r="I680">
        <v>-0.96438305542674696</v>
      </c>
      <c r="J680">
        <v>-5.15</v>
      </c>
      <c r="L680">
        <v>1.2869936819273433</v>
      </c>
      <c r="M680">
        <v>1.1626385258461767</v>
      </c>
      <c r="N680">
        <v>1.3491712599679266</v>
      </c>
      <c r="O680">
        <v>1.1004609478055933</v>
      </c>
    </row>
    <row r="681" spans="1:15">
      <c r="A681" s="19">
        <v>42835</v>
      </c>
      <c r="B681">
        <v>2154</v>
      </c>
      <c r="C681">
        <v>2158</v>
      </c>
      <c r="D681">
        <v>1862</v>
      </c>
      <c r="E681">
        <v>1841</v>
      </c>
      <c r="F681">
        <v>1.1721890277023299</v>
      </c>
      <c r="G681">
        <v>1.2262443491566299</v>
      </c>
      <c r="H681">
        <v>6.2013860691315099E-2</v>
      </c>
      <c r="I681">
        <v>-0.87166515439779302</v>
      </c>
      <c r="J681">
        <v>-4.6100000000000003</v>
      </c>
      <c r="L681">
        <v>1.2882582098479451</v>
      </c>
      <c r="M681">
        <v>1.1642304884653147</v>
      </c>
      <c r="N681">
        <v>1.3502720705392601</v>
      </c>
      <c r="O681">
        <v>1.1022166277739998</v>
      </c>
    </row>
    <row r="682" spans="1:15">
      <c r="A682" s="19">
        <v>42832</v>
      </c>
      <c r="B682">
        <v>2118</v>
      </c>
      <c r="C682">
        <v>2151</v>
      </c>
      <c r="D682">
        <v>1802</v>
      </c>
      <c r="E682">
        <v>1821</v>
      </c>
      <c r="F682">
        <v>1.18121911037891</v>
      </c>
      <c r="G682">
        <v>1.2280661425127599</v>
      </c>
      <c r="H682">
        <v>6.24048440689009E-2</v>
      </c>
      <c r="I682">
        <v>-0.75069544412487499</v>
      </c>
      <c r="J682">
        <v>-3.97</v>
      </c>
      <c r="L682">
        <v>1.2904709865816608</v>
      </c>
      <c r="M682">
        <v>1.165661298443859</v>
      </c>
      <c r="N682">
        <v>1.3528758306505617</v>
      </c>
      <c r="O682">
        <v>1.1032564543749581</v>
      </c>
    </row>
    <row r="683" spans="1:15">
      <c r="A683" s="19">
        <v>42831</v>
      </c>
      <c r="B683">
        <v>2165</v>
      </c>
      <c r="C683">
        <v>2117</v>
      </c>
      <c r="D683">
        <v>1837</v>
      </c>
      <c r="E683">
        <v>1781</v>
      </c>
      <c r="F683">
        <v>1.18865805727119</v>
      </c>
      <c r="G683">
        <v>1.2297556037495001</v>
      </c>
      <c r="H683">
        <v>6.2827452117560995E-2</v>
      </c>
      <c r="I683">
        <v>-0.65413358481266903</v>
      </c>
      <c r="J683">
        <v>-3.46</v>
      </c>
      <c r="L683">
        <v>1.292583055867061</v>
      </c>
      <c r="M683">
        <v>1.1669281516319392</v>
      </c>
      <c r="N683">
        <v>1.3554105079846221</v>
      </c>
      <c r="O683">
        <v>1.1041006995143781</v>
      </c>
    </row>
    <row r="684" spans="1:15">
      <c r="A684" s="19">
        <v>42830</v>
      </c>
      <c r="B684">
        <v>2160</v>
      </c>
      <c r="C684">
        <v>2175</v>
      </c>
      <c r="D684">
        <v>1792</v>
      </c>
      <c r="E684">
        <v>1852</v>
      </c>
      <c r="F684">
        <v>1.1744060475161899</v>
      </c>
      <c r="G684">
        <v>1.2311838249577101</v>
      </c>
      <c r="H684">
        <v>6.3093916784921697E-2</v>
      </c>
      <c r="I684">
        <v>-0.89989305363726602</v>
      </c>
      <c r="J684">
        <v>-4.83</v>
      </c>
      <c r="L684">
        <v>1.2942777417426317</v>
      </c>
      <c r="M684">
        <v>1.1680899081727885</v>
      </c>
      <c r="N684">
        <v>1.3573716585275535</v>
      </c>
      <c r="O684">
        <v>1.1049959913878666</v>
      </c>
    </row>
    <row r="685" spans="1:15">
      <c r="A685" s="19">
        <v>42829</v>
      </c>
      <c r="B685">
        <v>2168</v>
      </c>
      <c r="C685">
        <v>2164</v>
      </c>
      <c r="D685">
        <v>1745</v>
      </c>
      <c r="E685">
        <v>1792</v>
      </c>
      <c r="F685">
        <v>1.20758928571428</v>
      </c>
      <c r="G685">
        <v>1.23295653508895</v>
      </c>
      <c r="H685">
        <v>6.3341032057890906E-2</v>
      </c>
      <c r="I685">
        <v>-0.40048683373975402</v>
      </c>
      <c r="J685">
        <v>-2.1</v>
      </c>
      <c r="L685">
        <v>1.2962975671468409</v>
      </c>
      <c r="M685">
        <v>1.1696155030310591</v>
      </c>
      <c r="N685">
        <v>1.3596385992047317</v>
      </c>
      <c r="O685">
        <v>1.1062744709731682</v>
      </c>
    </row>
    <row r="686" spans="1:15">
      <c r="A686" s="19">
        <v>42828</v>
      </c>
      <c r="B686">
        <v>2171</v>
      </c>
      <c r="C686">
        <v>2177</v>
      </c>
      <c r="D686">
        <v>1761</v>
      </c>
      <c r="E686">
        <v>1828</v>
      </c>
      <c r="F686">
        <v>1.1909190371991201</v>
      </c>
      <c r="G686">
        <v>1.23427968191187</v>
      </c>
      <c r="H686">
        <v>6.3831890520610599E-2</v>
      </c>
      <c r="I686">
        <v>-0.67929438340456905</v>
      </c>
      <c r="J686">
        <v>-3.64</v>
      </c>
      <c r="L686">
        <v>1.2981115724324805</v>
      </c>
      <c r="M686">
        <v>1.1704477913912594</v>
      </c>
      <c r="N686">
        <v>1.3619434629530911</v>
      </c>
      <c r="O686">
        <v>1.1066159008706489</v>
      </c>
    </row>
    <row r="687" spans="1:15">
      <c r="A687" s="19">
        <v>42825</v>
      </c>
      <c r="B687">
        <v>2189</v>
      </c>
      <c r="C687">
        <v>2153</v>
      </c>
      <c r="D687">
        <v>1796</v>
      </c>
      <c r="E687">
        <v>1761</v>
      </c>
      <c r="F687">
        <v>1.2226007950028299</v>
      </c>
      <c r="G687">
        <v>1.23580374022855</v>
      </c>
      <c r="H687">
        <v>6.4142230416074905E-2</v>
      </c>
      <c r="I687">
        <v>-0.20583857374571099</v>
      </c>
      <c r="J687">
        <v>-1.08</v>
      </c>
      <c r="L687">
        <v>1.2999459706446248</v>
      </c>
      <c r="M687">
        <v>1.1716615098124752</v>
      </c>
      <c r="N687">
        <v>1.3640882010606998</v>
      </c>
      <c r="O687">
        <v>1.1075192793964002</v>
      </c>
    </row>
    <row r="688" spans="1:15">
      <c r="A688" s="19">
        <v>42824</v>
      </c>
      <c r="B688">
        <v>2188</v>
      </c>
      <c r="C688">
        <v>2164</v>
      </c>
      <c r="D688">
        <v>1805</v>
      </c>
      <c r="E688">
        <v>1781</v>
      </c>
      <c r="F688">
        <v>1.2150477259966299</v>
      </c>
      <c r="G688">
        <v>1.23712721040183</v>
      </c>
      <c r="H688">
        <v>6.4875995086817698E-2</v>
      </c>
      <c r="I688">
        <v>-0.34033365308159902</v>
      </c>
      <c r="J688">
        <v>-1.82</v>
      </c>
      <c r="L688">
        <v>1.3020032054886477</v>
      </c>
      <c r="M688">
        <v>1.1722512153150124</v>
      </c>
      <c r="N688">
        <v>1.3668792005754655</v>
      </c>
      <c r="O688">
        <v>1.1073752202281946</v>
      </c>
    </row>
    <row r="689" spans="1:15">
      <c r="A689" s="19">
        <v>42823</v>
      </c>
      <c r="B689">
        <v>2210</v>
      </c>
      <c r="C689">
        <v>2186</v>
      </c>
      <c r="D689">
        <v>1822</v>
      </c>
      <c r="E689">
        <v>1805</v>
      </c>
      <c r="F689">
        <v>1.2110803324099699</v>
      </c>
      <c r="G689">
        <v>1.2386588843706401</v>
      </c>
      <c r="H689">
        <v>6.5687620267035202E-2</v>
      </c>
      <c r="I689">
        <v>-0.419843980472344</v>
      </c>
      <c r="J689">
        <v>-2.2799999999999998</v>
      </c>
      <c r="L689">
        <v>1.3043465046376752</v>
      </c>
      <c r="M689">
        <v>1.172971264103605</v>
      </c>
      <c r="N689">
        <v>1.3700341249047105</v>
      </c>
      <c r="O689">
        <v>1.1072836438365696</v>
      </c>
    </row>
    <row r="690" spans="1:15">
      <c r="A690" s="19">
        <v>42822</v>
      </c>
      <c r="B690">
        <v>2218</v>
      </c>
      <c r="C690">
        <v>2227</v>
      </c>
      <c r="D690">
        <v>1820</v>
      </c>
      <c r="E690">
        <v>1852</v>
      </c>
      <c r="F690">
        <v>1.2024838012958901</v>
      </c>
      <c r="G690">
        <v>1.2400783681160501</v>
      </c>
      <c r="H690">
        <v>6.6224421232237707E-2</v>
      </c>
      <c r="I690">
        <v>-0.56768433941194296</v>
      </c>
      <c r="J690">
        <v>-3.13</v>
      </c>
      <c r="L690">
        <v>1.3063027893482877</v>
      </c>
      <c r="M690">
        <v>1.1738539468838125</v>
      </c>
      <c r="N690">
        <v>1.3725272105805255</v>
      </c>
      <c r="O690">
        <v>1.1076295256515747</v>
      </c>
    </row>
    <row r="691" spans="1:15">
      <c r="A691" s="19">
        <v>42821</v>
      </c>
      <c r="B691">
        <v>2174</v>
      </c>
      <c r="C691">
        <v>2181</v>
      </c>
      <c r="D691">
        <v>1817</v>
      </c>
      <c r="E691">
        <v>1815</v>
      </c>
      <c r="F691">
        <v>1.20165289256198</v>
      </c>
      <c r="G691">
        <v>1.24145831268232</v>
      </c>
      <c r="H691">
        <v>6.6504371356906303E-2</v>
      </c>
      <c r="I691">
        <v>-0.598538401434075</v>
      </c>
      <c r="J691">
        <v>-3.31</v>
      </c>
      <c r="L691">
        <v>1.3079626840392262</v>
      </c>
      <c r="M691">
        <v>1.1749539413254138</v>
      </c>
      <c r="N691">
        <v>1.3744670553961327</v>
      </c>
      <c r="O691">
        <v>1.1084495699685073</v>
      </c>
    </row>
    <row r="692" spans="1:15">
      <c r="A692" s="19">
        <v>42818</v>
      </c>
      <c r="B692">
        <v>2169</v>
      </c>
      <c r="C692">
        <v>2206</v>
      </c>
      <c r="D692">
        <v>1850</v>
      </c>
      <c r="E692">
        <v>1831</v>
      </c>
      <c r="F692">
        <v>1.20480611687602</v>
      </c>
      <c r="G692">
        <v>1.2428885034141901</v>
      </c>
      <c r="H692">
        <v>6.6785744683230702E-2</v>
      </c>
      <c r="I692">
        <v>-0.57021729290880296</v>
      </c>
      <c r="J692">
        <v>-3.16</v>
      </c>
      <c r="L692">
        <v>1.3096742480974208</v>
      </c>
      <c r="M692">
        <v>1.1761027587309594</v>
      </c>
      <c r="N692">
        <v>1.3764599927806516</v>
      </c>
      <c r="O692">
        <v>1.1093170140477286</v>
      </c>
    </row>
    <row r="693" spans="1:15">
      <c r="A693" s="19">
        <v>42817</v>
      </c>
      <c r="B693">
        <v>2200</v>
      </c>
      <c r="C693">
        <v>2170</v>
      </c>
      <c r="D693">
        <v>1905</v>
      </c>
      <c r="E693">
        <v>1867</v>
      </c>
      <c r="F693">
        <v>1.1622924477771801</v>
      </c>
      <c r="G693">
        <v>1.2442065767379999</v>
      </c>
      <c r="H693">
        <v>6.6996316439943096E-2</v>
      </c>
      <c r="I693">
        <v>-1.2226661600753701</v>
      </c>
      <c r="J693">
        <v>-7.05</v>
      </c>
      <c r="L693">
        <v>1.3112028931779431</v>
      </c>
      <c r="M693">
        <v>1.1772102602980568</v>
      </c>
      <c r="N693">
        <v>1.3781992096178861</v>
      </c>
      <c r="O693">
        <v>1.1102139438581138</v>
      </c>
    </row>
    <row r="694" spans="1:15">
      <c r="A694" s="19">
        <v>42816</v>
      </c>
      <c r="B694">
        <v>2191</v>
      </c>
      <c r="C694">
        <v>2197</v>
      </c>
      <c r="D694">
        <v>1920</v>
      </c>
      <c r="E694">
        <v>1903</v>
      </c>
      <c r="F694">
        <v>1.15449290593799</v>
      </c>
      <c r="G694">
        <v>1.2459991809893001</v>
      </c>
      <c r="H694">
        <v>6.6577931816927394E-2</v>
      </c>
      <c r="I694">
        <v>-1.3744235147305399</v>
      </c>
      <c r="J694">
        <v>-7.93</v>
      </c>
      <c r="L694">
        <v>1.3125771128062276</v>
      </c>
      <c r="M694">
        <v>1.1794212491723726</v>
      </c>
      <c r="N694">
        <v>1.3791550446231549</v>
      </c>
      <c r="O694">
        <v>1.1128433173554453</v>
      </c>
    </row>
    <row r="695" spans="1:15">
      <c r="A695" s="19">
        <v>42815</v>
      </c>
      <c r="B695">
        <v>2223</v>
      </c>
      <c r="C695">
        <v>2223</v>
      </c>
      <c r="D695">
        <v>1908</v>
      </c>
      <c r="E695">
        <v>1934</v>
      </c>
      <c r="F695">
        <v>1.14943123061013</v>
      </c>
      <c r="G695">
        <v>1.2478908211072901</v>
      </c>
      <c r="H695">
        <v>6.5963789278758803E-2</v>
      </c>
      <c r="I695">
        <v>-1.49263090513299</v>
      </c>
      <c r="J695">
        <v>-8.57</v>
      </c>
      <c r="L695">
        <v>1.3138546103860489</v>
      </c>
      <c r="M695">
        <v>1.1819270318285313</v>
      </c>
      <c r="N695">
        <v>1.3798183996648077</v>
      </c>
      <c r="O695">
        <v>1.1159632425497725</v>
      </c>
    </row>
    <row r="696" spans="1:15">
      <c r="A696" s="19">
        <v>42811</v>
      </c>
      <c r="B696">
        <v>2200</v>
      </c>
      <c r="C696">
        <v>2219</v>
      </c>
      <c r="D696">
        <v>1900</v>
      </c>
      <c r="E696">
        <v>1906</v>
      </c>
      <c r="F696">
        <v>1.16421825813221</v>
      </c>
      <c r="G696">
        <v>1.2498650713658199</v>
      </c>
      <c r="H696">
        <v>6.5198779852001301E-2</v>
      </c>
      <c r="I696">
        <v>-1.31362601306378</v>
      </c>
      <c r="J696">
        <v>-7.36</v>
      </c>
      <c r="L696">
        <v>1.3150638512178212</v>
      </c>
      <c r="M696">
        <v>1.1846662915138186</v>
      </c>
      <c r="N696">
        <v>1.3802626310698225</v>
      </c>
      <c r="O696">
        <v>1.1194675116618173</v>
      </c>
    </row>
    <row r="697" spans="1:15">
      <c r="A697" s="19">
        <v>42810</v>
      </c>
      <c r="B697">
        <v>2200</v>
      </c>
      <c r="C697">
        <v>2215</v>
      </c>
      <c r="D697">
        <v>1872</v>
      </c>
      <c r="E697">
        <v>1909</v>
      </c>
      <c r="F697">
        <v>1.1602933473022501</v>
      </c>
      <c r="G697">
        <v>1.251404584758</v>
      </c>
      <c r="H697">
        <v>6.4517901175692602E-2</v>
      </c>
      <c r="I697">
        <v>-1.4121853903406001</v>
      </c>
      <c r="J697">
        <v>-7.85</v>
      </c>
      <c r="L697">
        <v>1.3159224859336927</v>
      </c>
      <c r="M697">
        <v>1.1868866835823073</v>
      </c>
      <c r="N697">
        <v>1.3804403871093851</v>
      </c>
      <c r="O697">
        <v>1.1223687824066149</v>
      </c>
    </row>
    <row r="698" spans="1:15">
      <c r="A698" s="19">
        <v>42809</v>
      </c>
      <c r="B698">
        <v>2211</v>
      </c>
      <c r="C698">
        <v>2221</v>
      </c>
      <c r="D698">
        <v>1890</v>
      </c>
      <c r="E698">
        <v>1891</v>
      </c>
      <c r="F698">
        <v>1.17451084082496</v>
      </c>
      <c r="G698">
        <v>1.2530720960722299</v>
      </c>
      <c r="H698">
        <v>6.3753160613753801E-2</v>
      </c>
      <c r="I698">
        <v>-1.23227232173223</v>
      </c>
      <c r="J698">
        <v>-6.69</v>
      </c>
      <c r="L698">
        <v>1.3168252566859837</v>
      </c>
      <c r="M698">
        <v>1.1893189354584761</v>
      </c>
      <c r="N698">
        <v>1.3805784172997375</v>
      </c>
      <c r="O698">
        <v>1.1255657748447223</v>
      </c>
    </row>
    <row r="699" spans="1:15">
      <c r="A699" s="19">
        <v>42808</v>
      </c>
      <c r="B699">
        <v>2246</v>
      </c>
      <c r="C699">
        <v>2228</v>
      </c>
      <c r="D699">
        <v>1892</v>
      </c>
      <c r="E699">
        <v>1902</v>
      </c>
      <c r="F699">
        <v>1.1713985278654</v>
      </c>
      <c r="G699">
        <v>1.2545370293125899</v>
      </c>
      <c r="H699">
        <v>6.3190961974917095E-2</v>
      </c>
      <c r="I699">
        <v>-1.31567076760429</v>
      </c>
      <c r="J699">
        <v>-7.1</v>
      </c>
      <c r="L699">
        <v>1.3177279912875071</v>
      </c>
      <c r="M699">
        <v>1.1913460673376728</v>
      </c>
      <c r="N699">
        <v>1.3809189532624242</v>
      </c>
      <c r="O699">
        <v>1.1281551053627557</v>
      </c>
    </row>
    <row r="700" spans="1:15">
      <c r="A700" s="19">
        <v>42807</v>
      </c>
      <c r="B700">
        <v>2220</v>
      </c>
      <c r="C700">
        <v>2242</v>
      </c>
      <c r="D700">
        <v>1883</v>
      </c>
      <c r="E700">
        <v>1895</v>
      </c>
      <c r="F700">
        <v>1.1831134564643799</v>
      </c>
      <c r="G700">
        <v>1.25619643922581</v>
      </c>
      <c r="H700">
        <v>6.2617453011270696E-2</v>
      </c>
      <c r="I700">
        <v>-1.16713438900624</v>
      </c>
      <c r="J700">
        <v>-6.18</v>
      </c>
      <c r="L700">
        <v>1.3188138922370807</v>
      </c>
      <c r="M700">
        <v>1.1935789862145394</v>
      </c>
      <c r="N700">
        <v>1.3814313452483513</v>
      </c>
      <c r="O700">
        <v>1.1309615332032688</v>
      </c>
    </row>
    <row r="701" spans="1:15">
      <c r="A701" s="19">
        <v>42804</v>
      </c>
      <c r="B701">
        <v>2201</v>
      </c>
      <c r="C701">
        <v>2219</v>
      </c>
      <c r="D701">
        <v>1908</v>
      </c>
      <c r="E701">
        <v>1911</v>
      </c>
      <c r="F701">
        <v>1.1611721611721599</v>
      </c>
      <c r="G701">
        <v>1.2575057131312299</v>
      </c>
      <c r="H701">
        <v>6.2100119169737199E-2</v>
      </c>
      <c r="I701">
        <v>-1.5512619500095499</v>
      </c>
      <c r="J701">
        <v>-8.3000000000000007</v>
      </c>
      <c r="L701">
        <v>1.3196058323009672</v>
      </c>
      <c r="M701">
        <v>1.1954055939614927</v>
      </c>
      <c r="N701">
        <v>1.3817059514707044</v>
      </c>
      <c r="O701">
        <v>1.1333054747917555</v>
      </c>
    </row>
    <row r="702" spans="1:15">
      <c r="A702" s="19">
        <v>42803</v>
      </c>
      <c r="B702">
        <v>2203</v>
      </c>
      <c r="C702">
        <v>2204</v>
      </c>
      <c r="D702">
        <v>1882</v>
      </c>
      <c r="E702">
        <v>1892</v>
      </c>
      <c r="F702">
        <v>1.1649048625792799</v>
      </c>
      <c r="L702">
        <v>0</v>
      </c>
      <c r="M702">
        <v>0</v>
      </c>
      <c r="N702">
        <v>0</v>
      </c>
      <c r="O702">
        <v>0</v>
      </c>
    </row>
    <row r="703" spans="1:15">
      <c r="A703" s="19">
        <v>42802</v>
      </c>
      <c r="B703">
        <v>2180</v>
      </c>
      <c r="C703">
        <v>2190</v>
      </c>
      <c r="D703">
        <v>1892</v>
      </c>
      <c r="E703">
        <v>1889</v>
      </c>
      <c r="F703">
        <v>1.1593435680254101</v>
      </c>
      <c r="L703">
        <v>0</v>
      </c>
      <c r="M703">
        <v>0</v>
      </c>
      <c r="N703">
        <v>0</v>
      </c>
      <c r="O703">
        <v>0</v>
      </c>
    </row>
    <row r="704" spans="1:15">
      <c r="A704" s="19">
        <v>42801</v>
      </c>
      <c r="B704">
        <v>2179</v>
      </c>
      <c r="C704">
        <v>2192</v>
      </c>
      <c r="D704">
        <v>1900</v>
      </c>
      <c r="E704">
        <v>1899</v>
      </c>
      <c r="F704">
        <v>1.15429173249078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42800</v>
      </c>
      <c r="B705">
        <v>2178</v>
      </c>
      <c r="C705">
        <v>2181</v>
      </c>
      <c r="D705">
        <v>1872</v>
      </c>
      <c r="E705">
        <v>1896</v>
      </c>
      <c r="F705">
        <v>1.1503164556962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42797</v>
      </c>
      <c r="B706">
        <v>2181</v>
      </c>
      <c r="C706">
        <v>2175</v>
      </c>
      <c r="D706">
        <v>1871</v>
      </c>
      <c r="E706">
        <v>1889</v>
      </c>
      <c r="F706">
        <v>1.15140285865537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42796</v>
      </c>
      <c r="B707">
        <v>2198</v>
      </c>
      <c r="C707">
        <v>2198</v>
      </c>
      <c r="D707">
        <v>1872</v>
      </c>
      <c r="E707">
        <v>1867</v>
      </c>
      <c r="F707">
        <v>1.1772897696839799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42795</v>
      </c>
      <c r="B708">
        <v>2141</v>
      </c>
      <c r="C708">
        <v>2157</v>
      </c>
      <c r="D708">
        <v>1846</v>
      </c>
      <c r="E708">
        <v>1875</v>
      </c>
      <c r="F708">
        <v>1.1504000000000001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42794</v>
      </c>
      <c r="B709">
        <v>2169</v>
      </c>
      <c r="C709">
        <v>2139</v>
      </c>
      <c r="D709">
        <v>1886</v>
      </c>
      <c r="E709">
        <v>1862</v>
      </c>
      <c r="F709">
        <v>1.1487647690655201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42793</v>
      </c>
      <c r="B710">
        <v>2128</v>
      </c>
      <c r="C710">
        <v>2162</v>
      </c>
      <c r="D710">
        <v>1852</v>
      </c>
      <c r="E710">
        <v>1870</v>
      </c>
      <c r="F710">
        <v>1.1561497326203201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42790</v>
      </c>
      <c r="B711">
        <v>2118</v>
      </c>
      <c r="C711">
        <v>2130</v>
      </c>
      <c r="D711">
        <v>1855</v>
      </c>
      <c r="E711">
        <v>1858</v>
      </c>
      <c r="F711">
        <v>1.1463939720129099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42789</v>
      </c>
      <c r="B712">
        <v>2139</v>
      </c>
      <c r="C712">
        <v>2129</v>
      </c>
      <c r="D712">
        <v>1887</v>
      </c>
      <c r="E712">
        <v>1874</v>
      </c>
      <c r="F712">
        <v>1.1360725720384199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42788</v>
      </c>
      <c r="B713">
        <v>2140</v>
      </c>
      <c r="C713">
        <v>2132</v>
      </c>
      <c r="D713">
        <v>1850</v>
      </c>
      <c r="E713">
        <v>1884</v>
      </c>
      <c r="F713">
        <v>1.1316348195329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42787</v>
      </c>
      <c r="B714">
        <v>2124</v>
      </c>
      <c r="C714">
        <v>2133</v>
      </c>
      <c r="D714">
        <v>1815</v>
      </c>
      <c r="E714">
        <v>1811</v>
      </c>
      <c r="F714">
        <v>1.1778023191606799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42786</v>
      </c>
      <c r="B715">
        <v>2124</v>
      </c>
      <c r="C715">
        <v>2124</v>
      </c>
      <c r="D715">
        <v>1803</v>
      </c>
      <c r="E715">
        <v>1817</v>
      </c>
      <c r="F715">
        <v>1.1689598238855201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42783</v>
      </c>
      <c r="B716">
        <v>2145</v>
      </c>
      <c r="C716">
        <v>2132</v>
      </c>
      <c r="D716">
        <v>1783</v>
      </c>
      <c r="E716">
        <v>1807</v>
      </c>
      <c r="F716">
        <v>1.1798561151079101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42782</v>
      </c>
      <c r="B717">
        <v>2179</v>
      </c>
      <c r="C717">
        <v>2140</v>
      </c>
      <c r="D717">
        <v>1778</v>
      </c>
      <c r="E717">
        <v>1795</v>
      </c>
      <c r="F717">
        <v>1.1922005571030601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42781</v>
      </c>
      <c r="B718">
        <v>2160</v>
      </c>
      <c r="C718">
        <v>2175</v>
      </c>
      <c r="D718">
        <v>1726</v>
      </c>
      <c r="E718">
        <v>1764</v>
      </c>
      <c r="F718">
        <v>1.2329931972789101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42780</v>
      </c>
      <c r="B719">
        <v>2156</v>
      </c>
      <c r="C719">
        <v>2136</v>
      </c>
      <c r="D719">
        <v>1717</v>
      </c>
      <c r="E719">
        <v>1726</v>
      </c>
      <c r="F719">
        <v>1.2375434530706799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42779</v>
      </c>
      <c r="B720">
        <v>2142</v>
      </c>
      <c r="C720">
        <v>2136</v>
      </c>
      <c r="D720">
        <v>1719</v>
      </c>
      <c r="E720">
        <v>1700</v>
      </c>
      <c r="F720">
        <v>1.25647058823529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42776</v>
      </c>
      <c r="B721">
        <v>2098</v>
      </c>
      <c r="C721">
        <v>2132</v>
      </c>
      <c r="D721">
        <v>1715</v>
      </c>
      <c r="E721">
        <v>1700</v>
      </c>
      <c r="F721">
        <v>1.25411764705882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42775</v>
      </c>
      <c r="B722">
        <v>2073</v>
      </c>
      <c r="C722">
        <v>2063</v>
      </c>
      <c r="D722">
        <v>1719</v>
      </c>
      <c r="E722">
        <v>1699</v>
      </c>
      <c r="F722">
        <v>1.2142436727486701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42774</v>
      </c>
      <c r="B723">
        <v>2071</v>
      </c>
      <c r="C723">
        <v>2079</v>
      </c>
      <c r="D723">
        <v>1667</v>
      </c>
      <c r="E723">
        <v>1705</v>
      </c>
      <c r="F723">
        <v>1.21935483870967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42773</v>
      </c>
      <c r="B724">
        <v>2080</v>
      </c>
      <c r="C724">
        <v>2078</v>
      </c>
      <c r="D724">
        <v>1650</v>
      </c>
      <c r="E724">
        <v>1642</v>
      </c>
      <c r="F724">
        <v>1.2655298416565099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42772</v>
      </c>
      <c r="B725">
        <v>2125</v>
      </c>
      <c r="C725">
        <v>2086</v>
      </c>
      <c r="D725">
        <v>1630</v>
      </c>
      <c r="E725">
        <v>1641</v>
      </c>
      <c r="F725">
        <v>1.27117611212675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42769</v>
      </c>
      <c r="B726">
        <v>2101</v>
      </c>
      <c r="C726">
        <v>2103</v>
      </c>
      <c r="D726">
        <v>1637</v>
      </c>
      <c r="E726">
        <v>1620</v>
      </c>
      <c r="F726">
        <v>1.2981481481481401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42768</v>
      </c>
      <c r="B727">
        <v>2096</v>
      </c>
      <c r="C727">
        <v>2096</v>
      </c>
      <c r="D727">
        <v>1631</v>
      </c>
      <c r="E727">
        <v>1628</v>
      </c>
      <c r="F727">
        <v>1.2874692874692799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42767</v>
      </c>
      <c r="B728">
        <v>2038</v>
      </c>
      <c r="C728">
        <v>2081</v>
      </c>
      <c r="D728">
        <v>1624</v>
      </c>
      <c r="E728">
        <v>1651</v>
      </c>
      <c r="F728">
        <v>1.2604482132041099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42766</v>
      </c>
      <c r="B729">
        <v>2080</v>
      </c>
      <c r="C729">
        <v>2058</v>
      </c>
      <c r="D729">
        <v>1583</v>
      </c>
      <c r="E729">
        <v>1597</v>
      </c>
      <c r="F729">
        <v>1.28866624921728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42765</v>
      </c>
      <c r="B730">
        <v>2167</v>
      </c>
      <c r="C730">
        <v>2103</v>
      </c>
      <c r="D730">
        <v>1638</v>
      </c>
      <c r="E730">
        <v>1639</v>
      </c>
      <c r="F730">
        <v>1.28309945088468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42762</v>
      </c>
      <c r="B731">
        <v>2200</v>
      </c>
      <c r="C731">
        <v>2180</v>
      </c>
      <c r="D731">
        <v>1664</v>
      </c>
      <c r="E731">
        <v>1646</v>
      </c>
      <c r="F731">
        <v>1.3244228432563701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42761</v>
      </c>
      <c r="B732">
        <v>2198</v>
      </c>
      <c r="C732">
        <v>2184</v>
      </c>
      <c r="D732">
        <v>1659</v>
      </c>
      <c r="E732">
        <v>1662</v>
      </c>
      <c r="F732">
        <v>1.3140794223826699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42760</v>
      </c>
      <c r="B733">
        <v>2175</v>
      </c>
      <c r="C733">
        <v>2172</v>
      </c>
      <c r="D733">
        <v>1667</v>
      </c>
      <c r="E733">
        <v>1642</v>
      </c>
      <c r="F733">
        <v>1.3227771010962199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42759</v>
      </c>
      <c r="B734">
        <v>2147</v>
      </c>
      <c r="C734">
        <v>2168</v>
      </c>
      <c r="D734">
        <v>1621</v>
      </c>
      <c r="E734">
        <v>1639</v>
      </c>
      <c r="F734">
        <v>1.32275777913361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42758</v>
      </c>
      <c r="B735">
        <v>2150</v>
      </c>
      <c r="C735">
        <v>2147</v>
      </c>
      <c r="D735">
        <v>1626</v>
      </c>
      <c r="E735">
        <v>1621</v>
      </c>
      <c r="F735">
        <v>1.32449105490438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42755</v>
      </c>
      <c r="B736">
        <v>2172</v>
      </c>
      <c r="C736">
        <v>2166</v>
      </c>
      <c r="D736">
        <v>1622</v>
      </c>
      <c r="E736">
        <v>1626</v>
      </c>
      <c r="F736">
        <v>1.3321033210332101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42754</v>
      </c>
      <c r="B737">
        <v>2174</v>
      </c>
      <c r="C737">
        <v>2166</v>
      </c>
      <c r="D737">
        <v>1630</v>
      </c>
      <c r="E737">
        <v>1622</v>
      </c>
      <c r="F737">
        <v>1.3353884093711399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42753</v>
      </c>
      <c r="B738">
        <v>2131</v>
      </c>
      <c r="C738">
        <v>2154</v>
      </c>
      <c r="D738">
        <v>1632</v>
      </c>
      <c r="E738">
        <v>1627</v>
      </c>
      <c r="F738">
        <v>1.3239090350338001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42752</v>
      </c>
      <c r="B739">
        <v>2205</v>
      </c>
      <c r="C739">
        <v>2146</v>
      </c>
      <c r="D739">
        <v>1638</v>
      </c>
      <c r="E739">
        <v>1634</v>
      </c>
      <c r="F739">
        <v>1.3133414932680501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42751</v>
      </c>
      <c r="B740">
        <v>2215</v>
      </c>
      <c r="C740">
        <v>2218</v>
      </c>
      <c r="D740">
        <v>1657</v>
      </c>
      <c r="E740">
        <v>1639</v>
      </c>
      <c r="F740">
        <v>1.35326418547895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42748</v>
      </c>
      <c r="B741">
        <v>2178</v>
      </c>
      <c r="C741">
        <v>2216</v>
      </c>
      <c r="D741">
        <v>1627</v>
      </c>
      <c r="E741">
        <v>1656</v>
      </c>
      <c r="F741">
        <v>1.3381642512077201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42747</v>
      </c>
      <c r="B742">
        <v>2195</v>
      </c>
      <c r="C742">
        <v>2181</v>
      </c>
      <c r="D742">
        <v>1649</v>
      </c>
      <c r="E742">
        <v>1643</v>
      </c>
      <c r="F742">
        <v>1.3274497869750399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42746</v>
      </c>
      <c r="B743">
        <v>2207</v>
      </c>
      <c r="C743">
        <v>2190</v>
      </c>
      <c r="D743">
        <v>1734</v>
      </c>
      <c r="E743">
        <v>1677</v>
      </c>
      <c r="F743">
        <v>1.30590339892665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42745</v>
      </c>
      <c r="B744">
        <v>2241</v>
      </c>
      <c r="C744">
        <v>2222</v>
      </c>
      <c r="D744">
        <v>1762</v>
      </c>
      <c r="E744">
        <v>1757</v>
      </c>
      <c r="F744">
        <v>1.26465566306203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42741</v>
      </c>
      <c r="B745">
        <v>2200</v>
      </c>
      <c r="C745">
        <v>2240</v>
      </c>
      <c r="D745">
        <v>1737</v>
      </c>
      <c r="E745">
        <v>1763</v>
      </c>
      <c r="F745">
        <v>1.2705615428247301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42740</v>
      </c>
      <c r="B746">
        <v>2187</v>
      </c>
      <c r="C746">
        <v>2188</v>
      </c>
      <c r="D746">
        <v>1762</v>
      </c>
      <c r="E746">
        <v>1750</v>
      </c>
      <c r="F746">
        <v>1.25028571428571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42739</v>
      </c>
      <c r="B747">
        <v>2124</v>
      </c>
      <c r="C747">
        <v>2176</v>
      </c>
      <c r="D747">
        <v>1720</v>
      </c>
      <c r="E747">
        <v>1751</v>
      </c>
      <c r="F747">
        <v>1.2427184466019401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42734</v>
      </c>
      <c r="B748">
        <v>2112</v>
      </c>
      <c r="C748">
        <v>2111</v>
      </c>
      <c r="D748">
        <v>1717</v>
      </c>
      <c r="E748">
        <v>1714</v>
      </c>
      <c r="F748">
        <v>1.2316219369894901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42733</v>
      </c>
      <c r="B749">
        <v>2134</v>
      </c>
      <c r="C749">
        <v>2123</v>
      </c>
      <c r="D749">
        <v>1729</v>
      </c>
      <c r="E749">
        <v>1717</v>
      </c>
      <c r="F749">
        <v>1.2364589400116399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42732</v>
      </c>
      <c r="B750">
        <v>2112</v>
      </c>
      <c r="C750">
        <v>2137</v>
      </c>
      <c r="D750">
        <v>1736</v>
      </c>
      <c r="E750">
        <v>1765</v>
      </c>
      <c r="F750">
        <v>1.2107648725212401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42731</v>
      </c>
      <c r="B751">
        <v>2129</v>
      </c>
      <c r="C751">
        <v>2112</v>
      </c>
      <c r="D751">
        <v>1737</v>
      </c>
      <c r="E751">
        <v>1728</v>
      </c>
      <c r="F751">
        <v>1.2222222222222201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42730</v>
      </c>
      <c r="B752">
        <v>2139</v>
      </c>
      <c r="C752">
        <v>2129</v>
      </c>
      <c r="D752">
        <v>1696</v>
      </c>
      <c r="E752">
        <v>1742</v>
      </c>
      <c r="F752">
        <v>1.22215843857634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42726</v>
      </c>
      <c r="B753">
        <v>2125</v>
      </c>
      <c r="C753">
        <v>2130</v>
      </c>
      <c r="D753">
        <v>1659</v>
      </c>
      <c r="E753">
        <v>1679</v>
      </c>
      <c r="F753">
        <v>1.2686122692078601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42725</v>
      </c>
      <c r="B754">
        <v>2145</v>
      </c>
      <c r="C754">
        <v>2119</v>
      </c>
      <c r="D754">
        <v>1683</v>
      </c>
      <c r="E754">
        <v>1669</v>
      </c>
      <c r="F754">
        <v>1.2696225284601499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42724</v>
      </c>
      <c r="B755">
        <v>2143</v>
      </c>
      <c r="C755">
        <v>2142</v>
      </c>
      <c r="D755">
        <v>1632</v>
      </c>
      <c r="E755">
        <v>1684</v>
      </c>
      <c r="F755">
        <v>1.2719714964370501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42723</v>
      </c>
      <c r="B756">
        <v>2135</v>
      </c>
      <c r="C756">
        <v>2136</v>
      </c>
      <c r="D756">
        <v>1627</v>
      </c>
      <c r="E756">
        <v>1632</v>
      </c>
      <c r="F756">
        <v>1.3088235294117601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42720</v>
      </c>
      <c r="B757">
        <v>2140</v>
      </c>
      <c r="C757">
        <v>2128</v>
      </c>
      <c r="D757">
        <v>1642</v>
      </c>
      <c r="E757">
        <v>1627</v>
      </c>
      <c r="F757">
        <v>1.3079287031346001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42719</v>
      </c>
      <c r="B758">
        <v>2127</v>
      </c>
      <c r="C758">
        <v>2116</v>
      </c>
      <c r="D758">
        <v>1621</v>
      </c>
      <c r="E758">
        <v>1633</v>
      </c>
      <c r="F758">
        <v>1.29577464788732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42718</v>
      </c>
      <c r="B759">
        <v>2093</v>
      </c>
      <c r="C759">
        <v>2114</v>
      </c>
      <c r="D759">
        <v>1607</v>
      </c>
      <c r="E759">
        <v>1617</v>
      </c>
      <c r="F759">
        <v>1.3073593073592999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42717</v>
      </c>
      <c r="B760">
        <v>2085</v>
      </c>
      <c r="C760">
        <v>2087</v>
      </c>
      <c r="D760">
        <v>1581</v>
      </c>
      <c r="E760">
        <v>1597</v>
      </c>
      <c r="F760">
        <v>1.3068252974326799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42716</v>
      </c>
      <c r="B761">
        <v>2085</v>
      </c>
      <c r="C761">
        <v>2074</v>
      </c>
      <c r="D761">
        <v>1583</v>
      </c>
      <c r="E761">
        <v>1589</v>
      </c>
      <c r="F761">
        <v>1.30522341095028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42713</v>
      </c>
      <c r="B762">
        <v>2070</v>
      </c>
      <c r="C762">
        <v>2074</v>
      </c>
      <c r="D762">
        <v>1542</v>
      </c>
      <c r="E762">
        <v>1569</v>
      </c>
      <c r="F762">
        <v>1.32186105799872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42712</v>
      </c>
      <c r="B763">
        <v>2072</v>
      </c>
      <c r="C763">
        <v>2080</v>
      </c>
      <c r="D763">
        <v>1575</v>
      </c>
      <c r="E763">
        <v>1564</v>
      </c>
      <c r="F763">
        <v>1.3299232736572799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42711</v>
      </c>
      <c r="B764">
        <v>2056</v>
      </c>
      <c r="C764">
        <v>2058</v>
      </c>
      <c r="D764">
        <v>1572</v>
      </c>
      <c r="E764">
        <v>1562</v>
      </c>
      <c r="F764">
        <v>1.3175416133162601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42710</v>
      </c>
      <c r="B765">
        <v>2074</v>
      </c>
      <c r="C765">
        <v>2053</v>
      </c>
      <c r="D765">
        <v>1590</v>
      </c>
      <c r="E765">
        <v>1572</v>
      </c>
      <c r="F765">
        <v>1.3059796437658999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42709</v>
      </c>
      <c r="B766">
        <v>2035</v>
      </c>
      <c r="C766">
        <v>2055</v>
      </c>
      <c r="D766">
        <v>1567</v>
      </c>
      <c r="E766">
        <v>1570</v>
      </c>
      <c r="F766">
        <v>1.30891719745222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42706</v>
      </c>
      <c r="B767">
        <v>2045</v>
      </c>
      <c r="C767">
        <v>2065</v>
      </c>
      <c r="D767">
        <v>1587</v>
      </c>
      <c r="E767">
        <v>1584</v>
      </c>
      <c r="F767">
        <v>1.3036616161616099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42705</v>
      </c>
      <c r="B768">
        <v>2093</v>
      </c>
      <c r="C768">
        <v>2067</v>
      </c>
      <c r="D768">
        <v>1622</v>
      </c>
      <c r="E768">
        <v>1594</v>
      </c>
      <c r="F768">
        <v>1.2967377666248401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42704</v>
      </c>
      <c r="B769">
        <v>2082</v>
      </c>
      <c r="C769">
        <v>2069</v>
      </c>
      <c r="D769">
        <v>1604</v>
      </c>
      <c r="E769">
        <v>1596</v>
      </c>
      <c r="F769">
        <v>1.2963659147869599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42703</v>
      </c>
      <c r="B770">
        <v>2099</v>
      </c>
      <c r="C770">
        <v>2076</v>
      </c>
      <c r="D770">
        <v>1619</v>
      </c>
      <c r="E770">
        <v>1600</v>
      </c>
      <c r="F770">
        <v>1.2975000000000001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42702</v>
      </c>
      <c r="B771">
        <v>2056</v>
      </c>
      <c r="C771">
        <v>2091</v>
      </c>
      <c r="D771">
        <v>1601</v>
      </c>
      <c r="E771">
        <v>1634</v>
      </c>
      <c r="F771">
        <v>1.2796817625458901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42699</v>
      </c>
      <c r="B772">
        <v>2064</v>
      </c>
      <c r="C772">
        <v>2054</v>
      </c>
      <c r="D772">
        <v>1623</v>
      </c>
      <c r="E772">
        <v>1598</v>
      </c>
      <c r="F772">
        <v>1.2853566958698299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42698</v>
      </c>
      <c r="B773">
        <v>2080</v>
      </c>
      <c r="C773">
        <v>2064</v>
      </c>
      <c r="D773">
        <v>1617</v>
      </c>
      <c r="E773">
        <v>1607</v>
      </c>
      <c r="F773">
        <v>1.2843808338518901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42696</v>
      </c>
      <c r="B774">
        <v>2036</v>
      </c>
      <c r="C774">
        <v>2063</v>
      </c>
      <c r="D774">
        <v>1586</v>
      </c>
      <c r="E774">
        <v>1592</v>
      </c>
      <c r="F774">
        <v>1.29585427135678</v>
      </c>
      <c r="L774">
        <v>0</v>
      </c>
      <c r="M774">
        <v>0</v>
      </c>
      <c r="N774">
        <v>0</v>
      </c>
      <c r="O774">
        <v>0</v>
      </c>
    </row>
    <row r="775" spans="1:15">
      <c r="A775" s="19">
        <v>42695</v>
      </c>
      <c r="B775">
        <v>2055</v>
      </c>
      <c r="C775">
        <v>2036</v>
      </c>
      <c r="D775">
        <v>1601</v>
      </c>
      <c r="E775">
        <v>1589</v>
      </c>
      <c r="F775">
        <v>1.2813089993706701</v>
      </c>
      <c r="L775">
        <v>0</v>
      </c>
      <c r="M775">
        <v>0</v>
      </c>
      <c r="N775">
        <v>0</v>
      </c>
      <c r="O775">
        <v>0</v>
      </c>
    </row>
    <row r="776" spans="1:15">
      <c r="A776" s="19"/>
    </row>
    <row r="777" spans="1:15">
      <c r="A777" s="19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G42" sqref="G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B1" sqref="B1"/>
    </sheetView>
  </sheetViews>
  <sheetFormatPr defaultRowHeight="14.25"/>
  <cols>
    <col min="1" max="1" width="9" style="111"/>
    <col min="4" max="4" width="9.875" customWidth="1"/>
    <col min="22" max="22" width="11.25" customWidth="1"/>
  </cols>
  <sheetData>
    <row r="1" spans="1:34">
      <c r="B1" s="115" t="s">
        <v>401</v>
      </c>
      <c r="C1" s="115" t="s">
        <v>60</v>
      </c>
      <c r="D1" s="115" t="s">
        <v>61</v>
      </c>
      <c r="E1" s="115" t="s">
        <v>62</v>
      </c>
      <c r="F1" s="115" t="s">
        <v>63</v>
      </c>
      <c r="G1" s="115" t="s">
        <v>64</v>
      </c>
      <c r="H1" s="115" t="s">
        <v>65</v>
      </c>
      <c r="I1" s="115" t="s">
        <v>66</v>
      </c>
      <c r="J1" s="115" t="s">
        <v>49</v>
      </c>
      <c r="K1" s="115" t="s">
        <v>67</v>
      </c>
      <c r="L1" s="115" t="s">
        <v>68</v>
      </c>
      <c r="M1" s="115" t="s">
        <v>69</v>
      </c>
      <c r="N1" s="115" t="s">
        <v>70</v>
      </c>
      <c r="O1" s="115" t="s">
        <v>71</v>
      </c>
      <c r="P1" s="115" t="s">
        <v>72</v>
      </c>
      <c r="Q1" s="115" t="s">
        <v>73</v>
      </c>
      <c r="R1" s="115" t="s">
        <v>74</v>
      </c>
      <c r="S1" s="115" t="s">
        <v>75</v>
      </c>
      <c r="T1" s="115" t="s">
        <v>103</v>
      </c>
      <c r="U1" s="115" t="s">
        <v>76</v>
      </c>
      <c r="V1" s="115" t="s">
        <v>77</v>
      </c>
      <c r="W1" s="115" t="s">
        <v>78</v>
      </c>
      <c r="X1" s="115" t="s">
        <v>79</v>
      </c>
      <c r="Y1" s="115" t="s">
        <v>80</v>
      </c>
      <c r="Z1" s="115" t="s">
        <v>81</v>
      </c>
      <c r="AA1" s="115" t="s">
        <v>82</v>
      </c>
      <c r="AB1" s="115" t="s">
        <v>83</v>
      </c>
      <c r="AC1" s="115" t="s">
        <v>84</v>
      </c>
      <c r="AD1" s="115" t="s">
        <v>85</v>
      </c>
      <c r="AE1" s="115" t="s">
        <v>86</v>
      </c>
      <c r="AF1" s="115" t="s">
        <v>104</v>
      </c>
      <c r="AG1" s="115" t="s">
        <v>105</v>
      </c>
      <c r="AH1" s="115" t="s">
        <v>106</v>
      </c>
    </row>
    <row r="2" spans="1:34">
      <c r="A2" s="111">
        <v>202</v>
      </c>
      <c r="B2">
        <v>7272</v>
      </c>
      <c r="C2" s="115" t="s">
        <v>391</v>
      </c>
      <c r="D2" s="115" t="s">
        <v>115</v>
      </c>
      <c r="E2">
        <v>2247</v>
      </c>
      <c r="F2">
        <v>2250</v>
      </c>
      <c r="G2">
        <v>400</v>
      </c>
      <c r="H2" s="115" t="s">
        <v>89</v>
      </c>
      <c r="I2">
        <v>7278</v>
      </c>
      <c r="J2" s="115" t="s">
        <v>114</v>
      </c>
      <c r="K2" s="115" t="s">
        <v>115</v>
      </c>
      <c r="L2">
        <v>2389</v>
      </c>
      <c r="M2">
        <v>2377</v>
      </c>
      <c r="N2">
        <v>400</v>
      </c>
      <c r="O2" s="115" t="s">
        <v>87</v>
      </c>
      <c r="P2">
        <v>0.90038812649702205</v>
      </c>
      <c r="Q2">
        <v>0.91292728703140902</v>
      </c>
      <c r="R2" s="20">
        <v>0.28248835303028003</v>
      </c>
      <c r="S2">
        <v>7.0783758523724101E-3</v>
      </c>
      <c r="T2">
        <v>1.1245262969979299</v>
      </c>
      <c r="U2">
        <v>1.1245262969979299</v>
      </c>
      <c r="V2">
        <v>3.98</v>
      </c>
      <c r="W2">
        <v>5.34</v>
      </c>
      <c r="X2">
        <v>685697</v>
      </c>
      <c r="Y2">
        <v>42856</v>
      </c>
      <c r="Z2">
        <v>2.2599999999999998</v>
      </c>
      <c r="AA2">
        <v>16</v>
      </c>
      <c r="AB2">
        <v>12</v>
      </c>
      <c r="AC2">
        <v>4</v>
      </c>
      <c r="AD2">
        <v>75</v>
      </c>
      <c r="AE2">
        <v>13</v>
      </c>
      <c r="AF2">
        <v>7</v>
      </c>
      <c r="AG2">
        <v>1</v>
      </c>
      <c r="AH2">
        <v>8</v>
      </c>
    </row>
    <row r="3" spans="1:34">
      <c r="A3" s="111">
        <v>37</v>
      </c>
      <c r="B3">
        <v>7189</v>
      </c>
      <c r="C3" s="115" t="s">
        <v>112</v>
      </c>
      <c r="D3" s="115" t="s">
        <v>113</v>
      </c>
      <c r="E3">
        <v>844</v>
      </c>
      <c r="F3">
        <v>850</v>
      </c>
      <c r="G3">
        <v>1100</v>
      </c>
      <c r="H3" s="115" t="s">
        <v>89</v>
      </c>
      <c r="I3">
        <v>7278</v>
      </c>
      <c r="J3" s="115" t="s">
        <v>114</v>
      </c>
      <c r="K3" s="115" t="s">
        <v>115</v>
      </c>
      <c r="L3">
        <v>2389</v>
      </c>
      <c r="M3">
        <v>2377</v>
      </c>
      <c r="N3">
        <v>400</v>
      </c>
      <c r="O3" s="115" t="s">
        <v>87</v>
      </c>
      <c r="P3">
        <v>0.92475395569297703</v>
      </c>
      <c r="Q3">
        <v>0.94216418905979304</v>
      </c>
      <c r="R3" s="20">
        <v>0.25861470659475</v>
      </c>
      <c r="S3" s="20">
        <v>1.0536205547341601E-2</v>
      </c>
      <c r="T3">
        <v>1.06014414907734</v>
      </c>
      <c r="U3">
        <v>1.06014414907734</v>
      </c>
      <c r="V3">
        <v>3.44</v>
      </c>
      <c r="W3">
        <v>1.66</v>
      </c>
      <c r="X3">
        <v>649282</v>
      </c>
      <c r="Y3">
        <v>34173</v>
      </c>
      <c r="Z3">
        <v>1.75</v>
      </c>
      <c r="AA3">
        <v>19</v>
      </c>
      <c r="AB3">
        <v>12</v>
      </c>
      <c r="AC3">
        <v>7</v>
      </c>
      <c r="AD3">
        <v>63.16</v>
      </c>
      <c r="AE3">
        <v>12</v>
      </c>
      <c r="AF3">
        <v>10</v>
      </c>
      <c r="AG3">
        <v>3</v>
      </c>
      <c r="AH3">
        <v>6</v>
      </c>
    </row>
    <row r="4" spans="1:34">
      <c r="A4" s="111">
        <v>12</v>
      </c>
      <c r="B4">
        <v>3099</v>
      </c>
      <c r="C4" s="115" t="s">
        <v>90</v>
      </c>
      <c r="D4" s="115" t="s">
        <v>128</v>
      </c>
      <c r="E4">
        <v>990</v>
      </c>
      <c r="F4">
        <v>981</v>
      </c>
      <c r="G4">
        <v>1100</v>
      </c>
      <c r="H4" s="115" t="s">
        <v>87</v>
      </c>
      <c r="I4">
        <v>7189</v>
      </c>
      <c r="J4" s="115" t="s">
        <v>112</v>
      </c>
      <c r="K4" s="115" t="s">
        <v>113</v>
      </c>
      <c r="L4">
        <v>844</v>
      </c>
      <c r="M4">
        <v>850</v>
      </c>
      <c r="N4">
        <v>1300</v>
      </c>
      <c r="O4" s="115" t="s">
        <v>89</v>
      </c>
      <c r="P4">
        <v>0.92488355174265002</v>
      </c>
      <c r="Q4">
        <v>0.95559937886064406</v>
      </c>
      <c r="R4">
        <v>6.8540582957903898E-2</v>
      </c>
      <c r="S4">
        <v>8.5766873829163398E-2</v>
      </c>
      <c r="T4">
        <v>-8.2230505678162299E-2</v>
      </c>
      <c r="U4">
        <v>8.2230505678162299E-2</v>
      </c>
      <c r="V4">
        <v>-0.3</v>
      </c>
      <c r="W4">
        <v>2.4</v>
      </c>
      <c r="X4">
        <v>585415</v>
      </c>
      <c r="Y4">
        <v>36588</v>
      </c>
      <c r="Z4">
        <v>1.78</v>
      </c>
      <c r="AA4">
        <v>16</v>
      </c>
      <c r="AB4">
        <v>11</v>
      </c>
      <c r="AC4">
        <v>5</v>
      </c>
      <c r="AD4">
        <v>68.75</v>
      </c>
      <c r="AE4">
        <v>12</v>
      </c>
      <c r="AF4">
        <v>9</v>
      </c>
      <c r="AG4">
        <v>0</v>
      </c>
      <c r="AH4">
        <v>7</v>
      </c>
    </row>
    <row r="5" spans="1:34">
      <c r="A5" s="111">
        <v>6</v>
      </c>
      <c r="B5">
        <v>7201</v>
      </c>
      <c r="C5" s="115" t="s">
        <v>403</v>
      </c>
      <c r="D5" s="115" t="s">
        <v>115</v>
      </c>
      <c r="E5">
        <v>668.6</v>
      </c>
      <c r="F5">
        <v>664</v>
      </c>
      <c r="G5">
        <v>1500</v>
      </c>
      <c r="H5" s="115" t="s">
        <v>87</v>
      </c>
      <c r="I5">
        <v>8570</v>
      </c>
      <c r="J5" s="115" t="s">
        <v>404</v>
      </c>
      <c r="K5" s="115" t="s">
        <v>388</v>
      </c>
      <c r="L5">
        <v>1645</v>
      </c>
      <c r="M5">
        <v>1633</v>
      </c>
      <c r="N5">
        <v>600</v>
      </c>
      <c r="O5" s="115" t="s">
        <v>89</v>
      </c>
      <c r="P5">
        <v>0.91280644748441297</v>
      </c>
      <c r="Q5">
        <v>0.964552015077484</v>
      </c>
      <c r="R5">
        <v>1.46054569735134E-3</v>
      </c>
      <c r="S5">
        <v>9.0301420077028099E-2</v>
      </c>
      <c r="T5">
        <v>-1.5732606131360101</v>
      </c>
      <c r="U5">
        <v>1.5732606131360101</v>
      </c>
      <c r="V5">
        <v>-2.72</v>
      </c>
      <c r="W5">
        <v>1.65</v>
      </c>
      <c r="X5">
        <v>543132</v>
      </c>
      <c r="Y5">
        <v>31949</v>
      </c>
      <c r="Z5">
        <v>1.67</v>
      </c>
      <c r="AA5">
        <v>17</v>
      </c>
      <c r="AB5">
        <v>14</v>
      </c>
      <c r="AC5">
        <v>3</v>
      </c>
      <c r="AD5">
        <v>82.35</v>
      </c>
      <c r="AE5">
        <v>13</v>
      </c>
      <c r="AF5">
        <v>9</v>
      </c>
      <c r="AG5">
        <v>1</v>
      </c>
      <c r="AH5">
        <v>7</v>
      </c>
    </row>
    <row r="6" spans="1:34">
      <c r="A6" s="111">
        <v>92</v>
      </c>
      <c r="B6">
        <v>3635</v>
      </c>
      <c r="C6" s="115" t="s">
        <v>116</v>
      </c>
      <c r="D6" s="115" t="s">
        <v>110</v>
      </c>
      <c r="E6">
        <v>2553</v>
      </c>
      <c r="F6">
        <v>2545</v>
      </c>
      <c r="G6">
        <v>400</v>
      </c>
      <c r="H6" s="115" t="s">
        <v>87</v>
      </c>
      <c r="I6">
        <v>6845</v>
      </c>
      <c r="J6" s="115" t="s">
        <v>402</v>
      </c>
      <c r="K6" s="115" t="s">
        <v>118</v>
      </c>
      <c r="L6">
        <v>3185</v>
      </c>
      <c r="M6">
        <v>3200</v>
      </c>
      <c r="N6">
        <v>300</v>
      </c>
      <c r="O6" s="115" t="s">
        <v>89</v>
      </c>
      <c r="P6">
        <v>0.94157868636478004</v>
      </c>
      <c r="Q6">
        <v>0.92884526768780196</v>
      </c>
      <c r="R6">
        <v>0.10043189609827199</v>
      </c>
      <c r="S6">
        <v>0.157309783205165</v>
      </c>
      <c r="T6">
        <v>-0.342318279977051</v>
      </c>
      <c r="U6">
        <v>0.342318279977051</v>
      </c>
      <c r="V6">
        <v>-0.71</v>
      </c>
      <c r="W6">
        <v>6.04</v>
      </c>
      <c r="X6">
        <v>542091</v>
      </c>
      <c r="Y6">
        <v>31888</v>
      </c>
      <c r="Z6">
        <v>1.61</v>
      </c>
      <c r="AA6">
        <v>17</v>
      </c>
      <c r="AB6">
        <v>14</v>
      </c>
      <c r="AC6">
        <v>3</v>
      </c>
      <c r="AD6">
        <v>82.35</v>
      </c>
      <c r="AE6">
        <v>12</v>
      </c>
      <c r="AF6">
        <v>8</v>
      </c>
      <c r="AG6">
        <v>2</v>
      </c>
      <c r="AH6">
        <v>7</v>
      </c>
    </row>
    <row r="7" spans="1:34">
      <c r="A7" s="111">
        <v>89</v>
      </c>
      <c r="B7">
        <v>4202</v>
      </c>
      <c r="C7" s="115" t="s">
        <v>121</v>
      </c>
      <c r="D7" s="115" t="s">
        <v>88</v>
      </c>
      <c r="E7">
        <v>1082</v>
      </c>
      <c r="F7">
        <v>1092</v>
      </c>
      <c r="G7">
        <v>1000</v>
      </c>
      <c r="H7" s="115" t="s">
        <v>89</v>
      </c>
      <c r="I7">
        <v>7189</v>
      </c>
      <c r="J7" s="115" t="s">
        <v>112</v>
      </c>
      <c r="K7" s="115" t="s">
        <v>113</v>
      </c>
      <c r="L7">
        <v>844</v>
      </c>
      <c r="M7">
        <v>850</v>
      </c>
      <c r="N7">
        <v>1300</v>
      </c>
      <c r="O7" s="115" t="s">
        <v>87</v>
      </c>
      <c r="P7">
        <v>0.96157888021905102</v>
      </c>
      <c r="Q7">
        <v>0.93006982799333104</v>
      </c>
      <c r="R7">
        <v>0.24719280943328001</v>
      </c>
      <c r="S7">
        <v>4.84160149830416E-2</v>
      </c>
      <c r="T7">
        <v>1.2965787364152299</v>
      </c>
      <c r="U7">
        <v>1.2965787364152299</v>
      </c>
      <c r="V7">
        <v>3.51</v>
      </c>
      <c r="W7">
        <v>1.19</v>
      </c>
      <c r="X7">
        <v>532996</v>
      </c>
      <c r="Y7">
        <v>24227</v>
      </c>
      <c r="Z7">
        <v>1.1399999999999999</v>
      </c>
      <c r="AA7">
        <v>22</v>
      </c>
      <c r="AB7">
        <v>15</v>
      </c>
      <c r="AC7">
        <v>7</v>
      </c>
      <c r="AD7">
        <v>68.180000000000007</v>
      </c>
      <c r="AE7">
        <v>14</v>
      </c>
      <c r="AF7">
        <v>10</v>
      </c>
      <c r="AG7">
        <v>2</v>
      </c>
      <c r="AH7">
        <v>10</v>
      </c>
    </row>
    <row r="8" spans="1:34">
      <c r="A8" s="111">
        <v>84</v>
      </c>
      <c r="B8">
        <v>2914</v>
      </c>
      <c r="C8" s="115" t="s">
        <v>129</v>
      </c>
      <c r="D8" s="115" t="s">
        <v>130</v>
      </c>
      <c r="E8">
        <v>2469</v>
      </c>
      <c r="F8">
        <v>2482</v>
      </c>
      <c r="G8">
        <v>400</v>
      </c>
      <c r="H8" s="115" t="s">
        <v>87</v>
      </c>
      <c r="I8">
        <v>7189</v>
      </c>
      <c r="J8" s="115" t="s">
        <v>112</v>
      </c>
      <c r="K8" s="115" t="s">
        <v>113</v>
      </c>
      <c r="L8">
        <v>844</v>
      </c>
      <c r="M8">
        <v>850</v>
      </c>
      <c r="N8">
        <v>1200</v>
      </c>
      <c r="O8" s="115" t="s">
        <v>89</v>
      </c>
      <c r="P8">
        <v>0.95583562928638799</v>
      </c>
      <c r="Q8">
        <v>0.93216669862501</v>
      </c>
      <c r="R8">
        <v>8.8255155903997795E-2</v>
      </c>
      <c r="S8" s="20">
        <v>0.12999177360540901</v>
      </c>
      <c r="T8">
        <v>-1.2636980180141799</v>
      </c>
      <c r="U8">
        <v>1.2636980180141799</v>
      </c>
      <c r="V8">
        <v>-8.81</v>
      </c>
      <c r="W8">
        <v>2.74</v>
      </c>
      <c r="X8">
        <v>526842</v>
      </c>
      <c r="Y8">
        <v>23947</v>
      </c>
      <c r="Z8">
        <v>1.21</v>
      </c>
      <c r="AA8">
        <v>22</v>
      </c>
      <c r="AB8">
        <v>16</v>
      </c>
      <c r="AC8">
        <v>6</v>
      </c>
      <c r="AD8">
        <v>72.73</v>
      </c>
      <c r="AE8">
        <v>14</v>
      </c>
      <c r="AF8">
        <v>12</v>
      </c>
      <c r="AG8">
        <v>3</v>
      </c>
      <c r="AH8">
        <v>7</v>
      </c>
    </row>
    <row r="9" spans="1:34">
      <c r="A9" s="111">
        <v>18</v>
      </c>
      <c r="B9">
        <v>3635</v>
      </c>
      <c r="C9" s="115" t="s">
        <v>116</v>
      </c>
      <c r="D9" s="115" t="s">
        <v>110</v>
      </c>
      <c r="E9">
        <v>2553</v>
      </c>
      <c r="F9">
        <v>2545</v>
      </c>
      <c r="G9">
        <v>300</v>
      </c>
      <c r="H9" s="115" t="s">
        <v>87</v>
      </c>
      <c r="I9">
        <v>6920</v>
      </c>
      <c r="J9" s="115" t="s">
        <v>117</v>
      </c>
      <c r="K9" s="115" t="s">
        <v>118</v>
      </c>
      <c r="L9">
        <v>8640</v>
      </c>
      <c r="M9">
        <v>8660</v>
      </c>
      <c r="N9">
        <v>100</v>
      </c>
      <c r="O9" s="115" t="s">
        <v>89</v>
      </c>
      <c r="P9">
        <v>0.92496772175650399</v>
      </c>
      <c r="Q9">
        <v>0.94991934503958098</v>
      </c>
      <c r="R9">
        <v>0.112382386059578</v>
      </c>
      <c r="S9">
        <v>1.45366332302164E-2</v>
      </c>
      <c r="T9">
        <v>-1.38536663555564</v>
      </c>
      <c r="U9">
        <v>1.38536663555564</v>
      </c>
      <c r="V9">
        <v>-14.61</v>
      </c>
      <c r="W9">
        <v>11.84</v>
      </c>
      <c r="X9">
        <v>518439</v>
      </c>
      <c r="Y9">
        <v>25922</v>
      </c>
      <c r="Z9">
        <v>1.37</v>
      </c>
      <c r="AA9">
        <v>20</v>
      </c>
      <c r="AB9">
        <v>13</v>
      </c>
      <c r="AC9">
        <v>7</v>
      </c>
      <c r="AD9">
        <v>65</v>
      </c>
      <c r="AE9">
        <v>10</v>
      </c>
      <c r="AF9">
        <v>10</v>
      </c>
      <c r="AG9">
        <v>6</v>
      </c>
      <c r="AH9">
        <v>4</v>
      </c>
    </row>
    <row r="10" spans="1:34">
      <c r="A10" s="111">
        <v>121</v>
      </c>
      <c r="B10">
        <v>3291</v>
      </c>
      <c r="C10" s="115" t="s">
        <v>147</v>
      </c>
      <c r="D10" s="115" t="s">
        <v>148</v>
      </c>
      <c r="E10">
        <v>1890</v>
      </c>
      <c r="F10">
        <v>1932</v>
      </c>
      <c r="G10">
        <v>500</v>
      </c>
      <c r="H10" s="115" t="s">
        <v>87</v>
      </c>
      <c r="I10">
        <v>5991</v>
      </c>
      <c r="J10" s="115" t="s">
        <v>149</v>
      </c>
      <c r="K10" s="115" t="s">
        <v>150</v>
      </c>
      <c r="L10">
        <v>953</v>
      </c>
      <c r="M10">
        <v>957</v>
      </c>
      <c r="N10">
        <v>1000</v>
      </c>
      <c r="O10" s="115" t="s">
        <v>89</v>
      </c>
      <c r="P10">
        <v>0.91068387295967002</v>
      </c>
      <c r="Q10">
        <v>0.92416322562632303</v>
      </c>
      <c r="R10">
        <v>3.8446912145528499E-2</v>
      </c>
      <c r="S10">
        <v>3.87384858370542E-2</v>
      </c>
      <c r="T10">
        <v>-0.80250085113074998</v>
      </c>
      <c r="U10">
        <v>0.80250085113074998</v>
      </c>
      <c r="V10">
        <v>-4.1399999999999997</v>
      </c>
      <c r="W10">
        <v>0.93</v>
      </c>
      <c r="X10">
        <v>479157</v>
      </c>
      <c r="Y10">
        <v>23958</v>
      </c>
      <c r="Z10">
        <v>1.1399999999999999</v>
      </c>
      <c r="AA10">
        <v>20</v>
      </c>
      <c r="AB10">
        <v>14</v>
      </c>
      <c r="AC10">
        <v>6</v>
      </c>
      <c r="AD10">
        <v>70</v>
      </c>
      <c r="AE10">
        <v>14</v>
      </c>
      <c r="AF10">
        <v>9</v>
      </c>
      <c r="AG10">
        <v>3</v>
      </c>
      <c r="AH10">
        <v>8</v>
      </c>
    </row>
    <row r="11" spans="1:34">
      <c r="A11" s="111">
        <v>130</v>
      </c>
      <c r="B11">
        <v>3101</v>
      </c>
      <c r="C11" s="115" t="s">
        <v>389</v>
      </c>
      <c r="D11" s="115" t="s">
        <v>203</v>
      </c>
      <c r="E11">
        <v>1590</v>
      </c>
      <c r="F11">
        <v>1592</v>
      </c>
      <c r="G11">
        <v>600</v>
      </c>
      <c r="H11" s="115" t="s">
        <v>87</v>
      </c>
      <c r="I11">
        <v>3116</v>
      </c>
      <c r="J11" s="115" t="s">
        <v>172</v>
      </c>
      <c r="K11" s="115" t="s">
        <v>115</v>
      </c>
      <c r="L11">
        <v>1698</v>
      </c>
      <c r="M11">
        <v>1694</v>
      </c>
      <c r="N11">
        <v>600</v>
      </c>
      <c r="O11" s="115" t="s">
        <v>89</v>
      </c>
      <c r="P11">
        <v>0.95288726829010395</v>
      </c>
      <c r="Q11">
        <v>0.92296388676068897</v>
      </c>
      <c r="R11">
        <v>0.30391028432107198</v>
      </c>
      <c r="S11">
        <v>5.2435735178213802E-2</v>
      </c>
      <c r="T11">
        <v>-1.84043295265943E-2</v>
      </c>
      <c r="U11">
        <v>1.84043295265943E-2</v>
      </c>
      <c r="V11">
        <v>-0.04</v>
      </c>
      <c r="W11">
        <v>6.02</v>
      </c>
      <c r="X11">
        <v>469716</v>
      </c>
      <c r="Y11">
        <v>21351</v>
      </c>
      <c r="Z11">
        <v>1.06</v>
      </c>
      <c r="AA11">
        <v>22</v>
      </c>
      <c r="AB11">
        <v>16</v>
      </c>
      <c r="AC11">
        <v>6</v>
      </c>
      <c r="AD11">
        <v>72.73</v>
      </c>
      <c r="AE11">
        <v>10</v>
      </c>
      <c r="AF11">
        <v>13</v>
      </c>
      <c r="AG11">
        <v>5</v>
      </c>
      <c r="AH11">
        <v>4</v>
      </c>
    </row>
    <row r="12" spans="1:34">
      <c r="A12" s="111">
        <v>96</v>
      </c>
      <c r="B12">
        <v>5463</v>
      </c>
      <c r="C12" s="115" t="s">
        <v>202</v>
      </c>
      <c r="D12" s="115" t="s">
        <v>125</v>
      </c>
      <c r="E12">
        <v>3215</v>
      </c>
      <c r="F12">
        <v>3200</v>
      </c>
      <c r="G12">
        <v>300</v>
      </c>
      <c r="H12" s="115" t="s">
        <v>89</v>
      </c>
      <c r="I12">
        <v>7278</v>
      </c>
      <c r="J12" s="115" t="s">
        <v>114</v>
      </c>
      <c r="K12" s="115" t="s">
        <v>115</v>
      </c>
      <c r="L12">
        <v>2389</v>
      </c>
      <c r="M12">
        <v>2377</v>
      </c>
      <c r="N12">
        <v>400</v>
      </c>
      <c r="O12" s="115" t="s">
        <v>87</v>
      </c>
      <c r="P12">
        <v>0.90516826081903501</v>
      </c>
      <c r="Q12">
        <v>0.92708250203550102</v>
      </c>
      <c r="R12">
        <v>7.6918352981552293E-2</v>
      </c>
      <c r="S12">
        <v>1.37299476828724E-2</v>
      </c>
      <c r="T12">
        <v>0.638674149899775</v>
      </c>
      <c r="U12">
        <v>0.638674149899775</v>
      </c>
      <c r="V12">
        <v>2.37</v>
      </c>
      <c r="W12">
        <v>0.96</v>
      </c>
      <c r="X12">
        <v>431572</v>
      </c>
      <c r="Y12">
        <v>26973</v>
      </c>
      <c r="Z12">
        <v>1.51</v>
      </c>
      <c r="AA12">
        <v>16</v>
      </c>
      <c r="AB12">
        <v>12</v>
      </c>
      <c r="AC12">
        <v>4</v>
      </c>
      <c r="AD12">
        <v>75</v>
      </c>
      <c r="AE12">
        <v>13</v>
      </c>
      <c r="AF12">
        <v>8</v>
      </c>
      <c r="AG12">
        <v>1</v>
      </c>
      <c r="AH12">
        <v>7</v>
      </c>
    </row>
    <row r="13" spans="1:34">
      <c r="A13" s="111">
        <v>25</v>
      </c>
      <c r="B13">
        <v>6645</v>
      </c>
      <c r="C13" s="115" t="s">
        <v>165</v>
      </c>
      <c r="D13" s="115" t="s">
        <v>118</v>
      </c>
      <c r="E13">
        <v>6400</v>
      </c>
      <c r="F13">
        <v>6320</v>
      </c>
      <c r="G13">
        <v>100</v>
      </c>
      <c r="H13" s="115" t="s">
        <v>87</v>
      </c>
      <c r="I13">
        <v>6967</v>
      </c>
      <c r="J13" s="115" t="s">
        <v>408</v>
      </c>
      <c r="K13" s="115" t="s">
        <v>118</v>
      </c>
      <c r="L13">
        <v>1075</v>
      </c>
      <c r="M13">
        <v>1067</v>
      </c>
      <c r="N13">
        <v>600</v>
      </c>
      <c r="O13" s="115" t="s">
        <v>89</v>
      </c>
      <c r="P13">
        <v>0.966723264789354</v>
      </c>
      <c r="Q13">
        <v>0.94745946560619798</v>
      </c>
      <c r="R13">
        <v>5.2637806332622099E-2</v>
      </c>
      <c r="S13">
        <v>2.6201757195844001E-3</v>
      </c>
      <c r="T13">
        <v>-1.1663088725512101</v>
      </c>
      <c r="U13">
        <v>1.1663088725512101</v>
      </c>
      <c r="V13">
        <v>-3.69</v>
      </c>
      <c r="W13">
        <v>1.3</v>
      </c>
      <c r="X13">
        <v>423512</v>
      </c>
      <c r="Y13">
        <v>23528</v>
      </c>
      <c r="Z13">
        <v>1.38</v>
      </c>
      <c r="AA13">
        <v>18</v>
      </c>
      <c r="AB13">
        <v>13</v>
      </c>
      <c r="AC13">
        <v>5</v>
      </c>
      <c r="AD13">
        <v>72.22</v>
      </c>
      <c r="AE13">
        <v>11</v>
      </c>
      <c r="AF13">
        <v>11</v>
      </c>
      <c r="AG13">
        <v>2</v>
      </c>
      <c r="AH13">
        <v>5</v>
      </c>
    </row>
    <row r="14" spans="1:34">
      <c r="A14" s="111">
        <v>196</v>
      </c>
      <c r="B14">
        <v>2175</v>
      </c>
      <c r="C14" s="115" t="s">
        <v>447</v>
      </c>
      <c r="D14" s="115" t="s">
        <v>158</v>
      </c>
      <c r="E14">
        <v>2884</v>
      </c>
      <c r="F14">
        <v>2959</v>
      </c>
      <c r="G14">
        <v>300</v>
      </c>
      <c r="H14" s="115" t="s">
        <v>89</v>
      </c>
      <c r="I14">
        <v>6951</v>
      </c>
      <c r="J14" s="115" t="s">
        <v>434</v>
      </c>
      <c r="K14" s="115" t="s">
        <v>118</v>
      </c>
      <c r="L14">
        <v>2914</v>
      </c>
      <c r="M14">
        <v>2849</v>
      </c>
      <c r="N14">
        <v>300</v>
      </c>
      <c r="O14" s="115" t="s">
        <v>87</v>
      </c>
      <c r="P14">
        <v>0.907164318756014</v>
      </c>
      <c r="Q14">
        <v>0.91344112285354095</v>
      </c>
      <c r="R14">
        <v>1.59157760435976E-3</v>
      </c>
      <c r="S14">
        <v>0.13134537598405899</v>
      </c>
      <c r="T14">
        <v>0.35813552233759199</v>
      </c>
      <c r="U14">
        <v>0.35813552233759199</v>
      </c>
      <c r="V14">
        <v>1.78</v>
      </c>
      <c r="W14">
        <v>3.72</v>
      </c>
      <c r="X14">
        <v>423169</v>
      </c>
      <c r="Y14">
        <v>20151</v>
      </c>
      <c r="Z14">
        <v>0.95</v>
      </c>
      <c r="AA14">
        <v>21</v>
      </c>
      <c r="AB14">
        <v>13</v>
      </c>
      <c r="AC14">
        <v>8</v>
      </c>
      <c r="AD14">
        <v>61.9</v>
      </c>
      <c r="AE14">
        <v>10</v>
      </c>
      <c r="AF14">
        <v>12</v>
      </c>
      <c r="AG14">
        <v>6</v>
      </c>
      <c r="AH14">
        <v>3</v>
      </c>
    </row>
    <row r="15" spans="1:34">
      <c r="A15" s="111">
        <v>214</v>
      </c>
      <c r="B15">
        <v>6371</v>
      </c>
      <c r="C15" s="115" t="s">
        <v>142</v>
      </c>
      <c r="D15" s="115" t="s">
        <v>133</v>
      </c>
      <c r="E15">
        <v>3765</v>
      </c>
      <c r="F15">
        <v>3780</v>
      </c>
      <c r="G15">
        <v>200</v>
      </c>
      <c r="H15" s="115" t="s">
        <v>87</v>
      </c>
      <c r="I15">
        <v>7278</v>
      </c>
      <c r="J15" s="115" t="s">
        <v>114</v>
      </c>
      <c r="K15" s="115" t="s">
        <v>115</v>
      </c>
      <c r="L15">
        <v>2389</v>
      </c>
      <c r="M15">
        <v>2377</v>
      </c>
      <c r="N15">
        <v>300</v>
      </c>
      <c r="O15" s="115" t="s">
        <v>89</v>
      </c>
      <c r="P15">
        <v>0.96408175074703095</v>
      </c>
      <c r="Q15">
        <v>0.91070787676090503</v>
      </c>
      <c r="R15" s="20">
        <v>6.5654234846704404E-4</v>
      </c>
      <c r="S15">
        <v>2.1148070390466699E-2</v>
      </c>
      <c r="T15">
        <v>-0.53936344992422902</v>
      </c>
      <c r="U15">
        <v>0.53936344992422902</v>
      </c>
      <c r="V15">
        <v>-1.28</v>
      </c>
      <c r="W15">
        <v>5.67</v>
      </c>
      <c r="X15">
        <v>415459</v>
      </c>
      <c r="Y15">
        <v>41546</v>
      </c>
      <c r="Z15">
        <v>2.39</v>
      </c>
      <c r="AA15">
        <v>10</v>
      </c>
      <c r="AB15">
        <v>8</v>
      </c>
      <c r="AC15">
        <v>2</v>
      </c>
      <c r="AD15">
        <v>80</v>
      </c>
      <c r="AE15">
        <v>10</v>
      </c>
      <c r="AF15">
        <v>6</v>
      </c>
      <c r="AG15">
        <v>0</v>
      </c>
      <c r="AH15">
        <v>4</v>
      </c>
    </row>
    <row r="16" spans="1:34">
      <c r="A16" s="111">
        <v>119</v>
      </c>
      <c r="B16">
        <v>1973</v>
      </c>
      <c r="C16" s="115" t="s">
        <v>409</v>
      </c>
      <c r="D16" s="115" t="s">
        <v>110</v>
      </c>
      <c r="E16">
        <v>3475</v>
      </c>
      <c r="F16">
        <v>3510</v>
      </c>
      <c r="G16">
        <v>300</v>
      </c>
      <c r="H16" s="115" t="s">
        <v>89</v>
      </c>
      <c r="I16">
        <v>6845</v>
      </c>
      <c r="J16" s="115" t="s">
        <v>402</v>
      </c>
      <c r="K16" s="115" t="s">
        <v>118</v>
      </c>
      <c r="L16">
        <v>3185</v>
      </c>
      <c r="M16">
        <v>3200</v>
      </c>
      <c r="N16">
        <v>300</v>
      </c>
      <c r="O16" s="115" t="s">
        <v>87</v>
      </c>
      <c r="P16">
        <v>0.91753484682146802</v>
      </c>
      <c r="Q16">
        <v>0.92436422628849602</v>
      </c>
      <c r="R16">
        <v>9.4425492364077004E-3</v>
      </c>
      <c r="S16">
        <v>1.2025469122410001E-3</v>
      </c>
      <c r="T16">
        <v>1.5966901128865501</v>
      </c>
      <c r="U16">
        <v>1.5966901128865501</v>
      </c>
      <c r="V16">
        <v>5.51</v>
      </c>
      <c r="W16">
        <v>8.83</v>
      </c>
      <c r="X16">
        <v>410608</v>
      </c>
      <c r="Y16">
        <v>31585</v>
      </c>
      <c r="Z16">
        <v>1.58</v>
      </c>
      <c r="AA16">
        <v>13</v>
      </c>
      <c r="AB16">
        <v>10</v>
      </c>
      <c r="AC16">
        <v>3</v>
      </c>
      <c r="AD16">
        <v>76.92</v>
      </c>
      <c r="AE16">
        <v>10</v>
      </c>
      <c r="AF16">
        <v>8</v>
      </c>
      <c r="AG16">
        <v>2</v>
      </c>
      <c r="AH16">
        <v>3</v>
      </c>
    </row>
    <row r="17" spans="1:34">
      <c r="A17" s="111">
        <v>144</v>
      </c>
      <c r="B17">
        <v>7278</v>
      </c>
      <c r="C17" s="115" t="s">
        <v>114</v>
      </c>
      <c r="D17" s="115" t="s">
        <v>115</v>
      </c>
      <c r="E17">
        <v>2389</v>
      </c>
      <c r="F17">
        <v>2377</v>
      </c>
      <c r="G17">
        <v>400</v>
      </c>
      <c r="H17" s="115" t="s">
        <v>89</v>
      </c>
      <c r="I17">
        <v>8002</v>
      </c>
      <c r="J17" s="115" t="s">
        <v>57</v>
      </c>
      <c r="K17" s="115" t="s">
        <v>135</v>
      </c>
      <c r="L17">
        <v>794.1</v>
      </c>
      <c r="M17">
        <v>797.4</v>
      </c>
      <c r="N17">
        <v>1200</v>
      </c>
      <c r="O17" s="115" t="s">
        <v>87</v>
      </c>
      <c r="P17">
        <v>0.90929090013680902</v>
      </c>
      <c r="Q17">
        <v>0.920334330997441</v>
      </c>
      <c r="R17">
        <v>0.28919935741354702</v>
      </c>
      <c r="S17">
        <v>7.5507177850632603E-3</v>
      </c>
      <c r="T17">
        <v>9.6696663567108404E-2</v>
      </c>
      <c r="U17">
        <v>9.6696663567108404E-2</v>
      </c>
      <c r="V17">
        <v>0.34</v>
      </c>
      <c r="W17">
        <v>0.64</v>
      </c>
      <c r="X17">
        <v>407932</v>
      </c>
      <c r="Y17">
        <v>23996</v>
      </c>
      <c r="Z17">
        <v>1.2</v>
      </c>
      <c r="AA17">
        <v>17</v>
      </c>
      <c r="AB17">
        <v>11</v>
      </c>
      <c r="AC17">
        <v>6</v>
      </c>
      <c r="AD17">
        <v>64.709999999999994</v>
      </c>
      <c r="AE17">
        <v>13</v>
      </c>
      <c r="AF17">
        <v>7</v>
      </c>
      <c r="AG17">
        <v>0</v>
      </c>
      <c r="AH17">
        <v>10</v>
      </c>
    </row>
    <row r="18" spans="1:34">
      <c r="A18" s="111">
        <v>160</v>
      </c>
      <c r="B18">
        <v>3387</v>
      </c>
      <c r="C18" s="115" t="s">
        <v>398</v>
      </c>
      <c r="D18" s="115" t="s">
        <v>128</v>
      </c>
      <c r="E18">
        <v>1878</v>
      </c>
      <c r="F18">
        <v>1889</v>
      </c>
      <c r="G18">
        <v>500</v>
      </c>
      <c r="H18" s="115" t="s">
        <v>87</v>
      </c>
      <c r="I18">
        <v>9684</v>
      </c>
      <c r="J18" s="115" t="s">
        <v>446</v>
      </c>
      <c r="K18" s="115" t="s">
        <v>110</v>
      </c>
      <c r="L18">
        <v>5200</v>
      </c>
      <c r="M18">
        <v>5160</v>
      </c>
      <c r="N18">
        <v>200</v>
      </c>
      <c r="O18" s="115" t="s">
        <v>89</v>
      </c>
      <c r="P18">
        <v>0.90853654128167305</v>
      </c>
      <c r="Q18">
        <v>0.91780912060022801</v>
      </c>
      <c r="R18">
        <v>0.116246549851098</v>
      </c>
      <c r="S18">
        <v>3.5216044852160497E-2</v>
      </c>
      <c r="T18">
        <v>-0.64143933539769804</v>
      </c>
      <c r="U18">
        <v>0.64143933539769804</v>
      </c>
      <c r="V18">
        <v>-3.15</v>
      </c>
      <c r="W18">
        <v>8.48</v>
      </c>
      <c r="X18">
        <v>404929</v>
      </c>
      <c r="Y18">
        <v>20246</v>
      </c>
      <c r="Z18">
        <v>1.08</v>
      </c>
      <c r="AA18">
        <v>20</v>
      </c>
      <c r="AB18">
        <v>14</v>
      </c>
      <c r="AC18">
        <v>6</v>
      </c>
      <c r="AD18">
        <v>70</v>
      </c>
      <c r="AE18">
        <v>10</v>
      </c>
      <c r="AF18">
        <v>12</v>
      </c>
      <c r="AG18">
        <v>4</v>
      </c>
      <c r="AH18">
        <v>4</v>
      </c>
    </row>
    <row r="19" spans="1:34">
      <c r="A19" s="111">
        <v>127</v>
      </c>
      <c r="B19">
        <v>5802</v>
      </c>
      <c r="C19" s="115" t="s">
        <v>181</v>
      </c>
      <c r="D19" s="115" t="s">
        <v>182</v>
      </c>
      <c r="E19">
        <v>1526.5</v>
      </c>
      <c r="F19">
        <v>1526.5</v>
      </c>
      <c r="G19">
        <v>500</v>
      </c>
      <c r="H19" s="115" t="s">
        <v>89</v>
      </c>
      <c r="I19">
        <v>6371</v>
      </c>
      <c r="J19" s="115" t="s">
        <v>142</v>
      </c>
      <c r="K19" s="115" t="s">
        <v>133</v>
      </c>
      <c r="L19">
        <v>3765</v>
      </c>
      <c r="M19">
        <v>3780</v>
      </c>
      <c r="N19">
        <v>200</v>
      </c>
      <c r="O19" s="115" t="s">
        <v>87</v>
      </c>
      <c r="P19">
        <v>0.98511749822024297</v>
      </c>
      <c r="Q19">
        <v>0.92323959358787899</v>
      </c>
      <c r="R19">
        <v>2.10782256704398E-3</v>
      </c>
      <c r="S19">
        <v>1.8879696287888902E-2</v>
      </c>
      <c r="T19">
        <v>0.88592756878064305</v>
      </c>
      <c r="U19">
        <v>0.88592756878064305</v>
      </c>
      <c r="V19">
        <v>2.14</v>
      </c>
      <c r="W19">
        <v>0.96</v>
      </c>
      <c r="X19">
        <v>401064</v>
      </c>
      <c r="Y19">
        <v>28647</v>
      </c>
      <c r="Z19">
        <v>1.48</v>
      </c>
      <c r="AA19">
        <v>14</v>
      </c>
      <c r="AB19">
        <v>9</v>
      </c>
      <c r="AC19">
        <v>5</v>
      </c>
      <c r="AD19">
        <v>64.290000000000006</v>
      </c>
      <c r="AE19">
        <v>12</v>
      </c>
      <c r="AF19">
        <v>6</v>
      </c>
      <c r="AG19">
        <v>1</v>
      </c>
      <c r="AH19">
        <v>7</v>
      </c>
    </row>
    <row r="20" spans="1:34">
      <c r="A20" s="111">
        <v>3</v>
      </c>
      <c r="B20">
        <v>3048</v>
      </c>
      <c r="C20" s="115" t="s">
        <v>410</v>
      </c>
      <c r="D20" s="115" t="s">
        <v>128</v>
      </c>
      <c r="E20">
        <v>1207</v>
      </c>
      <c r="F20">
        <v>1199</v>
      </c>
      <c r="G20">
        <v>900</v>
      </c>
      <c r="H20" s="115" t="s">
        <v>87</v>
      </c>
      <c r="I20">
        <v>4530</v>
      </c>
      <c r="J20" s="115" t="s">
        <v>199</v>
      </c>
      <c r="K20" s="115" t="s">
        <v>194</v>
      </c>
      <c r="L20">
        <v>5250</v>
      </c>
      <c r="M20">
        <v>5210</v>
      </c>
      <c r="N20">
        <v>200</v>
      </c>
      <c r="O20" s="115" t="s">
        <v>89</v>
      </c>
      <c r="P20">
        <v>0.919326048854337</v>
      </c>
      <c r="Q20">
        <v>0.96723591061603997</v>
      </c>
      <c r="R20">
        <v>6.8924704678544294E-2</v>
      </c>
      <c r="S20">
        <v>0.18124114004890199</v>
      </c>
      <c r="T20">
        <v>-1.30367299416008</v>
      </c>
      <c r="U20">
        <v>1.30367299416008</v>
      </c>
      <c r="V20">
        <v>-4.9000000000000004</v>
      </c>
      <c r="W20">
        <v>3.56</v>
      </c>
      <c r="X20">
        <v>397181</v>
      </c>
      <c r="Y20">
        <v>18913</v>
      </c>
      <c r="Z20">
        <v>1.1599999999999999</v>
      </c>
      <c r="AA20">
        <v>21</v>
      </c>
      <c r="AB20">
        <v>14</v>
      </c>
      <c r="AC20">
        <v>7</v>
      </c>
      <c r="AD20">
        <v>66.67</v>
      </c>
      <c r="AE20">
        <v>11</v>
      </c>
      <c r="AF20">
        <v>12</v>
      </c>
      <c r="AG20">
        <v>4</v>
      </c>
      <c r="AH20">
        <v>5</v>
      </c>
    </row>
    <row r="21" spans="1:34">
      <c r="A21" s="111">
        <v>163</v>
      </c>
      <c r="B21">
        <v>6134</v>
      </c>
      <c r="C21" s="115" t="s">
        <v>168</v>
      </c>
      <c r="D21" s="115" t="s">
        <v>133</v>
      </c>
      <c r="E21">
        <v>1964</v>
      </c>
      <c r="F21">
        <v>1923</v>
      </c>
      <c r="G21">
        <v>500</v>
      </c>
      <c r="H21" s="115" t="s">
        <v>89</v>
      </c>
      <c r="I21">
        <v>6135</v>
      </c>
      <c r="J21" s="115" t="s">
        <v>405</v>
      </c>
      <c r="K21" s="115" t="s">
        <v>133</v>
      </c>
      <c r="L21">
        <v>5250</v>
      </c>
      <c r="M21">
        <v>5220</v>
      </c>
      <c r="N21">
        <v>200</v>
      </c>
      <c r="O21" s="115" t="s">
        <v>87</v>
      </c>
      <c r="P21">
        <v>0.93541856644837296</v>
      </c>
      <c r="Q21">
        <v>0.91733180579493701</v>
      </c>
      <c r="R21">
        <v>0.160411688859356</v>
      </c>
      <c r="S21">
        <v>5.0685176582392797E-3</v>
      </c>
      <c r="T21">
        <v>1.9635427977095501</v>
      </c>
      <c r="U21">
        <v>1.9635427977095501</v>
      </c>
      <c r="V21">
        <v>8.3800000000000008</v>
      </c>
      <c r="W21">
        <v>7.9</v>
      </c>
      <c r="X21">
        <v>395205</v>
      </c>
      <c r="Y21">
        <v>19760</v>
      </c>
      <c r="Z21">
        <v>1.2</v>
      </c>
      <c r="AA21">
        <v>20</v>
      </c>
      <c r="AB21">
        <v>12</v>
      </c>
      <c r="AC21">
        <v>8</v>
      </c>
      <c r="AD21">
        <v>60</v>
      </c>
      <c r="AE21">
        <v>11</v>
      </c>
      <c r="AF21">
        <v>11</v>
      </c>
      <c r="AG21">
        <v>5</v>
      </c>
      <c r="AH21">
        <v>4</v>
      </c>
    </row>
    <row r="22" spans="1:34">
      <c r="A22" s="111">
        <v>31</v>
      </c>
      <c r="B22">
        <v>7181</v>
      </c>
      <c r="C22" s="115" t="s">
        <v>195</v>
      </c>
      <c r="D22" s="115" t="s">
        <v>144</v>
      </c>
      <c r="E22">
        <v>1844</v>
      </c>
      <c r="F22">
        <v>1838</v>
      </c>
      <c r="G22">
        <v>500</v>
      </c>
      <c r="H22" s="115" t="s">
        <v>87</v>
      </c>
      <c r="I22">
        <v>7189</v>
      </c>
      <c r="J22" s="115" t="s">
        <v>112</v>
      </c>
      <c r="K22" s="115" t="s">
        <v>113</v>
      </c>
      <c r="L22">
        <v>844</v>
      </c>
      <c r="M22">
        <v>850</v>
      </c>
      <c r="N22">
        <v>1100</v>
      </c>
      <c r="O22" s="115" t="s">
        <v>89</v>
      </c>
      <c r="P22">
        <v>0.94047111039234199</v>
      </c>
      <c r="Q22">
        <v>0.94426517037489599</v>
      </c>
      <c r="R22" s="20">
        <v>3.3790547125652798E-2</v>
      </c>
      <c r="S22">
        <v>8.3674167042326303E-2</v>
      </c>
      <c r="T22">
        <v>-0.63193780446129799</v>
      </c>
      <c r="U22">
        <v>0.63193780446129799</v>
      </c>
      <c r="V22">
        <v>-3.35</v>
      </c>
      <c r="W22">
        <v>1.74</v>
      </c>
      <c r="X22">
        <v>378055</v>
      </c>
      <c r="Y22">
        <v>15752</v>
      </c>
      <c r="Z22">
        <v>0.8</v>
      </c>
      <c r="AA22">
        <v>24</v>
      </c>
      <c r="AB22">
        <v>15</v>
      </c>
      <c r="AC22">
        <v>9</v>
      </c>
      <c r="AD22">
        <v>62.5</v>
      </c>
      <c r="AE22">
        <v>10</v>
      </c>
      <c r="AF22">
        <v>12</v>
      </c>
      <c r="AG22">
        <v>4</v>
      </c>
      <c r="AH22">
        <v>8</v>
      </c>
    </row>
    <row r="23" spans="1:34">
      <c r="A23" s="111">
        <v>263</v>
      </c>
      <c r="B23">
        <v>3861</v>
      </c>
      <c r="C23" s="115" t="s">
        <v>92</v>
      </c>
      <c r="D23" s="115" t="s">
        <v>111</v>
      </c>
      <c r="E23">
        <v>596</v>
      </c>
      <c r="F23">
        <v>591</v>
      </c>
      <c r="G23">
        <v>1800</v>
      </c>
      <c r="H23" s="115" t="s">
        <v>89</v>
      </c>
      <c r="I23">
        <v>4118</v>
      </c>
      <c r="J23" s="115" t="s">
        <v>91</v>
      </c>
      <c r="K23" s="115" t="s">
        <v>88</v>
      </c>
      <c r="L23">
        <v>3595</v>
      </c>
      <c r="M23">
        <v>3580</v>
      </c>
      <c r="N23">
        <v>300</v>
      </c>
      <c r="O23" s="115" t="s">
        <v>87</v>
      </c>
      <c r="P23">
        <v>0.92138183434739696</v>
      </c>
      <c r="Q23">
        <v>0.90429221576800201</v>
      </c>
      <c r="R23" s="20">
        <v>0.34854593857944599</v>
      </c>
      <c r="S23">
        <v>0.13272904785311601</v>
      </c>
      <c r="T23">
        <v>1.4549551646594701</v>
      </c>
      <c r="U23">
        <v>1.4549551646594701</v>
      </c>
      <c r="V23">
        <v>6.5</v>
      </c>
      <c r="W23">
        <v>0.95</v>
      </c>
      <c r="X23">
        <v>374526</v>
      </c>
      <c r="Y23">
        <v>22031</v>
      </c>
      <c r="Z23">
        <v>1.2</v>
      </c>
      <c r="AA23">
        <v>17</v>
      </c>
      <c r="AB23">
        <v>11</v>
      </c>
      <c r="AC23">
        <v>6</v>
      </c>
      <c r="AD23">
        <v>64.709999999999994</v>
      </c>
      <c r="AE23">
        <v>13</v>
      </c>
      <c r="AF23">
        <v>7</v>
      </c>
      <c r="AG23">
        <v>1</v>
      </c>
      <c r="AH23">
        <v>9</v>
      </c>
    </row>
    <row r="24" spans="1:34">
      <c r="A24" s="111">
        <v>204</v>
      </c>
      <c r="B24">
        <v>1973</v>
      </c>
      <c r="C24" s="115" t="s">
        <v>409</v>
      </c>
      <c r="D24" s="115" t="s">
        <v>110</v>
      </c>
      <c r="E24">
        <v>3475</v>
      </c>
      <c r="F24">
        <v>3510</v>
      </c>
      <c r="G24">
        <v>300</v>
      </c>
      <c r="H24" s="115" t="s">
        <v>89</v>
      </c>
      <c r="I24">
        <v>3635</v>
      </c>
      <c r="J24" s="115" t="s">
        <v>116</v>
      </c>
      <c r="K24" s="115" t="s">
        <v>110</v>
      </c>
      <c r="L24">
        <v>2553</v>
      </c>
      <c r="M24">
        <v>2545</v>
      </c>
      <c r="N24">
        <v>400</v>
      </c>
      <c r="O24" s="115" t="s">
        <v>87</v>
      </c>
      <c r="P24">
        <v>0.95768456871790497</v>
      </c>
      <c r="Q24">
        <v>0.91272784397538098</v>
      </c>
      <c r="R24" s="20">
        <v>5.1105429905714199E-2</v>
      </c>
      <c r="S24">
        <v>3.1863141160267998E-2</v>
      </c>
      <c r="T24">
        <v>2.2911254144750002</v>
      </c>
      <c r="U24">
        <v>2.2911254144750002</v>
      </c>
      <c r="V24">
        <v>6.19</v>
      </c>
      <c r="W24">
        <v>3.32</v>
      </c>
      <c r="X24">
        <v>374173</v>
      </c>
      <c r="Y24">
        <v>24945</v>
      </c>
      <c r="Z24">
        <v>1.33</v>
      </c>
      <c r="AA24">
        <v>15</v>
      </c>
      <c r="AB24">
        <v>11</v>
      </c>
      <c r="AC24">
        <v>4</v>
      </c>
      <c r="AD24">
        <v>73.33</v>
      </c>
      <c r="AE24">
        <v>13</v>
      </c>
      <c r="AF24">
        <v>7</v>
      </c>
      <c r="AG24">
        <v>1</v>
      </c>
      <c r="AH24">
        <v>7</v>
      </c>
    </row>
    <row r="25" spans="1:34">
      <c r="A25" s="111">
        <v>151</v>
      </c>
      <c r="B25">
        <v>8242</v>
      </c>
      <c r="C25" s="115" t="s">
        <v>159</v>
      </c>
      <c r="D25" s="115" t="s">
        <v>128</v>
      </c>
      <c r="E25">
        <v>1210</v>
      </c>
      <c r="F25">
        <v>1198</v>
      </c>
      <c r="G25">
        <v>900</v>
      </c>
      <c r="H25" s="115" t="s">
        <v>87</v>
      </c>
      <c r="I25">
        <v>8308</v>
      </c>
      <c r="J25" s="115" t="s">
        <v>136</v>
      </c>
      <c r="K25" s="115" t="s">
        <v>113</v>
      </c>
      <c r="L25">
        <v>468.7</v>
      </c>
      <c r="M25">
        <v>466.8</v>
      </c>
      <c r="N25">
        <v>2300</v>
      </c>
      <c r="O25" s="115" t="s">
        <v>89</v>
      </c>
      <c r="P25">
        <v>0.92809040186377401</v>
      </c>
      <c r="Q25">
        <v>0.91914250884787396</v>
      </c>
      <c r="R25">
        <v>0.310983314671893</v>
      </c>
      <c r="S25">
        <v>0.291151888423895</v>
      </c>
      <c r="T25">
        <v>-1.22885456729442</v>
      </c>
      <c r="U25">
        <v>1.22885456729442</v>
      </c>
      <c r="V25">
        <v>-2.7</v>
      </c>
      <c r="W25">
        <v>0.42</v>
      </c>
      <c r="X25">
        <v>368092</v>
      </c>
      <c r="Y25">
        <v>19373</v>
      </c>
      <c r="Z25">
        <v>0.98</v>
      </c>
      <c r="AA25">
        <v>19</v>
      </c>
      <c r="AB25">
        <v>13</v>
      </c>
      <c r="AC25">
        <v>6</v>
      </c>
      <c r="AD25">
        <v>68.42</v>
      </c>
      <c r="AE25">
        <v>12</v>
      </c>
      <c r="AF25">
        <v>10</v>
      </c>
      <c r="AG25">
        <v>2</v>
      </c>
      <c r="AH25">
        <v>7</v>
      </c>
    </row>
    <row r="26" spans="1:34">
      <c r="A26" s="111">
        <v>145</v>
      </c>
      <c r="B26">
        <v>4182</v>
      </c>
      <c r="C26" s="115" t="s">
        <v>119</v>
      </c>
      <c r="D26" s="115" t="s">
        <v>88</v>
      </c>
      <c r="E26">
        <v>1620</v>
      </c>
      <c r="F26">
        <v>1632</v>
      </c>
      <c r="G26">
        <v>600</v>
      </c>
      <c r="H26" s="115" t="s">
        <v>89</v>
      </c>
      <c r="I26">
        <v>4208</v>
      </c>
      <c r="J26" s="115" t="s">
        <v>131</v>
      </c>
      <c r="K26" s="115" t="s">
        <v>88</v>
      </c>
      <c r="L26">
        <v>2301</v>
      </c>
      <c r="M26">
        <v>2286</v>
      </c>
      <c r="N26">
        <v>400</v>
      </c>
      <c r="O26" s="115" t="s">
        <v>87</v>
      </c>
      <c r="P26">
        <v>0.96569154807789404</v>
      </c>
      <c r="Q26">
        <v>0.920236069661725</v>
      </c>
      <c r="R26">
        <v>2.0545525292925198E-3</v>
      </c>
      <c r="S26">
        <v>0.191203985428681</v>
      </c>
      <c r="T26">
        <v>2.0216253615383999</v>
      </c>
      <c r="U26">
        <v>2.0216253615383999</v>
      </c>
      <c r="V26">
        <v>8.84</v>
      </c>
      <c r="W26">
        <v>7.09</v>
      </c>
      <c r="X26">
        <v>367918</v>
      </c>
      <c r="Y26">
        <v>19364</v>
      </c>
      <c r="Z26">
        <v>1</v>
      </c>
      <c r="AA26">
        <v>19</v>
      </c>
      <c r="AB26">
        <v>14</v>
      </c>
      <c r="AC26">
        <v>5</v>
      </c>
      <c r="AD26">
        <v>73.680000000000007</v>
      </c>
      <c r="AE26">
        <v>13</v>
      </c>
      <c r="AF26">
        <v>9</v>
      </c>
      <c r="AG26">
        <v>2</v>
      </c>
      <c r="AH26">
        <v>8</v>
      </c>
    </row>
    <row r="27" spans="1:34">
      <c r="A27" s="111">
        <v>256</v>
      </c>
      <c r="B27">
        <v>5802</v>
      </c>
      <c r="C27" s="115" t="s">
        <v>181</v>
      </c>
      <c r="D27" s="115" t="s">
        <v>182</v>
      </c>
      <c r="E27">
        <v>1526.5</v>
      </c>
      <c r="F27">
        <v>1526.5</v>
      </c>
      <c r="G27">
        <v>600</v>
      </c>
      <c r="H27" s="115" t="s">
        <v>89</v>
      </c>
      <c r="I27">
        <v>7278</v>
      </c>
      <c r="J27" s="115" t="s">
        <v>114</v>
      </c>
      <c r="K27" s="115" t="s">
        <v>115</v>
      </c>
      <c r="L27">
        <v>2389</v>
      </c>
      <c r="M27">
        <v>2377</v>
      </c>
      <c r="N27">
        <v>400</v>
      </c>
      <c r="O27" s="115" t="s">
        <v>87</v>
      </c>
      <c r="P27">
        <v>0.960550762146957</v>
      </c>
      <c r="Q27">
        <v>0.905360828393729</v>
      </c>
      <c r="R27" s="20">
        <v>0.11680244986475299</v>
      </c>
      <c r="S27">
        <v>5.4026813705000398E-2</v>
      </c>
      <c r="T27">
        <v>0.40461676929731</v>
      </c>
      <c r="U27">
        <v>0.40461676929731</v>
      </c>
      <c r="V27">
        <v>0.91</v>
      </c>
      <c r="W27">
        <v>3.67</v>
      </c>
      <c r="X27">
        <v>356854</v>
      </c>
      <c r="Y27">
        <v>20991</v>
      </c>
      <c r="Z27">
        <v>1.05</v>
      </c>
      <c r="AA27">
        <v>17</v>
      </c>
      <c r="AB27">
        <v>12</v>
      </c>
      <c r="AC27">
        <v>5</v>
      </c>
      <c r="AD27">
        <v>70.59</v>
      </c>
      <c r="AE27">
        <v>14</v>
      </c>
      <c r="AF27">
        <v>6</v>
      </c>
      <c r="AG27">
        <v>0</v>
      </c>
      <c r="AH27">
        <v>11</v>
      </c>
    </row>
    <row r="28" spans="1:34">
      <c r="A28" s="111">
        <v>253</v>
      </c>
      <c r="B28">
        <v>4202</v>
      </c>
      <c r="C28" s="115" t="s">
        <v>121</v>
      </c>
      <c r="D28" s="115" t="s">
        <v>88</v>
      </c>
      <c r="E28">
        <v>1082</v>
      </c>
      <c r="F28">
        <v>1092</v>
      </c>
      <c r="G28">
        <v>700</v>
      </c>
      <c r="H28" s="115" t="s">
        <v>89</v>
      </c>
      <c r="I28">
        <v>7259</v>
      </c>
      <c r="J28" s="115" t="s">
        <v>55</v>
      </c>
      <c r="K28" s="115" t="s">
        <v>115</v>
      </c>
      <c r="L28">
        <v>4125</v>
      </c>
      <c r="M28">
        <v>4090</v>
      </c>
      <c r="N28">
        <v>200</v>
      </c>
      <c r="O28" s="115" t="s">
        <v>87</v>
      </c>
      <c r="P28">
        <v>0.947765242018072</v>
      </c>
      <c r="Q28">
        <v>0.90593870560491996</v>
      </c>
      <c r="R28">
        <v>0.14330434411843901</v>
      </c>
      <c r="S28">
        <v>1.0629349506808401E-2</v>
      </c>
      <c r="T28">
        <v>0.64298277741085397</v>
      </c>
      <c r="U28">
        <v>0.64298277741085397</v>
      </c>
      <c r="V28">
        <v>2.2200000000000002</v>
      </c>
      <c r="W28">
        <v>6.55</v>
      </c>
      <c r="X28">
        <v>350341</v>
      </c>
      <c r="Y28">
        <v>20608</v>
      </c>
      <c r="Z28">
        <v>1.22</v>
      </c>
      <c r="AA28">
        <v>17</v>
      </c>
      <c r="AB28">
        <v>10</v>
      </c>
      <c r="AC28">
        <v>7</v>
      </c>
      <c r="AD28">
        <v>58.82</v>
      </c>
      <c r="AE28">
        <v>13</v>
      </c>
      <c r="AF28">
        <v>8</v>
      </c>
      <c r="AG28">
        <v>1</v>
      </c>
      <c r="AH28">
        <v>8</v>
      </c>
    </row>
    <row r="29" spans="1:34">
      <c r="A29" s="111">
        <v>221</v>
      </c>
      <c r="B29">
        <v>1824</v>
      </c>
      <c r="C29" s="115" t="s">
        <v>413</v>
      </c>
      <c r="D29" s="115" t="s">
        <v>108</v>
      </c>
      <c r="E29">
        <v>966</v>
      </c>
      <c r="F29">
        <v>972</v>
      </c>
      <c r="G29">
        <v>1000</v>
      </c>
      <c r="H29" s="115" t="s">
        <v>87</v>
      </c>
      <c r="I29">
        <v>4182</v>
      </c>
      <c r="J29" s="115" t="s">
        <v>119</v>
      </c>
      <c r="K29" s="115" t="s">
        <v>88</v>
      </c>
      <c r="L29">
        <v>1620</v>
      </c>
      <c r="M29">
        <v>1632</v>
      </c>
      <c r="N29">
        <v>600</v>
      </c>
      <c r="O29" s="115" t="s">
        <v>89</v>
      </c>
      <c r="P29">
        <v>0.95474837198404405</v>
      </c>
      <c r="Q29">
        <v>0.910260097285718</v>
      </c>
      <c r="R29">
        <v>1.37178594715431E-2</v>
      </c>
      <c r="S29">
        <v>0.128425634133918</v>
      </c>
      <c r="T29">
        <v>-2.4255923238288299</v>
      </c>
      <c r="U29">
        <v>2.4255923238288299</v>
      </c>
      <c r="V29">
        <v>-9.2799999999999994</v>
      </c>
      <c r="W29">
        <v>0.74</v>
      </c>
      <c r="X29">
        <v>348724</v>
      </c>
      <c r="Y29">
        <v>17436</v>
      </c>
      <c r="Z29">
        <v>0.82</v>
      </c>
      <c r="AA29">
        <v>20</v>
      </c>
      <c r="AB29">
        <v>12</v>
      </c>
      <c r="AC29">
        <v>8</v>
      </c>
      <c r="AD29">
        <v>60</v>
      </c>
      <c r="AE29">
        <v>10</v>
      </c>
      <c r="AF29">
        <v>11</v>
      </c>
      <c r="AG29">
        <v>6</v>
      </c>
      <c r="AH29">
        <v>3</v>
      </c>
    </row>
    <row r="30" spans="1:34">
      <c r="A30" s="111">
        <v>93</v>
      </c>
      <c r="B30">
        <v>1963</v>
      </c>
      <c r="C30" s="115" t="s">
        <v>180</v>
      </c>
      <c r="D30" s="115" t="s">
        <v>108</v>
      </c>
      <c r="E30">
        <v>1633</v>
      </c>
      <c r="F30">
        <v>1656</v>
      </c>
      <c r="G30">
        <v>500</v>
      </c>
      <c r="H30" s="115" t="s">
        <v>89</v>
      </c>
      <c r="I30">
        <v>7272</v>
      </c>
      <c r="J30" s="115" t="s">
        <v>391</v>
      </c>
      <c r="K30" s="115" t="s">
        <v>115</v>
      </c>
      <c r="L30">
        <v>2247</v>
      </c>
      <c r="M30">
        <v>2250</v>
      </c>
      <c r="N30">
        <v>400</v>
      </c>
      <c r="O30" s="115" t="s">
        <v>87</v>
      </c>
      <c r="P30">
        <v>0.97546418742643604</v>
      </c>
      <c r="Q30">
        <v>0.92809102362797802</v>
      </c>
      <c r="R30">
        <v>1.84783607625695E-2</v>
      </c>
      <c r="S30" s="20">
        <v>2.1304863965579899E-5</v>
      </c>
      <c r="T30">
        <v>0.66883201224653599</v>
      </c>
      <c r="U30">
        <v>0.66883201224653599</v>
      </c>
      <c r="V30">
        <v>1.55</v>
      </c>
      <c r="W30">
        <v>8</v>
      </c>
      <c r="X30">
        <v>347406</v>
      </c>
      <c r="Y30">
        <v>16543</v>
      </c>
      <c r="Z30">
        <v>0.82</v>
      </c>
      <c r="AA30">
        <v>21</v>
      </c>
      <c r="AB30">
        <v>14</v>
      </c>
      <c r="AC30">
        <v>7</v>
      </c>
      <c r="AD30">
        <v>66.67</v>
      </c>
      <c r="AE30">
        <v>10</v>
      </c>
      <c r="AF30">
        <v>12</v>
      </c>
      <c r="AG30">
        <v>5</v>
      </c>
      <c r="AH30">
        <v>4</v>
      </c>
    </row>
    <row r="31" spans="1:34">
      <c r="A31" s="111">
        <v>177</v>
      </c>
      <c r="B31">
        <v>4182</v>
      </c>
      <c r="C31" s="115" t="s">
        <v>119</v>
      </c>
      <c r="D31" s="115" t="s">
        <v>88</v>
      </c>
      <c r="E31">
        <v>1620</v>
      </c>
      <c r="F31">
        <v>1632</v>
      </c>
      <c r="G31">
        <v>600</v>
      </c>
      <c r="H31" s="115" t="s">
        <v>89</v>
      </c>
      <c r="I31">
        <v>7189</v>
      </c>
      <c r="J31" s="115" t="s">
        <v>112</v>
      </c>
      <c r="K31" s="115" t="s">
        <v>113</v>
      </c>
      <c r="L31">
        <v>844</v>
      </c>
      <c r="M31">
        <v>850</v>
      </c>
      <c r="N31">
        <v>1200</v>
      </c>
      <c r="O31" s="115" t="s">
        <v>87</v>
      </c>
      <c r="P31">
        <v>0.97005009546364196</v>
      </c>
      <c r="Q31">
        <v>0.91582531319967597</v>
      </c>
      <c r="R31">
        <v>0.35577922540104701</v>
      </c>
      <c r="S31">
        <v>0.196881758815631</v>
      </c>
      <c r="T31">
        <v>0.18780720023504599</v>
      </c>
      <c r="U31">
        <v>0.18780720023504599</v>
      </c>
      <c r="V31">
        <v>0.55000000000000004</v>
      </c>
      <c r="W31">
        <v>4.17</v>
      </c>
      <c r="X31">
        <v>337833</v>
      </c>
      <c r="Y31">
        <v>21115</v>
      </c>
      <c r="Z31">
        <v>1.1200000000000001</v>
      </c>
      <c r="AA31">
        <v>16</v>
      </c>
      <c r="AB31">
        <v>11</v>
      </c>
      <c r="AC31">
        <v>5</v>
      </c>
      <c r="AD31">
        <v>68.75</v>
      </c>
      <c r="AE31">
        <v>11</v>
      </c>
      <c r="AF31">
        <v>8</v>
      </c>
      <c r="AG31">
        <v>3</v>
      </c>
      <c r="AH31">
        <v>5</v>
      </c>
    </row>
    <row r="32" spans="1:34">
      <c r="A32" s="111">
        <v>189</v>
      </c>
      <c r="B32">
        <v>5110</v>
      </c>
      <c r="C32" s="115" t="s">
        <v>177</v>
      </c>
      <c r="D32" s="115" t="s">
        <v>178</v>
      </c>
      <c r="E32">
        <v>1381</v>
      </c>
      <c r="F32">
        <v>1381</v>
      </c>
      <c r="G32">
        <v>600</v>
      </c>
      <c r="H32" s="115" t="s">
        <v>89</v>
      </c>
      <c r="I32">
        <v>6923</v>
      </c>
      <c r="J32" s="115" t="s">
        <v>146</v>
      </c>
      <c r="K32" s="115" t="s">
        <v>118</v>
      </c>
      <c r="L32">
        <v>2974</v>
      </c>
      <c r="M32">
        <v>2974</v>
      </c>
      <c r="N32">
        <v>300</v>
      </c>
      <c r="O32" s="115" t="s">
        <v>87</v>
      </c>
      <c r="P32">
        <v>0.96462263894912703</v>
      </c>
      <c r="Q32">
        <v>0.91475883273703895</v>
      </c>
      <c r="R32">
        <v>0.214704827846604</v>
      </c>
      <c r="S32">
        <v>0.11173016191047599</v>
      </c>
      <c r="T32">
        <v>0.78774681509608202</v>
      </c>
      <c r="U32">
        <v>0.78774681509608202</v>
      </c>
      <c r="V32">
        <v>1.75</v>
      </c>
      <c r="W32">
        <v>7.13</v>
      </c>
      <c r="X32">
        <v>336458</v>
      </c>
      <c r="Y32">
        <v>16823</v>
      </c>
      <c r="Z32">
        <v>1.01</v>
      </c>
      <c r="AA32">
        <v>20</v>
      </c>
      <c r="AB32">
        <v>12</v>
      </c>
      <c r="AC32">
        <v>8</v>
      </c>
      <c r="AD32">
        <v>60</v>
      </c>
      <c r="AE32">
        <v>14</v>
      </c>
      <c r="AF32">
        <v>8</v>
      </c>
      <c r="AG32">
        <v>0</v>
      </c>
      <c r="AH32">
        <v>12</v>
      </c>
    </row>
    <row r="33" spans="1:34">
      <c r="A33" s="111">
        <v>72</v>
      </c>
      <c r="B33">
        <v>7453</v>
      </c>
      <c r="C33" s="115" t="s">
        <v>138</v>
      </c>
      <c r="D33" s="115" t="s">
        <v>128</v>
      </c>
      <c r="E33">
        <v>2395</v>
      </c>
      <c r="F33">
        <v>2362</v>
      </c>
      <c r="G33">
        <v>400</v>
      </c>
      <c r="H33" s="115" t="s">
        <v>87</v>
      </c>
      <c r="I33">
        <v>8410</v>
      </c>
      <c r="J33" s="115" t="s">
        <v>393</v>
      </c>
      <c r="K33" s="115" t="s">
        <v>113</v>
      </c>
      <c r="L33">
        <v>333</v>
      </c>
      <c r="M33">
        <v>338</v>
      </c>
      <c r="N33">
        <v>2800</v>
      </c>
      <c r="O33" s="115" t="s">
        <v>89</v>
      </c>
      <c r="P33">
        <v>0.94210051969330899</v>
      </c>
      <c r="Q33">
        <v>0.93415281175894704</v>
      </c>
      <c r="R33">
        <v>6.8213015273269903E-3</v>
      </c>
      <c r="S33" s="20">
        <v>5.6597531592361401E-4</v>
      </c>
      <c r="T33">
        <v>-4.6113970591833003E-2</v>
      </c>
      <c r="U33">
        <v>4.6113970591833003E-2</v>
      </c>
      <c r="V33">
        <v>-0.28999999999999998</v>
      </c>
      <c r="W33">
        <v>0.17</v>
      </c>
      <c r="X33">
        <v>333971</v>
      </c>
      <c r="Y33">
        <v>14520</v>
      </c>
      <c r="Z33">
        <v>0.66</v>
      </c>
      <c r="AA33">
        <v>23</v>
      </c>
      <c r="AB33">
        <v>14</v>
      </c>
      <c r="AC33">
        <v>9</v>
      </c>
      <c r="AD33">
        <v>60.87</v>
      </c>
      <c r="AE33">
        <v>10</v>
      </c>
      <c r="AF33">
        <v>11</v>
      </c>
      <c r="AG33">
        <v>6</v>
      </c>
      <c r="AH33">
        <v>6</v>
      </c>
    </row>
    <row r="34" spans="1:34">
      <c r="A34" s="111">
        <v>254</v>
      </c>
      <c r="B34">
        <v>7276</v>
      </c>
      <c r="C34" s="115" t="s">
        <v>445</v>
      </c>
      <c r="D34" s="115" t="s">
        <v>118</v>
      </c>
      <c r="E34">
        <v>5490</v>
      </c>
      <c r="F34">
        <v>5570</v>
      </c>
      <c r="G34">
        <v>100</v>
      </c>
      <c r="H34" s="115" t="s">
        <v>87</v>
      </c>
      <c r="I34">
        <v>7762</v>
      </c>
      <c r="J34" s="115" t="s">
        <v>141</v>
      </c>
      <c r="K34" s="115" t="s">
        <v>126</v>
      </c>
      <c r="L34">
        <v>585</v>
      </c>
      <c r="M34">
        <v>590</v>
      </c>
      <c r="N34">
        <v>900</v>
      </c>
      <c r="O34" s="115" t="s">
        <v>89</v>
      </c>
      <c r="P34">
        <v>0.96429960655817704</v>
      </c>
      <c r="Q34">
        <v>0.90589153536491296</v>
      </c>
      <c r="R34">
        <v>3.026300585724E-2</v>
      </c>
      <c r="S34">
        <v>8.2690068437522898E-2</v>
      </c>
      <c r="T34">
        <v>-2.15883482354627</v>
      </c>
      <c r="U34">
        <v>2.15883482354627</v>
      </c>
      <c r="V34">
        <v>-4.87</v>
      </c>
      <c r="W34">
        <v>4.67</v>
      </c>
      <c r="X34">
        <v>333607</v>
      </c>
      <c r="Y34">
        <v>20850</v>
      </c>
      <c r="Z34">
        <v>1.22</v>
      </c>
      <c r="AA34">
        <v>16</v>
      </c>
      <c r="AB34">
        <v>11</v>
      </c>
      <c r="AC34">
        <v>5</v>
      </c>
      <c r="AD34">
        <v>68.75</v>
      </c>
      <c r="AE34">
        <v>13</v>
      </c>
      <c r="AF34">
        <v>6</v>
      </c>
      <c r="AG34">
        <v>2</v>
      </c>
      <c r="AH34">
        <v>8</v>
      </c>
    </row>
    <row r="35" spans="1:34">
      <c r="A35" s="111">
        <v>280</v>
      </c>
      <c r="B35">
        <v>3105</v>
      </c>
      <c r="C35" s="115" t="s">
        <v>122</v>
      </c>
      <c r="D35" s="115" t="s">
        <v>118</v>
      </c>
      <c r="E35">
        <v>956</v>
      </c>
      <c r="F35">
        <v>958</v>
      </c>
      <c r="G35">
        <v>1100</v>
      </c>
      <c r="H35" s="115" t="s">
        <v>89</v>
      </c>
      <c r="I35">
        <v>3116</v>
      </c>
      <c r="J35" s="115" t="s">
        <v>172</v>
      </c>
      <c r="K35" s="115" t="s">
        <v>115</v>
      </c>
      <c r="L35">
        <v>1698</v>
      </c>
      <c r="M35">
        <v>1694</v>
      </c>
      <c r="N35">
        <v>600</v>
      </c>
      <c r="O35" s="115" t="s">
        <v>87</v>
      </c>
      <c r="P35">
        <v>0.96949452308572404</v>
      </c>
      <c r="Q35">
        <v>0.90229805233419702</v>
      </c>
      <c r="R35" s="20">
        <v>0.13336327589921901</v>
      </c>
      <c r="S35">
        <v>0.12757832478978701</v>
      </c>
      <c r="T35">
        <v>3.9038681745561903E-2</v>
      </c>
      <c r="U35">
        <v>3.9038681745561903E-2</v>
      </c>
      <c r="V35">
        <v>7.0000000000000007E-2</v>
      </c>
      <c r="W35">
        <v>3.68</v>
      </c>
      <c r="X35">
        <v>331195</v>
      </c>
      <c r="Y35">
        <v>18400</v>
      </c>
      <c r="Z35">
        <v>0.89</v>
      </c>
      <c r="AA35">
        <v>18</v>
      </c>
      <c r="AB35">
        <v>12</v>
      </c>
      <c r="AC35">
        <v>6</v>
      </c>
      <c r="AD35">
        <v>66.67</v>
      </c>
      <c r="AE35">
        <v>12</v>
      </c>
      <c r="AF35">
        <v>6</v>
      </c>
      <c r="AG35">
        <v>3</v>
      </c>
      <c r="AH35">
        <v>9</v>
      </c>
    </row>
    <row r="36" spans="1:34">
      <c r="A36" s="111">
        <v>162</v>
      </c>
      <c r="B36">
        <v>5802</v>
      </c>
      <c r="C36" s="115" t="s">
        <v>181</v>
      </c>
      <c r="D36" s="115" t="s">
        <v>182</v>
      </c>
      <c r="E36">
        <v>1526.5</v>
      </c>
      <c r="F36">
        <v>1526.5</v>
      </c>
      <c r="G36">
        <v>700</v>
      </c>
      <c r="H36" s="115" t="s">
        <v>87</v>
      </c>
      <c r="I36">
        <v>5991</v>
      </c>
      <c r="J36" s="115" t="s">
        <v>149</v>
      </c>
      <c r="K36" s="115" t="s">
        <v>150</v>
      </c>
      <c r="L36">
        <v>953</v>
      </c>
      <c r="M36">
        <v>957</v>
      </c>
      <c r="N36">
        <v>1100</v>
      </c>
      <c r="O36" s="115" t="s">
        <v>89</v>
      </c>
      <c r="P36">
        <v>0.98930327516968897</v>
      </c>
      <c r="Q36">
        <v>0.91749614543361901</v>
      </c>
      <c r="R36">
        <v>9.5854272485758497E-3</v>
      </c>
      <c r="S36">
        <v>0.23238646751218101</v>
      </c>
      <c r="T36">
        <v>-1.5975072123553</v>
      </c>
      <c r="U36">
        <v>1.5975072123553</v>
      </c>
      <c r="V36">
        <v>-3.54</v>
      </c>
      <c r="W36">
        <v>1.48</v>
      </c>
      <c r="X36">
        <v>321933</v>
      </c>
      <c r="Y36">
        <v>22995</v>
      </c>
      <c r="Z36">
        <v>1.1299999999999999</v>
      </c>
      <c r="AA36">
        <v>14</v>
      </c>
      <c r="AB36">
        <v>9</v>
      </c>
      <c r="AC36">
        <v>5</v>
      </c>
      <c r="AD36">
        <v>64.290000000000006</v>
      </c>
      <c r="AE36">
        <v>15</v>
      </c>
      <c r="AF36">
        <v>6</v>
      </c>
      <c r="AG36">
        <v>0</v>
      </c>
      <c r="AH36">
        <v>8</v>
      </c>
    </row>
    <row r="37" spans="1:34">
      <c r="A37" s="111">
        <v>38</v>
      </c>
      <c r="B37">
        <v>4612</v>
      </c>
      <c r="C37" s="115" t="s">
        <v>183</v>
      </c>
      <c r="D37" s="115" t="s">
        <v>88</v>
      </c>
      <c r="E37">
        <v>6130</v>
      </c>
      <c r="F37">
        <v>6190</v>
      </c>
      <c r="G37">
        <v>100</v>
      </c>
      <c r="H37" s="115" t="s">
        <v>89</v>
      </c>
      <c r="I37">
        <v>6857</v>
      </c>
      <c r="J37" s="115" t="s">
        <v>163</v>
      </c>
      <c r="K37" s="115" t="s">
        <v>118</v>
      </c>
      <c r="L37">
        <v>5330</v>
      </c>
      <c r="M37">
        <v>5200</v>
      </c>
      <c r="N37">
        <v>100</v>
      </c>
      <c r="O37" s="115" t="s">
        <v>87</v>
      </c>
      <c r="P37">
        <v>0.90488256500243802</v>
      </c>
      <c r="Q37">
        <v>0.94136389468626402</v>
      </c>
      <c r="R37">
        <v>4.8697855140963899E-2</v>
      </c>
      <c r="S37">
        <v>2.4510746613145298E-2</v>
      </c>
      <c r="T37">
        <v>1.02539330241714</v>
      </c>
      <c r="U37">
        <v>1.02539330241714</v>
      </c>
      <c r="V37">
        <v>3.99</v>
      </c>
      <c r="W37">
        <v>15.99</v>
      </c>
      <c r="X37">
        <v>316281</v>
      </c>
      <c r="Y37">
        <v>18605</v>
      </c>
      <c r="Z37">
        <v>1.08</v>
      </c>
      <c r="AA37">
        <v>17</v>
      </c>
      <c r="AB37">
        <v>10</v>
      </c>
      <c r="AC37">
        <v>7</v>
      </c>
      <c r="AD37">
        <v>58.82</v>
      </c>
      <c r="AE37">
        <v>9</v>
      </c>
      <c r="AF37">
        <v>10</v>
      </c>
      <c r="AG37">
        <v>6</v>
      </c>
      <c r="AH37">
        <v>1</v>
      </c>
    </row>
    <row r="38" spans="1:34">
      <c r="A38" s="111">
        <v>167</v>
      </c>
      <c r="B38">
        <v>8377</v>
      </c>
      <c r="C38" s="115" t="s">
        <v>127</v>
      </c>
      <c r="D38" s="115" t="s">
        <v>113</v>
      </c>
      <c r="E38">
        <v>1116</v>
      </c>
      <c r="F38">
        <v>1116</v>
      </c>
      <c r="G38">
        <v>900</v>
      </c>
      <c r="H38" s="115" t="s">
        <v>87</v>
      </c>
      <c r="I38">
        <v>9505</v>
      </c>
      <c r="J38" s="115" t="s">
        <v>170</v>
      </c>
      <c r="K38" s="115" t="s">
        <v>171</v>
      </c>
      <c r="L38">
        <v>760</v>
      </c>
      <c r="M38">
        <v>777</v>
      </c>
      <c r="N38">
        <v>1300</v>
      </c>
      <c r="O38" s="115" t="s">
        <v>89</v>
      </c>
      <c r="P38">
        <v>0.95146007300427504</v>
      </c>
      <c r="Q38">
        <v>0.91676892659711795</v>
      </c>
      <c r="R38">
        <v>0.13584541575551701</v>
      </c>
      <c r="S38">
        <v>0.111262100342516</v>
      </c>
      <c r="T38">
        <v>-3.0147240458064498E-2</v>
      </c>
      <c r="U38">
        <v>3.0147240458064498E-2</v>
      </c>
      <c r="V38">
        <v>-0.1</v>
      </c>
      <c r="W38">
        <v>0.56999999999999995</v>
      </c>
      <c r="X38">
        <v>310466</v>
      </c>
      <c r="Y38">
        <v>20698</v>
      </c>
      <c r="Z38">
        <v>1.02</v>
      </c>
      <c r="AA38">
        <v>15</v>
      </c>
      <c r="AB38">
        <v>8</v>
      </c>
      <c r="AC38">
        <v>7</v>
      </c>
      <c r="AD38">
        <v>53.33</v>
      </c>
      <c r="AE38">
        <v>15</v>
      </c>
      <c r="AF38">
        <v>5</v>
      </c>
      <c r="AG38">
        <v>1</v>
      </c>
      <c r="AH38">
        <v>9</v>
      </c>
    </row>
    <row r="39" spans="1:34">
      <c r="A39" s="111">
        <v>147</v>
      </c>
      <c r="B39">
        <v>7202</v>
      </c>
      <c r="C39" s="115" t="s">
        <v>187</v>
      </c>
      <c r="D39" s="115" t="s">
        <v>115</v>
      </c>
      <c r="E39">
        <v>1290</v>
      </c>
      <c r="F39">
        <v>1298</v>
      </c>
      <c r="G39">
        <v>800</v>
      </c>
      <c r="H39" s="115" t="s">
        <v>87</v>
      </c>
      <c r="I39">
        <v>8601</v>
      </c>
      <c r="J39" s="115" t="s">
        <v>53</v>
      </c>
      <c r="K39" s="115" t="s">
        <v>152</v>
      </c>
      <c r="L39">
        <v>533.29999999999995</v>
      </c>
      <c r="M39">
        <v>532.29999999999995</v>
      </c>
      <c r="N39">
        <v>2000</v>
      </c>
      <c r="O39" s="115" t="s">
        <v>89</v>
      </c>
      <c r="P39">
        <v>0.91071078958795604</v>
      </c>
      <c r="Q39">
        <v>0.91971025233963699</v>
      </c>
      <c r="R39">
        <v>0.13258255603901001</v>
      </c>
      <c r="S39">
        <v>0.100576953427839</v>
      </c>
      <c r="T39">
        <v>-0.70888960422854297</v>
      </c>
      <c r="U39">
        <v>0.70888960422854297</v>
      </c>
      <c r="V39">
        <v>-1.49</v>
      </c>
      <c r="W39">
        <v>2.52</v>
      </c>
      <c r="X39">
        <v>308155</v>
      </c>
      <c r="Y39">
        <v>19260</v>
      </c>
      <c r="Z39">
        <v>0.9</v>
      </c>
      <c r="AA39">
        <v>16</v>
      </c>
      <c r="AB39">
        <v>10</v>
      </c>
      <c r="AC39">
        <v>6</v>
      </c>
      <c r="AD39">
        <v>62.5</v>
      </c>
      <c r="AE39">
        <v>13</v>
      </c>
      <c r="AF39">
        <v>7</v>
      </c>
      <c r="AG39">
        <v>1</v>
      </c>
      <c r="AH39">
        <v>8</v>
      </c>
    </row>
    <row r="40" spans="1:34">
      <c r="A40" s="111">
        <v>187</v>
      </c>
      <c r="B40">
        <v>5802</v>
      </c>
      <c r="C40" s="115" t="s">
        <v>181</v>
      </c>
      <c r="D40" s="115" t="s">
        <v>182</v>
      </c>
      <c r="E40">
        <v>1526.5</v>
      </c>
      <c r="F40">
        <v>1526.5</v>
      </c>
      <c r="G40">
        <v>700</v>
      </c>
      <c r="H40" s="115" t="s">
        <v>87</v>
      </c>
      <c r="I40">
        <v>6995</v>
      </c>
      <c r="J40" s="115" t="s">
        <v>123</v>
      </c>
      <c r="K40" s="115" t="s">
        <v>115</v>
      </c>
      <c r="L40">
        <v>2050</v>
      </c>
      <c r="M40">
        <v>2063</v>
      </c>
      <c r="N40">
        <v>500</v>
      </c>
      <c r="O40" s="115" t="s">
        <v>89</v>
      </c>
      <c r="P40">
        <v>0.98685760396478095</v>
      </c>
      <c r="Q40">
        <v>0.91498640074594295</v>
      </c>
      <c r="R40">
        <v>6.9843543807184905E-4</v>
      </c>
      <c r="S40">
        <v>0.26973972908384403</v>
      </c>
      <c r="T40">
        <v>-0.34004118284826501</v>
      </c>
      <c r="U40">
        <v>0.34004118284826501</v>
      </c>
      <c r="V40">
        <v>-0.52</v>
      </c>
      <c r="W40">
        <v>3.59</v>
      </c>
      <c r="X40">
        <v>306631</v>
      </c>
      <c r="Y40">
        <v>18037</v>
      </c>
      <c r="Z40">
        <v>0.89</v>
      </c>
      <c r="AA40">
        <v>17</v>
      </c>
      <c r="AB40">
        <v>11</v>
      </c>
      <c r="AC40">
        <v>6</v>
      </c>
      <c r="AD40">
        <v>64.709999999999994</v>
      </c>
      <c r="AE40">
        <v>15</v>
      </c>
      <c r="AF40">
        <v>6</v>
      </c>
      <c r="AG40">
        <v>0</v>
      </c>
      <c r="AH40">
        <v>11</v>
      </c>
    </row>
    <row r="41" spans="1:34">
      <c r="A41" s="111">
        <v>90</v>
      </c>
      <c r="B41">
        <v>4208</v>
      </c>
      <c r="C41" s="115" t="s">
        <v>131</v>
      </c>
      <c r="D41" s="115" t="s">
        <v>88</v>
      </c>
      <c r="E41">
        <v>2301</v>
      </c>
      <c r="F41">
        <v>2286</v>
      </c>
      <c r="G41">
        <v>400</v>
      </c>
      <c r="H41" s="115" t="s">
        <v>89</v>
      </c>
      <c r="I41">
        <v>6301</v>
      </c>
      <c r="J41" s="115" t="s">
        <v>143</v>
      </c>
      <c r="K41" s="115" t="s">
        <v>133</v>
      </c>
      <c r="L41">
        <v>2550</v>
      </c>
      <c r="M41">
        <v>2552</v>
      </c>
      <c r="N41">
        <v>400</v>
      </c>
      <c r="O41" s="115" t="s">
        <v>87</v>
      </c>
      <c r="P41">
        <v>0.96576447837591395</v>
      </c>
      <c r="Q41">
        <v>0.92946998937612901</v>
      </c>
      <c r="R41">
        <v>6.1736650799622099E-4</v>
      </c>
      <c r="S41">
        <v>3.2997212393459799E-3</v>
      </c>
      <c r="T41">
        <v>7.4750887742067798E-2</v>
      </c>
      <c r="U41">
        <v>7.4750887742067798E-2</v>
      </c>
      <c r="V41">
        <v>0.12</v>
      </c>
      <c r="W41">
        <v>10.42</v>
      </c>
      <c r="X41">
        <v>306571</v>
      </c>
      <c r="Y41">
        <v>30657</v>
      </c>
      <c r="Z41">
        <v>1.56</v>
      </c>
      <c r="AA41">
        <v>10</v>
      </c>
      <c r="AB41">
        <v>7</v>
      </c>
      <c r="AC41">
        <v>3</v>
      </c>
      <c r="AD41">
        <v>70</v>
      </c>
      <c r="AE41">
        <v>12</v>
      </c>
      <c r="AF41">
        <v>6</v>
      </c>
      <c r="AG41">
        <v>0</v>
      </c>
      <c r="AH41">
        <v>4</v>
      </c>
    </row>
    <row r="42" spans="1:34">
      <c r="A42" s="111">
        <v>129</v>
      </c>
      <c r="B42">
        <v>1928</v>
      </c>
      <c r="C42" s="115" t="s">
        <v>396</v>
      </c>
      <c r="D42" s="115" t="s">
        <v>108</v>
      </c>
      <c r="E42">
        <v>2379.5</v>
      </c>
      <c r="F42">
        <v>2380.5</v>
      </c>
      <c r="G42">
        <v>400</v>
      </c>
      <c r="H42" s="115" t="s">
        <v>89</v>
      </c>
      <c r="I42">
        <v>6925</v>
      </c>
      <c r="J42" s="115" t="s">
        <v>415</v>
      </c>
      <c r="K42" s="115" t="s">
        <v>118</v>
      </c>
      <c r="L42">
        <v>1633</v>
      </c>
      <c r="M42">
        <v>1634</v>
      </c>
      <c r="N42">
        <v>600</v>
      </c>
      <c r="O42" s="115" t="s">
        <v>87</v>
      </c>
      <c r="P42">
        <v>0.917530175059598</v>
      </c>
      <c r="Q42">
        <v>0.923104460529382</v>
      </c>
      <c r="R42">
        <v>0.33141009595113402</v>
      </c>
      <c r="S42" s="20">
        <v>2.0187838005749401E-2</v>
      </c>
      <c r="T42">
        <v>1.1794380979689101</v>
      </c>
      <c r="U42">
        <v>1.1794380979689101</v>
      </c>
      <c r="V42">
        <v>3.69</v>
      </c>
      <c r="W42">
        <v>2.96</v>
      </c>
      <c r="X42">
        <v>305239</v>
      </c>
      <c r="Y42">
        <v>17955</v>
      </c>
      <c r="Z42">
        <v>0.95</v>
      </c>
      <c r="AA42">
        <v>17</v>
      </c>
      <c r="AB42">
        <v>12</v>
      </c>
      <c r="AC42">
        <v>5</v>
      </c>
      <c r="AD42">
        <v>70.59</v>
      </c>
      <c r="AE42">
        <v>14</v>
      </c>
      <c r="AF42">
        <v>8</v>
      </c>
      <c r="AG42">
        <v>1</v>
      </c>
      <c r="AH42">
        <v>8</v>
      </c>
    </row>
    <row r="43" spans="1:34">
      <c r="A43" s="111">
        <v>155</v>
      </c>
      <c r="B43">
        <v>6371</v>
      </c>
      <c r="C43" s="115" t="s">
        <v>142</v>
      </c>
      <c r="D43" s="115" t="s">
        <v>133</v>
      </c>
      <c r="E43">
        <v>3765</v>
      </c>
      <c r="F43">
        <v>3780</v>
      </c>
      <c r="G43">
        <v>200</v>
      </c>
      <c r="H43" s="115" t="s">
        <v>87</v>
      </c>
      <c r="I43">
        <v>7259</v>
      </c>
      <c r="J43" s="115" t="s">
        <v>55</v>
      </c>
      <c r="K43" s="115" t="s">
        <v>115</v>
      </c>
      <c r="L43">
        <v>4125</v>
      </c>
      <c r="M43">
        <v>4090</v>
      </c>
      <c r="N43">
        <v>200</v>
      </c>
      <c r="O43" s="115" t="s">
        <v>89</v>
      </c>
      <c r="P43">
        <v>0.96328968717051899</v>
      </c>
      <c r="Q43">
        <v>0.91823554645962602</v>
      </c>
      <c r="R43">
        <v>4.0308906388663503E-2</v>
      </c>
      <c r="S43">
        <v>4.3441284141392802E-3</v>
      </c>
      <c r="T43">
        <v>-1.1152121092112599</v>
      </c>
      <c r="U43">
        <v>1.1152121092112599</v>
      </c>
      <c r="V43">
        <v>-6.46</v>
      </c>
      <c r="W43">
        <v>7.58</v>
      </c>
      <c r="X43">
        <v>305033</v>
      </c>
      <c r="Y43">
        <v>38129</v>
      </c>
      <c r="Z43">
        <v>2.17</v>
      </c>
      <c r="AA43">
        <v>8</v>
      </c>
      <c r="AB43">
        <v>6</v>
      </c>
      <c r="AC43">
        <v>2</v>
      </c>
      <c r="AD43">
        <v>75</v>
      </c>
      <c r="AE43">
        <v>10</v>
      </c>
      <c r="AF43">
        <v>6</v>
      </c>
      <c r="AG43">
        <v>0</v>
      </c>
      <c r="AH43">
        <v>2</v>
      </c>
    </row>
    <row r="44" spans="1:34">
      <c r="A44" s="111">
        <v>62</v>
      </c>
      <c r="B44">
        <v>4182</v>
      </c>
      <c r="C44" s="115" t="s">
        <v>119</v>
      </c>
      <c r="D44" s="115" t="s">
        <v>88</v>
      </c>
      <c r="E44">
        <v>1620</v>
      </c>
      <c r="F44">
        <v>1632</v>
      </c>
      <c r="G44">
        <v>600</v>
      </c>
      <c r="H44" s="115" t="s">
        <v>87</v>
      </c>
      <c r="I44">
        <v>7272</v>
      </c>
      <c r="J44" s="115" t="s">
        <v>391</v>
      </c>
      <c r="K44" s="115" t="s">
        <v>115</v>
      </c>
      <c r="L44">
        <v>2247</v>
      </c>
      <c r="M44">
        <v>2250</v>
      </c>
      <c r="N44">
        <v>400</v>
      </c>
      <c r="O44" s="115" t="s">
        <v>89</v>
      </c>
      <c r="P44">
        <v>0.94775850434328202</v>
      </c>
      <c r="Q44">
        <v>0.93589571281751105</v>
      </c>
      <c r="R44">
        <v>1.4058030014571199E-2</v>
      </c>
      <c r="S44">
        <v>2.8621273324667398E-3</v>
      </c>
      <c r="T44">
        <v>-5.1000258812634201E-3</v>
      </c>
      <c r="U44">
        <v>5.1000258812634201E-3</v>
      </c>
      <c r="V44">
        <v>-0.01</v>
      </c>
      <c r="W44">
        <v>8.8000000000000007</v>
      </c>
      <c r="X44">
        <v>303536</v>
      </c>
      <c r="Y44">
        <v>23349</v>
      </c>
      <c r="Z44">
        <v>1.1599999999999999</v>
      </c>
      <c r="AA44">
        <v>13</v>
      </c>
      <c r="AB44">
        <v>9</v>
      </c>
      <c r="AC44">
        <v>4</v>
      </c>
      <c r="AD44">
        <v>69.23</v>
      </c>
      <c r="AE44">
        <v>12</v>
      </c>
      <c r="AF44">
        <v>6</v>
      </c>
      <c r="AG44">
        <v>1</v>
      </c>
      <c r="AH44">
        <v>6</v>
      </c>
    </row>
    <row r="45" spans="1:34">
      <c r="A45" s="111">
        <v>171</v>
      </c>
      <c r="B45">
        <v>6988</v>
      </c>
      <c r="C45" s="115" t="s">
        <v>197</v>
      </c>
      <c r="D45" s="115" t="s">
        <v>88</v>
      </c>
      <c r="E45">
        <v>6110</v>
      </c>
      <c r="F45">
        <v>6040</v>
      </c>
      <c r="G45">
        <v>100</v>
      </c>
      <c r="H45" s="115" t="s">
        <v>87</v>
      </c>
      <c r="I45">
        <v>7272</v>
      </c>
      <c r="J45" s="115" t="s">
        <v>391</v>
      </c>
      <c r="K45" s="115" t="s">
        <v>115</v>
      </c>
      <c r="L45">
        <v>2247</v>
      </c>
      <c r="M45">
        <v>2250</v>
      </c>
      <c r="N45">
        <v>300</v>
      </c>
      <c r="O45" s="115" t="s">
        <v>89</v>
      </c>
      <c r="P45">
        <v>0.93518699918014003</v>
      </c>
      <c r="Q45">
        <v>0.91625358074661101</v>
      </c>
      <c r="R45">
        <v>0.37635037854904002</v>
      </c>
      <c r="S45">
        <v>6.5085047812279695E-2</v>
      </c>
      <c r="T45">
        <v>-0.93104612587691604</v>
      </c>
      <c r="U45">
        <v>0.93104612587691604</v>
      </c>
      <c r="V45">
        <v>-2.98</v>
      </c>
      <c r="W45">
        <v>11.75</v>
      </c>
      <c r="X45">
        <v>300982</v>
      </c>
      <c r="Y45">
        <v>25082</v>
      </c>
      <c r="Z45">
        <v>1.21</v>
      </c>
      <c r="AA45">
        <v>12</v>
      </c>
      <c r="AB45">
        <v>7</v>
      </c>
      <c r="AC45">
        <v>5</v>
      </c>
      <c r="AD45">
        <v>58.33</v>
      </c>
      <c r="AE45">
        <v>12</v>
      </c>
      <c r="AF45">
        <v>6</v>
      </c>
      <c r="AG45">
        <v>3</v>
      </c>
      <c r="AH45">
        <v>3</v>
      </c>
    </row>
    <row r="46" spans="1:34">
      <c r="A46" s="111">
        <v>58</v>
      </c>
      <c r="B46">
        <v>3635</v>
      </c>
      <c r="C46" s="115" t="s">
        <v>116</v>
      </c>
      <c r="D46" s="115" t="s">
        <v>110</v>
      </c>
      <c r="E46">
        <v>2553</v>
      </c>
      <c r="F46">
        <v>2545</v>
      </c>
      <c r="G46">
        <v>400</v>
      </c>
      <c r="H46" s="115" t="s">
        <v>89</v>
      </c>
      <c r="I46">
        <v>4996</v>
      </c>
      <c r="J46" s="115" t="s">
        <v>448</v>
      </c>
      <c r="K46" s="115" t="s">
        <v>88</v>
      </c>
      <c r="L46">
        <v>1003</v>
      </c>
      <c r="M46">
        <v>1027</v>
      </c>
      <c r="N46">
        <v>1000</v>
      </c>
      <c r="O46" s="115" t="s">
        <v>87</v>
      </c>
      <c r="P46">
        <v>0.90372892633090196</v>
      </c>
      <c r="Q46">
        <v>0.93616607019602305</v>
      </c>
      <c r="R46">
        <v>0.12441631442569299</v>
      </c>
      <c r="S46">
        <v>1.28740634853803E-2</v>
      </c>
      <c r="T46">
        <v>0.76061249054701197</v>
      </c>
      <c r="U46">
        <v>0.76061249054701197</v>
      </c>
      <c r="V46">
        <v>2.13</v>
      </c>
      <c r="W46">
        <v>0.88</v>
      </c>
      <c r="X46">
        <v>297344</v>
      </c>
      <c r="Y46">
        <v>14159</v>
      </c>
      <c r="Z46">
        <v>0.66</v>
      </c>
      <c r="AA46">
        <v>21</v>
      </c>
      <c r="AB46">
        <v>14</v>
      </c>
      <c r="AC46">
        <v>7</v>
      </c>
      <c r="AD46">
        <v>66.67</v>
      </c>
      <c r="AE46">
        <v>12</v>
      </c>
      <c r="AF46">
        <v>8</v>
      </c>
      <c r="AG46">
        <v>4</v>
      </c>
      <c r="AH46">
        <v>9</v>
      </c>
    </row>
    <row r="47" spans="1:34">
      <c r="A47" s="111">
        <v>122</v>
      </c>
      <c r="B47">
        <v>1824</v>
      </c>
      <c r="C47" s="115" t="s">
        <v>413</v>
      </c>
      <c r="D47" s="115" t="s">
        <v>108</v>
      </c>
      <c r="E47">
        <v>966</v>
      </c>
      <c r="F47">
        <v>972</v>
      </c>
      <c r="G47">
        <v>900</v>
      </c>
      <c r="H47" s="115" t="s">
        <v>89</v>
      </c>
      <c r="I47">
        <v>4631</v>
      </c>
      <c r="J47" s="115" t="s">
        <v>188</v>
      </c>
      <c r="K47" s="115" t="s">
        <v>88</v>
      </c>
      <c r="L47">
        <v>2958</v>
      </c>
      <c r="M47">
        <v>2966</v>
      </c>
      <c r="N47">
        <v>300</v>
      </c>
      <c r="O47" s="115" t="s">
        <v>87</v>
      </c>
      <c r="P47">
        <v>0.93839222462285199</v>
      </c>
      <c r="Q47">
        <v>0.92387730868252005</v>
      </c>
      <c r="R47">
        <v>9.5721448808826395E-2</v>
      </c>
      <c r="S47">
        <v>6.0962848889342197E-2</v>
      </c>
      <c r="T47">
        <v>1.18238692065989</v>
      </c>
      <c r="U47">
        <v>1.18238692065989</v>
      </c>
      <c r="V47">
        <v>4.55</v>
      </c>
      <c r="W47">
        <v>1.69</v>
      </c>
      <c r="X47">
        <v>292687</v>
      </c>
      <c r="Y47">
        <v>17217</v>
      </c>
      <c r="Z47">
        <v>1</v>
      </c>
      <c r="AA47">
        <v>17</v>
      </c>
      <c r="AB47">
        <v>12</v>
      </c>
      <c r="AC47">
        <v>5</v>
      </c>
      <c r="AD47">
        <v>70.59</v>
      </c>
      <c r="AE47">
        <v>13</v>
      </c>
      <c r="AF47">
        <v>7</v>
      </c>
      <c r="AG47">
        <v>3</v>
      </c>
      <c r="AH47">
        <v>7</v>
      </c>
    </row>
    <row r="48" spans="1:34">
      <c r="A48" s="111">
        <v>181</v>
      </c>
      <c r="B48">
        <v>8359</v>
      </c>
      <c r="C48" s="115" t="s">
        <v>155</v>
      </c>
      <c r="D48" s="115" t="s">
        <v>113</v>
      </c>
      <c r="E48">
        <v>461</v>
      </c>
      <c r="F48">
        <v>463</v>
      </c>
      <c r="G48">
        <v>2300</v>
      </c>
      <c r="H48" s="115" t="s">
        <v>87</v>
      </c>
      <c r="I48">
        <v>8385</v>
      </c>
      <c r="J48" s="115" t="s">
        <v>156</v>
      </c>
      <c r="K48" s="115" t="s">
        <v>113</v>
      </c>
      <c r="L48">
        <v>592</v>
      </c>
      <c r="M48">
        <v>596</v>
      </c>
      <c r="N48">
        <v>1800</v>
      </c>
      <c r="O48" s="115" t="s">
        <v>89</v>
      </c>
      <c r="P48">
        <v>0.94959667647125401</v>
      </c>
      <c r="Q48">
        <v>0.91525188524113199</v>
      </c>
      <c r="R48">
        <v>0.387694272832804</v>
      </c>
      <c r="S48">
        <v>0.15667115603429199</v>
      </c>
      <c r="T48">
        <v>-0.33721574496930701</v>
      </c>
      <c r="U48">
        <v>0.33721574496930701</v>
      </c>
      <c r="V48">
        <v>-1</v>
      </c>
      <c r="W48">
        <v>0.74</v>
      </c>
      <c r="X48">
        <v>290615</v>
      </c>
      <c r="Y48">
        <v>17095</v>
      </c>
      <c r="Z48">
        <v>0.8</v>
      </c>
      <c r="AA48">
        <v>17</v>
      </c>
      <c r="AB48">
        <v>11</v>
      </c>
      <c r="AC48">
        <v>6</v>
      </c>
      <c r="AD48">
        <v>64.709999999999994</v>
      </c>
      <c r="AE48">
        <v>15</v>
      </c>
      <c r="AF48">
        <v>5</v>
      </c>
      <c r="AG48">
        <v>1</v>
      </c>
      <c r="AH48">
        <v>11</v>
      </c>
    </row>
    <row r="49" spans="1:34">
      <c r="A49" s="111">
        <v>100</v>
      </c>
      <c r="B49">
        <v>6457</v>
      </c>
      <c r="C49" s="115" t="s">
        <v>416</v>
      </c>
      <c r="D49" s="115" t="s">
        <v>133</v>
      </c>
      <c r="E49">
        <v>3320</v>
      </c>
      <c r="F49">
        <v>3300</v>
      </c>
      <c r="G49">
        <v>300</v>
      </c>
      <c r="H49" s="115" t="s">
        <v>87</v>
      </c>
      <c r="I49">
        <v>8593</v>
      </c>
      <c r="J49" s="115" t="s">
        <v>412</v>
      </c>
      <c r="K49" s="115" t="s">
        <v>388</v>
      </c>
      <c r="L49">
        <v>700</v>
      </c>
      <c r="M49">
        <v>704</v>
      </c>
      <c r="N49">
        <v>1400</v>
      </c>
      <c r="O49" s="115" t="s">
        <v>89</v>
      </c>
      <c r="P49">
        <v>0.946487858725927</v>
      </c>
      <c r="Q49">
        <v>0.92679742671857201</v>
      </c>
      <c r="R49">
        <v>8.3494769058673896E-2</v>
      </c>
      <c r="S49">
        <v>3.95405877140365E-3</v>
      </c>
      <c r="T49">
        <v>-1.3797960123330599</v>
      </c>
      <c r="U49">
        <v>1.3797960123330599</v>
      </c>
      <c r="V49">
        <v>-3.08</v>
      </c>
      <c r="W49">
        <v>0.44</v>
      </c>
      <c r="X49">
        <v>290341</v>
      </c>
      <c r="Y49">
        <v>15281</v>
      </c>
      <c r="Z49">
        <v>0.91</v>
      </c>
      <c r="AA49">
        <v>19</v>
      </c>
      <c r="AB49">
        <v>12</v>
      </c>
      <c r="AC49">
        <v>7</v>
      </c>
      <c r="AD49">
        <v>63.16</v>
      </c>
      <c r="AE49">
        <v>13</v>
      </c>
      <c r="AF49">
        <v>9</v>
      </c>
      <c r="AG49">
        <v>3</v>
      </c>
      <c r="AH49">
        <v>7</v>
      </c>
    </row>
    <row r="50" spans="1:34">
      <c r="A50" s="111">
        <v>17</v>
      </c>
      <c r="B50">
        <v>5991</v>
      </c>
      <c r="C50" s="115" t="s">
        <v>149</v>
      </c>
      <c r="D50" s="115" t="s">
        <v>150</v>
      </c>
      <c r="E50">
        <v>953</v>
      </c>
      <c r="F50">
        <v>957</v>
      </c>
      <c r="G50">
        <v>800</v>
      </c>
      <c r="H50" s="115" t="s">
        <v>89</v>
      </c>
      <c r="I50">
        <v>6371</v>
      </c>
      <c r="J50" s="115" t="s">
        <v>142</v>
      </c>
      <c r="K50" s="115" t="s">
        <v>133</v>
      </c>
      <c r="L50">
        <v>3765</v>
      </c>
      <c r="M50">
        <v>3780</v>
      </c>
      <c r="N50">
        <v>200</v>
      </c>
      <c r="O50" s="115" t="s">
        <v>87</v>
      </c>
      <c r="P50">
        <v>0.97364620667161395</v>
      </c>
      <c r="Q50">
        <v>0.95114316050304204</v>
      </c>
      <c r="R50">
        <v>5.0751161477399401E-2</v>
      </c>
      <c r="S50">
        <v>8.7290427124493194E-3</v>
      </c>
      <c r="T50">
        <v>1.78360780330279</v>
      </c>
      <c r="U50">
        <v>1.78360780330279</v>
      </c>
      <c r="V50">
        <v>5.44</v>
      </c>
      <c r="W50">
        <v>1.27</v>
      </c>
      <c r="X50">
        <v>286657</v>
      </c>
      <c r="Y50">
        <v>16862</v>
      </c>
      <c r="Z50">
        <v>0.8</v>
      </c>
      <c r="AA50">
        <v>17</v>
      </c>
      <c r="AB50">
        <v>10</v>
      </c>
      <c r="AC50">
        <v>7</v>
      </c>
      <c r="AD50">
        <v>58.82</v>
      </c>
      <c r="AE50">
        <v>13</v>
      </c>
      <c r="AF50">
        <v>7</v>
      </c>
      <c r="AG50">
        <v>1</v>
      </c>
      <c r="AH50">
        <v>9</v>
      </c>
    </row>
    <row r="51" spans="1:34">
      <c r="A51" s="111">
        <v>170</v>
      </c>
      <c r="B51">
        <v>6770</v>
      </c>
      <c r="C51" s="115" t="s">
        <v>50</v>
      </c>
      <c r="D51" s="115" t="s">
        <v>118</v>
      </c>
      <c r="E51">
        <v>2395</v>
      </c>
      <c r="F51">
        <v>2380</v>
      </c>
      <c r="G51">
        <v>400</v>
      </c>
      <c r="H51" s="115" t="s">
        <v>89</v>
      </c>
      <c r="I51">
        <v>6923</v>
      </c>
      <c r="J51" s="115" t="s">
        <v>146</v>
      </c>
      <c r="K51" s="115" t="s">
        <v>118</v>
      </c>
      <c r="L51">
        <v>2974</v>
      </c>
      <c r="M51">
        <v>2974</v>
      </c>
      <c r="N51">
        <v>300</v>
      </c>
      <c r="O51" s="115" t="s">
        <v>87</v>
      </c>
      <c r="P51">
        <v>0.92744077235262701</v>
      </c>
      <c r="Q51">
        <v>0.91628329244981299</v>
      </c>
      <c r="R51">
        <v>8.5673106525235201E-2</v>
      </c>
      <c r="S51">
        <v>4.3480137548207298E-3</v>
      </c>
      <c r="T51">
        <v>2.1205547975714598</v>
      </c>
      <c r="U51">
        <v>2.1205547975714598</v>
      </c>
      <c r="V51">
        <v>9.44</v>
      </c>
      <c r="W51">
        <v>6.7</v>
      </c>
      <c r="X51">
        <v>284919</v>
      </c>
      <c r="Y51">
        <v>21917</v>
      </c>
      <c r="Z51">
        <v>1.2</v>
      </c>
      <c r="AA51">
        <v>13</v>
      </c>
      <c r="AB51">
        <v>9</v>
      </c>
      <c r="AC51">
        <v>4</v>
      </c>
      <c r="AD51">
        <v>69.23</v>
      </c>
      <c r="AE51">
        <v>11</v>
      </c>
      <c r="AF51">
        <v>7</v>
      </c>
      <c r="AG51">
        <v>1</v>
      </c>
      <c r="AH51">
        <v>5</v>
      </c>
    </row>
    <row r="52" spans="1:34">
      <c r="A52" s="111">
        <v>59</v>
      </c>
      <c r="B52">
        <v>8308</v>
      </c>
      <c r="C52" s="115" t="s">
        <v>136</v>
      </c>
      <c r="D52" s="115" t="s">
        <v>113</v>
      </c>
      <c r="E52">
        <v>468.7</v>
      </c>
      <c r="F52">
        <v>466.8</v>
      </c>
      <c r="G52">
        <v>2300</v>
      </c>
      <c r="H52" s="115" t="s">
        <v>87</v>
      </c>
      <c r="I52">
        <v>8601</v>
      </c>
      <c r="J52" s="115" t="s">
        <v>53</v>
      </c>
      <c r="K52" s="115" t="s">
        <v>152</v>
      </c>
      <c r="L52">
        <v>533.29999999999995</v>
      </c>
      <c r="M52">
        <v>532.29999999999995</v>
      </c>
      <c r="N52">
        <v>2000</v>
      </c>
      <c r="O52" s="115" t="s">
        <v>89</v>
      </c>
      <c r="P52">
        <v>0.92151471047484401</v>
      </c>
      <c r="Q52">
        <v>0.93615472653963705</v>
      </c>
      <c r="R52">
        <v>1.5490436789184801E-2</v>
      </c>
      <c r="S52">
        <v>6.3950837935584703E-2</v>
      </c>
      <c r="T52">
        <v>-2.4912548433170101</v>
      </c>
      <c r="U52">
        <v>2.4912548433170101</v>
      </c>
      <c r="V52">
        <v>-5.93</v>
      </c>
      <c r="W52">
        <v>0.85</v>
      </c>
      <c r="X52">
        <v>279633</v>
      </c>
      <c r="Y52">
        <v>19974</v>
      </c>
      <c r="Z52">
        <v>0.95</v>
      </c>
      <c r="AA52">
        <v>14</v>
      </c>
      <c r="AB52">
        <v>9</v>
      </c>
      <c r="AC52">
        <v>5</v>
      </c>
      <c r="AD52">
        <v>64.290000000000006</v>
      </c>
      <c r="AE52">
        <v>14</v>
      </c>
      <c r="AF52">
        <v>5</v>
      </c>
      <c r="AG52">
        <v>1</v>
      </c>
      <c r="AH52">
        <v>8</v>
      </c>
    </row>
    <row r="53" spans="1:34">
      <c r="A53" s="111">
        <v>175</v>
      </c>
      <c r="B53">
        <v>6845</v>
      </c>
      <c r="C53" s="115" t="s">
        <v>402</v>
      </c>
      <c r="D53" s="115" t="s">
        <v>118</v>
      </c>
      <c r="E53">
        <v>3185</v>
      </c>
      <c r="F53">
        <v>3200</v>
      </c>
      <c r="G53">
        <v>300</v>
      </c>
      <c r="H53" s="115" t="s">
        <v>89</v>
      </c>
      <c r="I53">
        <v>6951</v>
      </c>
      <c r="J53" s="115" t="s">
        <v>434</v>
      </c>
      <c r="K53" s="115" t="s">
        <v>118</v>
      </c>
      <c r="L53">
        <v>2914</v>
      </c>
      <c r="M53">
        <v>2849</v>
      </c>
      <c r="N53">
        <v>300</v>
      </c>
      <c r="O53" s="115" t="s">
        <v>87</v>
      </c>
      <c r="P53">
        <v>0.92190567271695001</v>
      </c>
      <c r="Q53">
        <v>0.91584851122165101</v>
      </c>
      <c r="R53" s="20">
        <v>0.117672691539751</v>
      </c>
      <c r="S53">
        <v>7.0841100300430102E-2</v>
      </c>
      <c r="T53">
        <v>0.238126285779236</v>
      </c>
      <c r="U53">
        <v>0.238126285779236</v>
      </c>
      <c r="V53">
        <v>1.08</v>
      </c>
      <c r="W53">
        <v>10.97</v>
      </c>
      <c r="X53">
        <v>277039</v>
      </c>
      <c r="Y53">
        <v>12593</v>
      </c>
      <c r="Z53">
        <v>0.61</v>
      </c>
      <c r="AA53">
        <v>22</v>
      </c>
      <c r="AB53">
        <v>13</v>
      </c>
      <c r="AC53">
        <v>9</v>
      </c>
      <c r="AD53">
        <v>59.09</v>
      </c>
      <c r="AE53">
        <v>9</v>
      </c>
      <c r="AF53">
        <v>13</v>
      </c>
      <c r="AG53">
        <v>7</v>
      </c>
      <c r="AH53">
        <v>2</v>
      </c>
    </row>
    <row r="54" spans="1:34">
      <c r="A54" s="111">
        <v>85</v>
      </c>
      <c r="B54">
        <v>7211</v>
      </c>
      <c r="C54" s="115" t="s">
        <v>56</v>
      </c>
      <c r="D54" s="115" t="s">
        <v>115</v>
      </c>
      <c r="E54">
        <v>485</v>
      </c>
      <c r="F54">
        <v>487</v>
      </c>
      <c r="G54">
        <v>2100</v>
      </c>
      <c r="H54" s="115" t="s">
        <v>87</v>
      </c>
      <c r="I54">
        <v>8086</v>
      </c>
      <c r="J54" s="115" t="s">
        <v>392</v>
      </c>
      <c r="K54" s="115" t="s">
        <v>126</v>
      </c>
      <c r="L54">
        <v>1286</v>
      </c>
      <c r="M54">
        <v>1287</v>
      </c>
      <c r="N54">
        <v>800</v>
      </c>
      <c r="O54" s="115" t="s">
        <v>89</v>
      </c>
      <c r="P54">
        <v>0.91779556941889895</v>
      </c>
      <c r="Q54">
        <v>0.93153552024310904</v>
      </c>
      <c r="R54">
        <v>1.4640412027891099E-2</v>
      </c>
      <c r="S54">
        <v>4.1602969171519802E-2</v>
      </c>
      <c r="T54">
        <v>-1.01280043964985</v>
      </c>
      <c r="U54">
        <v>1.01280043964985</v>
      </c>
      <c r="V54">
        <v>-3.32</v>
      </c>
      <c r="W54">
        <v>0.67</v>
      </c>
      <c r="X54">
        <v>275281</v>
      </c>
      <c r="Y54">
        <v>17205</v>
      </c>
      <c r="Z54">
        <v>0.87</v>
      </c>
      <c r="AA54">
        <v>16</v>
      </c>
      <c r="AB54">
        <v>11</v>
      </c>
      <c r="AC54">
        <v>5</v>
      </c>
      <c r="AD54">
        <v>68.75</v>
      </c>
      <c r="AE54">
        <v>10</v>
      </c>
      <c r="AF54">
        <v>9</v>
      </c>
      <c r="AG54">
        <v>3</v>
      </c>
      <c r="AH54">
        <v>4</v>
      </c>
    </row>
    <row r="55" spans="1:34">
      <c r="A55" s="111">
        <v>223</v>
      </c>
      <c r="B55">
        <v>7278</v>
      </c>
      <c r="C55" s="115" t="s">
        <v>114</v>
      </c>
      <c r="D55" s="115" t="s">
        <v>115</v>
      </c>
      <c r="E55">
        <v>2389</v>
      </c>
      <c r="F55">
        <v>2377</v>
      </c>
      <c r="G55">
        <v>400</v>
      </c>
      <c r="H55" s="115" t="s">
        <v>89</v>
      </c>
      <c r="I55">
        <v>7846</v>
      </c>
      <c r="J55" s="115" t="s">
        <v>166</v>
      </c>
      <c r="K55" s="115" t="s">
        <v>120</v>
      </c>
      <c r="L55">
        <v>4240</v>
      </c>
      <c r="M55">
        <v>4215</v>
      </c>
      <c r="N55">
        <v>200</v>
      </c>
      <c r="O55" s="115" t="s">
        <v>87</v>
      </c>
      <c r="P55">
        <v>0.93540675625632497</v>
      </c>
      <c r="Q55">
        <v>0.91014504721537604</v>
      </c>
      <c r="R55">
        <v>0.146516468976672</v>
      </c>
      <c r="S55">
        <v>5.4750078885758398E-2</v>
      </c>
      <c r="T55">
        <v>1.26498136881166</v>
      </c>
      <c r="U55">
        <v>1.26498136881166</v>
      </c>
      <c r="V55">
        <v>3.55</v>
      </c>
      <c r="W55">
        <v>12.79</v>
      </c>
      <c r="X55">
        <v>267072</v>
      </c>
      <c r="Y55">
        <v>29675</v>
      </c>
      <c r="Z55">
        <v>1.57</v>
      </c>
      <c r="AA55">
        <v>9</v>
      </c>
      <c r="AB55">
        <v>7</v>
      </c>
      <c r="AC55">
        <v>2</v>
      </c>
      <c r="AD55">
        <v>77.78</v>
      </c>
      <c r="AE55">
        <v>11</v>
      </c>
      <c r="AF55">
        <v>6</v>
      </c>
      <c r="AG55">
        <v>2</v>
      </c>
      <c r="AH55">
        <v>1</v>
      </c>
    </row>
    <row r="56" spans="1:34">
      <c r="A56" s="111">
        <v>174</v>
      </c>
      <c r="B56">
        <v>4182</v>
      </c>
      <c r="C56" s="115" t="s">
        <v>119</v>
      </c>
      <c r="D56" s="115" t="s">
        <v>88</v>
      </c>
      <c r="E56">
        <v>1620</v>
      </c>
      <c r="F56">
        <v>1632</v>
      </c>
      <c r="G56">
        <v>500</v>
      </c>
      <c r="H56" s="115" t="s">
        <v>89</v>
      </c>
      <c r="I56">
        <v>6923</v>
      </c>
      <c r="J56" s="115" t="s">
        <v>146</v>
      </c>
      <c r="K56" s="115" t="s">
        <v>118</v>
      </c>
      <c r="L56">
        <v>2974</v>
      </c>
      <c r="M56">
        <v>2974</v>
      </c>
      <c r="N56">
        <v>300</v>
      </c>
      <c r="O56" s="115" t="s">
        <v>87</v>
      </c>
      <c r="P56">
        <v>0.96129997967366199</v>
      </c>
      <c r="Q56">
        <v>0.91587743629092899</v>
      </c>
      <c r="R56">
        <v>6.8122619430080397E-2</v>
      </c>
      <c r="S56">
        <v>2.2739574497545802E-2</v>
      </c>
      <c r="T56">
        <v>1.9939210619804499</v>
      </c>
      <c r="U56">
        <v>1.9939210619804499</v>
      </c>
      <c r="V56">
        <v>8.0500000000000007</v>
      </c>
      <c r="W56">
        <v>8.5399999999999991</v>
      </c>
      <c r="X56">
        <v>266783</v>
      </c>
      <c r="Y56">
        <v>22232</v>
      </c>
      <c r="Z56">
        <v>1.05</v>
      </c>
      <c r="AA56">
        <v>12</v>
      </c>
      <c r="AB56">
        <v>6</v>
      </c>
      <c r="AC56">
        <v>6</v>
      </c>
      <c r="AD56">
        <v>50</v>
      </c>
      <c r="AE56">
        <v>10</v>
      </c>
      <c r="AF56">
        <v>5</v>
      </c>
      <c r="AG56">
        <v>3</v>
      </c>
      <c r="AH56">
        <v>4</v>
      </c>
    </row>
    <row r="57" spans="1:34">
      <c r="A57" s="111">
        <v>186</v>
      </c>
      <c r="B57">
        <v>6474</v>
      </c>
      <c r="C57" s="115" t="s">
        <v>417</v>
      </c>
      <c r="D57" s="115" t="s">
        <v>133</v>
      </c>
      <c r="E57">
        <v>4945</v>
      </c>
      <c r="F57">
        <v>4980</v>
      </c>
      <c r="G57">
        <v>200</v>
      </c>
      <c r="H57" s="115" t="s">
        <v>89</v>
      </c>
      <c r="I57">
        <v>6503</v>
      </c>
      <c r="J57" s="115" t="s">
        <v>418</v>
      </c>
      <c r="K57" s="115" t="s">
        <v>118</v>
      </c>
      <c r="L57">
        <v>1505</v>
      </c>
      <c r="M57">
        <v>1501.5</v>
      </c>
      <c r="N57">
        <v>700</v>
      </c>
      <c r="O57" s="115" t="s">
        <v>87</v>
      </c>
      <c r="P57">
        <v>0.96954809697005195</v>
      </c>
      <c r="Q57">
        <v>0.91504677688048897</v>
      </c>
      <c r="R57">
        <v>0.11009604962849499</v>
      </c>
      <c r="S57">
        <v>1.71893555848972E-2</v>
      </c>
      <c r="T57">
        <v>0.31198365390162902</v>
      </c>
      <c r="U57">
        <v>0.31198365390162902</v>
      </c>
      <c r="V57">
        <v>0.66</v>
      </c>
      <c r="W57">
        <v>5.53</v>
      </c>
      <c r="X57">
        <v>266206</v>
      </c>
      <c r="Y57">
        <v>20477</v>
      </c>
      <c r="Z57">
        <v>1.38</v>
      </c>
      <c r="AA57">
        <v>13</v>
      </c>
      <c r="AB57">
        <v>10</v>
      </c>
      <c r="AC57">
        <v>3</v>
      </c>
      <c r="AD57">
        <v>76.92</v>
      </c>
      <c r="AE57">
        <v>11</v>
      </c>
      <c r="AF57">
        <v>8</v>
      </c>
      <c r="AG57">
        <v>1</v>
      </c>
      <c r="AH57">
        <v>4</v>
      </c>
    </row>
    <row r="58" spans="1:34">
      <c r="A58" s="111">
        <v>115</v>
      </c>
      <c r="B58">
        <v>7259</v>
      </c>
      <c r="C58" s="115" t="s">
        <v>55</v>
      </c>
      <c r="D58" s="115" t="s">
        <v>115</v>
      </c>
      <c r="E58">
        <v>4125</v>
      </c>
      <c r="F58">
        <v>4090</v>
      </c>
      <c r="G58">
        <v>200</v>
      </c>
      <c r="H58" s="115" t="s">
        <v>89</v>
      </c>
      <c r="I58">
        <v>7278</v>
      </c>
      <c r="J58" s="115" t="s">
        <v>114</v>
      </c>
      <c r="K58" s="115" t="s">
        <v>115</v>
      </c>
      <c r="L58">
        <v>2389</v>
      </c>
      <c r="M58">
        <v>2377</v>
      </c>
      <c r="N58">
        <v>300</v>
      </c>
      <c r="O58" s="115" t="s">
        <v>87</v>
      </c>
      <c r="P58">
        <v>0.98578596257314999</v>
      </c>
      <c r="Q58">
        <v>0.92484489054979402</v>
      </c>
      <c r="R58">
        <v>5.3956837309109404E-3</v>
      </c>
      <c r="S58">
        <v>0.140967256026482</v>
      </c>
      <c r="T58">
        <v>1.28146628752061</v>
      </c>
      <c r="U58">
        <v>1.28146628752061</v>
      </c>
      <c r="V58">
        <v>4.68</v>
      </c>
      <c r="W58">
        <v>12.82</v>
      </c>
      <c r="X58">
        <v>265669</v>
      </c>
      <c r="Y58">
        <v>24152</v>
      </c>
      <c r="Z58">
        <v>1.6</v>
      </c>
      <c r="AA58">
        <v>11</v>
      </c>
      <c r="AB58">
        <v>9</v>
      </c>
      <c r="AC58">
        <v>2</v>
      </c>
      <c r="AD58">
        <v>81.819999999999993</v>
      </c>
      <c r="AE58">
        <v>14</v>
      </c>
      <c r="AF58">
        <v>3</v>
      </c>
      <c r="AG58">
        <v>1</v>
      </c>
      <c r="AH58">
        <v>7</v>
      </c>
    </row>
    <row r="59" spans="1:34">
      <c r="A59" s="111">
        <v>255</v>
      </c>
      <c r="B59">
        <v>1860</v>
      </c>
      <c r="C59" s="115" t="s">
        <v>145</v>
      </c>
      <c r="D59" s="115" t="s">
        <v>108</v>
      </c>
      <c r="E59">
        <v>671</v>
      </c>
      <c r="F59">
        <v>676</v>
      </c>
      <c r="G59">
        <v>1100</v>
      </c>
      <c r="H59" s="115" t="s">
        <v>87</v>
      </c>
      <c r="I59">
        <v>9787</v>
      </c>
      <c r="J59" s="115" t="s">
        <v>419</v>
      </c>
      <c r="K59" s="115" t="s">
        <v>158</v>
      </c>
      <c r="L59">
        <v>3860</v>
      </c>
      <c r="M59">
        <v>3870</v>
      </c>
      <c r="N59">
        <v>200</v>
      </c>
      <c r="O59" s="115" t="s">
        <v>89</v>
      </c>
      <c r="P59">
        <v>0.97115477486706203</v>
      </c>
      <c r="Q59">
        <v>0.90566165825204403</v>
      </c>
      <c r="R59">
        <v>4.7038964695543398E-3</v>
      </c>
      <c r="S59">
        <v>1.95488670247907E-3</v>
      </c>
      <c r="T59">
        <v>-0.88779426277736495</v>
      </c>
      <c r="U59">
        <v>0.88779426277736495</v>
      </c>
      <c r="V59">
        <v>-2.31</v>
      </c>
      <c r="W59">
        <v>3.93</v>
      </c>
      <c r="X59">
        <v>261284</v>
      </c>
      <c r="Y59">
        <v>11877</v>
      </c>
      <c r="Z59">
        <v>0.59</v>
      </c>
      <c r="AA59">
        <v>22</v>
      </c>
      <c r="AB59">
        <v>12</v>
      </c>
      <c r="AC59">
        <v>10</v>
      </c>
      <c r="AD59">
        <v>54.55</v>
      </c>
      <c r="AE59">
        <v>12</v>
      </c>
      <c r="AF59">
        <v>9</v>
      </c>
      <c r="AG59">
        <v>4</v>
      </c>
      <c r="AH59">
        <v>9</v>
      </c>
    </row>
    <row r="60" spans="1:34">
      <c r="A60" s="111">
        <v>66</v>
      </c>
      <c r="B60">
        <v>1963</v>
      </c>
      <c r="C60" s="115" t="s">
        <v>180</v>
      </c>
      <c r="D60" s="115" t="s">
        <v>108</v>
      </c>
      <c r="E60">
        <v>1633</v>
      </c>
      <c r="F60">
        <v>1656</v>
      </c>
      <c r="G60">
        <v>600</v>
      </c>
      <c r="H60" s="115" t="s">
        <v>89</v>
      </c>
      <c r="I60">
        <v>5802</v>
      </c>
      <c r="J60" s="115" t="s">
        <v>181</v>
      </c>
      <c r="K60" s="115" t="s">
        <v>182</v>
      </c>
      <c r="L60">
        <v>1526.5</v>
      </c>
      <c r="M60">
        <v>1526.5</v>
      </c>
      <c r="N60">
        <v>700</v>
      </c>
      <c r="O60" s="115" t="s">
        <v>87</v>
      </c>
      <c r="P60">
        <v>0.97586140493511997</v>
      </c>
      <c r="Q60">
        <v>0.93552887320856803</v>
      </c>
      <c r="R60">
        <v>3.4173519091709001E-2</v>
      </c>
      <c r="S60">
        <v>1.6739129876451101E-4</v>
      </c>
      <c r="T60">
        <v>1.6371156968559899</v>
      </c>
      <c r="U60">
        <v>1.6371156968559899</v>
      </c>
      <c r="V60">
        <v>4.63</v>
      </c>
      <c r="W60">
        <v>7.54</v>
      </c>
      <c r="X60">
        <v>258814</v>
      </c>
      <c r="Y60">
        <v>10784</v>
      </c>
      <c r="Z60">
        <v>0.55000000000000004</v>
      </c>
      <c r="AA60">
        <v>24</v>
      </c>
      <c r="AB60">
        <v>14</v>
      </c>
      <c r="AC60">
        <v>10</v>
      </c>
      <c r="AD60">
        <v>58.33</v>
      </c>
      <c r="AE60">
        <v>13</v>
      </c>
      <c r="AF60">
        <v>11</v>
      </c>
      <c r="AG60">
        <v>6</v>
      </c>
      <c r="AH60">
        <v>7</v>
      </c>
    </row>
    <row r="61" spans="1:34">
      <c r="A61" s="111">
        <v>47</v>
      </c>
      <c r="B61">
        <v>6645</v>
      </c>
      <c r="C61" s="115" t="s">
        <v>165</v>
      </c>
      <c r="D61" s="115" t="s">
        <v>118</v>
      </c>
      <c r="E61">
        <v>6400</v>
      </c>
      <c r="F61">
        <v>6320</v>
      </c>
      <c r="G61">
        <v>100</v>
      </c>
      <c r="H61" s="115" t="s">
        <v>87</v>
      </c>
      <c r="I61">
        <v>6845</v>
      </c>
      <c r="J61" s="115" t="s">
        <v>402</v>
      </c>
      <c r="K61" s="115" t="s">
        <v>118</v>
      </c>
      <c r="L61">
        <v>3185</v>
      </c>
      <c r="M61">
        <v>3200</v>
      </c>
      <c r="N61">
        <v>200</v>
      </c>
      <c r="O61" s="115" t="s">
        <v>89</v>
      </c>
      <c r="P61">
        <v>0.92403759732820201</v>
      </c>
      <c r="Q61">
        <v>0.93917248738787795</v>
      </c>
      <c r="R61">
        <v>0.22040494469113001</v>
      </c>
      <c r="S61">
        <v>6.9336261434465897E-3</v>
      </c>
      <c r="T61">
        <v>-0.52095830370865504</v>
      </c>
      <c r="U61">
        <v>0.52095830370865504</v>
      </c>
      <c r="V61">
        <v>-2.35</v>
      </c>
      <c r="W61">
        <v>1.27</v>
      </c>
      <c r="X61">
        <v>258190</v>
      </c>
      <c r="Y61">
        <v>15188</v>
      </c>
      <c r="Z61">
        <v>0.8</v>
      </c>
      <c r="AA61">
        <v>17</v>
      </c>
      <c r="AB61">
        <v>10</v>
      </c>
      <c r="AC61">
        <v>7</v>
      </c>
      <c r="AD61">
        <v>58.82</v>
      </c>
      <c r="AE61">
        <v>10</v>
      </c>
      <c r="AF61">
        <v>9</v>
      </c>
      <c r="AG61">
        <v>4</v>
      </c>
      <c r="AH61">
        <v>4</v>
      </c>
    </row>
    <row r="62" spans="1:34">
      <c r="A62" s="111">
        <v>104</v>
      </c>
      <c r="B62">
        <v>8411</v>
      </c>
      <c r="C62" s="115" t="s">
        <v>160</v>
      </c>
      <c r="D62" s="115" t="s">
        <v>113</v>
      </c>
      <c r="E62">
        <v>168.5</v>
      </c>
      <c r="F62">
        <v>168.8</v>
      </c>
      <c r="G62">
        <v>6300</v>
      </c>
      <c r="H62" s="115" t="s">
        <v>87</v>
      </c>
      <c r="I62">
        <v>8601</v>
      </c>
      <c r="J62" s="115" t="s">
        <v>53</v>
      </c>
      <c r="K62" s="115" t="s">
        <v>152</v>
      </c>
      <c r="L62">
        <v>533.29999999999995</v>
      </c>
      <c r="M62">
        <v>532.29999999999995</v>
      </c>
      <c r="N62">
        <v>2000</v>
      </c>
      <c r="O62" s="115" t="s">
        <v>89</v>
      </c>
      <c r="P62">
        <v>0.93845992123542599</v>
      </c>
      <c r="Q62">
        <v>0.92624752181386505</v>
      </c>
      <c r="R62">
        <v>2.7298497957440101E-2</v>
      </c>
      <c r="S62">
        <v>0.30955461416685498</v>
      </c>
      <c r="T62">
        <v>-2.5305098843501899</v>
      </c>
      <c r="U62">
        <v>2.5305098843501899</v>
      </c>
      <c r="V62">
        <v>-6.1</v>
      </c>
      <c r="W62">
        <v>0.11</v>
      </c>
      <c r="X62">
        <v>254740</v>
      </c>
      <c r="Y62">
        <v>16983</v>
      </c>
      <c r="Z62">
        <v>0.8</v>
      </c>
      <c r="AA62">
        <v>15</v>
      </c>
      <c r="AB62">
        <v>10</v>
      </c>
      <c r="AC62">
        <v>5</v>
      </c>
      <c r="AD62">
        <v>66.67</v>
      </c>
      <c r="AE62">
        <v>15</v>
      </c>
      <c r="AF62">
        <v>2</v>
      </c>
      <c r="AG62">
        <v>0</v>
      </c>
      <c r="AH62">
        <v>13</v>
      </c>
    </row>
    <row r="63" spans="1:34">
      <c r="A63" s="111">
        <v>63</v>
      </c>
      <c r="B63">
        <v>1824</v>
      </c>
      <c r="C63" s="115" t="s">
        <v>413</v>
      </c>
      <c r="D63" s="115" t="s">
        <v>108</v>
      </c>
      <c r="E63">
        <v>966</v>
      </c>
      <c r="F63">
        <v>972</v>
      </c>
      <c r="G63">
        <v>800</v>
      </c>
      <c r="H63" s="115" t="s">
        <v>87</v>
      </c>
      <c r="I63">
        <v>9787</v>
      </c>
      <c r="J63" s="115" t="s">
        <v>419</v>
      </c>
      <c r="K63" s="115" t="s">
        <v>158</v>
      </c>
      <c r="L63">
        <v>3860</v>
      </c>
      <c r="M63">
        <v>3870</v>
      </c>
      <c r="N63">
        <v>200</v>
      </c>
      <c r="O63" s="115" t="s">
        <v>89</v>
      </c>
      <c r="P63">
        <v>0.92772749677338395</v>
      </c>
      <c r="Q63">
        <v>0.93580879421360696</v>
      </c>
      <c r="R63">
        <v>5.1492104261286302E-2</v>
      </c>
      <c r="S63">
        <v>2.5055279571203101E-3</v>
      </c>
      <c r="T63">
        <v>-1.2805904924717799</v>
      </c>
      <c r="U63">
        <v>1.2805904924717799</v>
      </c>
      <c r="V63">
        <v>-5.57</v>
      </c>
      <c r="W63">
        <v>0.47</v>
      </c>
      <c r="X63">
        <v>254476</v>
      </c>
      <c r="Y63">
        <v>14138</v>
      </c>
      <c r="Z63">
        <v>0.64</v>
      </c>
      <c r="AA63">
        <v>18</v>
      </c>
      <c r="AB63">
        <v>10</v>
      </c>
      <c r="AC63">
        <v>8</v>
      </c>
      <c r="AD63">
        <v>55.56</v>
      </c>
      <c r="AE63">
        <v>12</v>
      </c>
      <c r="AF63">
        <v>8</v>
      </c>
      <c r="AG63">
        <v>4</v>
      </c>
      <c r="AH63">
        <v>6</v>
      </c>
    </row>
    <row r="64" spans="1:34">
      <c r="A64" s="111">
        <v>197</v>
      </c>
      <c r="B64">
        <v>1860</v>
      </c>
      <c r="C64" s="115" t="s">
        <v>145</v>
      </c>
      <c r="D64" s="115" t="s">
        <v>108</v>
      </c>
      <c r="E64">
        <v>671</v>
      </c>
      <c r="F64">
        <v>676</v>
      </c>
      <c r="G64">
        <v>1300</v>
      </c>
      <c r="H64" s="115" t="s">
        <v>87</v>
      </c>
      <c r="I64">
        <v>7272</v>
      </c>
      <c r="J64" s="115" t="s">
        <v>391</v>
      </c>
      <c r="K64" s="115" t="s">
        <v>115</v>
      </c>
      <c r="L64">
        <v>2247</v>
      </c>
      <c r="M64">
        <v>2250</v>
      </c>
      <c r="N64">
        <v>400</v>
      </c>
      <c r="O64" s="115" t="s">
        <v>89</v>
      </c>
      <c r="P64">
        <v>0.96465303600860297</v>
      </c>
      <c r="Q64">
        <v>0.91339861470789396</v>
      </c>
      <c r="R64">
        <v>2.36689094908966E-2</v>
      </c>
      <c r="S64" s="20">
        <v>4.18925313588525E-4</v>
      </c>
      <c r="T64">
        <v>-1.8223038016658599</v>
      </c>
      <c r="U64">
        <v>1.8223038016658599</v>
      </c>
      <c r="V64">
        <v>-5.92</v>
      </c>
      <c r="W64">
        <v>2.36</v>
      </c>
      <c r="X64">
        <v>251538</v>
      </c>
      <c r="Y64">
        <v>13974</v>
      </c>
      <c r="Z64">
        <v>0.68</v>
      </c>
      <c r="AA64">
        <v>18</v>
      </c>
      <c r="AB64">
        <v>11</v>
      </c>
      <c r="AC64">
        <v>7</v>
      </c>
      <c r="AD64">
        <v>61.11</v>
      </c>
      <c r="AE64">
        <v>10</v>
      </c>
      <c r="AF64">
        <v>10</v>
      </c>
      <c r="AG64">
        <v>5</v>
      </c>
      <c r="AH64">
        <v>3</v>
      </c>
    </row>
    <row r="65" spans="1:34">
      <c r="A65" s="111">
        <v>112</v>
      </c>
      <c r="B65">
        <v>6752</v>
      </c>
      <c r="C65" s="115" t="s">
        <v>139</v>
      </c>
      <c r="D65" s="115" t="s">
        <v>118</v>
      </c>
      <c r="E65">
        <v>998.1</v>
      </c>
      <c r="F65">
        <v>1005</v>
      </c>
      <c r="G65">
        <v>1100</v>
      </c>
      <c r="H65" s="115" t="s">
        <v>87</v>
      </c>
      <c r="I65">
        <v>7205</v>
      </c>
      <c r="J65" s="115" t="s">
        <v>151</v>
      </c>
      <c r="K65" s="115" t="s">
        <v>115</v>
      </c>
      <c r="L65">
        <v>1053</v>
      </c>
      <c r="M65">
        <v>1069</v>
      </c>
      <c r="N65">
        <v>1000</v>
      </c>
      <c r="O65" s="115" t="s">
        <v>89</v>
      </c>
      <c r="P65">
        <v>0.95488207490411903</v>
      </c>
      <c r="Q65">
        <v>0.92534921287189298</v>
      </c>
      <c r="R65">
        <v>4.3512729161792198E-2</v>
      </c>
      <c r="S65">
        <v>4.6825800341108198E-2</v>
      </c>
      <c r="T65">
        <v>-1.0628712624052401</v>
      </c>
      <c r="U65">
        <v>1.0628712624052401</v>
      </c>
      <c r="V65">
        <v>-3.37</v>
      </c>
      <c r="W65">
        <v>3.41</v>
      </c>
      <c r="X65">
        <v>250595</v>
      </c>
      <c r="Y65">
        <v>16706</v>
      </c>
      <c r="Z65">
        <v>0.8</v>
      </c>
      <c r="AA65">
        <v>15</v>
      </c>
      <c r="AB65">
        <v>10</v>
      </c>
      <c r="AC65">
        <v>5</v>
      </c>
      <c r="AD65">
        <v>66.67</v>
      </c>
      <c r="AE65">
        <v>14</v>
      </c>
      <c r="AF65">
        <v>6</v>
      </c>
      <c r="AG65">
        <v>1</v>
      </c>
      <c r="AH65">
        <v>8</v>
      </c>
    </row>
    <row r="66" spans="1:34">
      <c r="A66" s="111">
        <v>51</v>
      </c>
      <c r="B66">
        <v>6506</v>
      </c>
      <c r="C66" s="115" t="s">
        <v>164</v>
      </c>
      <c r="D66" s="115" t="s">
        <v>118</v>
      </c>
      <c r="E66">
        <v>4020</v>
      </c>
      <c r="F66">
        <v>3985</v>
      </c>
      <c r="G66">
        <v>200</v>
      </c>
      <c r="H66" s="115" t="s">
        <v>87</v>
      </c>
      <c r="I66">
        <v>6645</v>
      </c>
      <c r="J66" s="115" t="s">
        <v>165</v>
      </c>
      <c r="K66" s="115" t="s">
        <v>118</v>
      </c>
      <c r="L66">
        <v>6400</v>
      </c>
      <c r="M66">
        <v>6320</v>
      </c>
      <c r="N66">
        <v>100</v>
      </c>
      <c r="O66" s="115" t="s">
        <v>89</v>
      </c>
      <c r="P66">
        <v>0.96761007369159702</v>
      </c>
      <c r="Q66">
        <v>0.93843761893827404</v>
      </c>
      <c r="R66">
        <v>0.10771872661923899</v>
      </c>
      <c r="S66">
        <v>1.8806030136450699E-2</v>
      </c>
      <c r="T66">
        <v>-1.8290434312611299</v>
      </c>
      <c r="U66">
        <v>1.8290434312611299</v>
      </c>
      <c r="V66">
        <v>-4.83</v>
      </c>
      <c r="W66">
        <v>26.11</v>
      </c>
      <c r="X66">
        <v>249448</v>
      </c>
      <c r="Y66">
        <v>19188</v>
      </c>
      <c r="Z66">
        <v>0.86</v>
      </c>
      <c r="AA66">
        <v>13</v>
      </c>
      <c r="AB66">
        <v>8</v>
      </c>
      <c r="AC66">
        <v>5</v>
      </c>
      <c r="AD66">
        <v>61.54</v>
      </c>
      <c r="AE66">
        <v>13</v>
      </c>
      <c r="AF66">
        <v>5</v>
      </c>
      <c r="AG66">
        <v>3</v>
      </c>
      <c r="AH66">
        <v>5</v>
      </c>
    </row>
    <row r="67" spans="1:34">
      <c r="A67" s="111">
        <v>118</v>
      </c>
      <c r="B67">
        <v>4061</v>
      </c>
      <c r="C67" s="115" t="s">
        <v>162</v>
      </c>
      <c r="D67" s="115" t="s">
        <v>88</v>
      </c>
      <c r="E67">
        <v>3300</v>
      </c>
      <c r="F67">
        <v>3250</v>
      </c>
      <c r="G67">
        <v>300</v>
      </c>
      <c r="H67" s="115" t="s">
        <v>87</v>
      </c>
      <c r="I67">
        <v>4401</v>
      </c>
      <c r="J67" s="115" t="s">
        <v>420</v>
      </c>
      <c r="K67" s="115" t="s">
        <v>88</v>
      </c>
      <c r="L67">
        <v>1655</v>
      </c>
      <c r="M67">
        <v>1654</v>
      </c>
      <c r="N67">
        <v>600</v>
      </c>
      <c r="O67" s="115" t="s">
        <v>89</v>
      </c>
      <c r="P67">
        <v>0.95895865637594002</v>
      </c>
      <c r="Q67">
        <v>0.92446278950678096</v>
      </c>
      <c r="R67">
        <v>2.7971192353328501E-2</v>
      </c>
      <c r="S67">
        <v>7.8517368261556998E-4</v>
      </c>
      <c r="T67">
        <v>-1.8926040682941501</v>
      </c>
      <c r="U67">
        <v>1.8926040682941501</v>
      </c>
      <c r="V67">
        <v>-7.67</v>
      </c>
      <c r="W67">
        <v>1.78</v>
      </c>
      <c r="X67">
        <v>248623</v>
      </c>
      <c r="Y67">
        <v>17759</v>
      </c>
      <c r="Z67">
        <v>1.01</v>
      </c>
      <c r="AA67">
        <v>14</v>
      </c>
      <c r="AB67">
        <v>8</v>
      </c>
      <c r="AC67">
        <v>6</v>
      </c>
      <c r="AD67">
        <v>57.14</v>
      </c>
      <c r="AE67">
        <v>12</v>
      </c>
      <c r="AF67">
        <v>7</v>
      </c>
      <c r="AG67">
        <v>1</v>
      </c>
      <c r="AH67">
        <v>6</v>
      </c>
    </row>
    <row r="68" spans="1:34">
      <c r="A68" s="111">
        <v>132</v>
      </c>
      <c r="B68">
        <v>6845</v>
      </c>
      <c r="C68" s="115" t="s">
        <v>402</v>
      </c>
      <c r="D68" s="115" t="s">
        <v>118</v>
      </c>
      <c r="E68">
        <v>3185</v>
      </c>
      <c r="F68">
        <v>3200</v>
      </c>
      <c r="G68">
        <v>300</v>
      </c>
      <c r="H68" s="115" t="s">
        <v>87</v>
      </c>
      <c r="I68">
        <v>8919</v>
      </c>
      <c r="J68" s="115" t="s">
        <v>451</v>
      </c>
      <c r="K68" s="115" t="s">
        <v>148</v>
      </c>
      <c r="L68">
        <v>5140</v>
      </c>
      <c r="M68">
        <v>5150</v>
      </c>
      <c r="N68">
        <v>200</v>
      </c>
      <c r="O68" s="115" t="s">
        <v>89</v>
      </c>
      <c r="P68">
        <v>0.91230660696472698</v>
      </c>
      <c r="Q68">
        <v>0.92267150839942103</v>
      </c>
      <c r="R68">
        <v>6.8817177365555496E-2</v>
      </c>
      <c r="S68">
        <v>0.15945413047705401</v>
      </c>
      <c r="T68">
        <v>-1.6532982772279301</v>
      </c>
      <c r="U68">
        <v>1.6532982772279301</v>
      </c>
      <c r="V68">
        <v>-5.56</v>
      </c>
      <c r="W68">
        <v>6.8</v>
      </c>
      <c r="X68">
        <v>246214</v>
      </c>
      <c r="Y68">
        <v>22383</v>
      </c>
      <c r="Z68">
        <v>1.22</v>
      </c>
      <c r="AA68">
        <v>11</v>
      </c>
      <c r="AB68">
        <v>7</v>
      </c>
      <c r="AC68">
        <v>4</v>
      </c>
      <c r="AD68">
        <v>63.64</v>
      </c>
      <c r="AE68">
        <v>9</v>
      </c>
      <c r="AF68">
        <v>7</v>
      </c>
      <c r="AG68">
        <v>4</v>
      </c>
      <c r="AH68">
        <v>0</v>
      </c>
    </row>
    <row r="69" spans="1:34">
      <c r="A69" s="111">
        <v>77</v>
      </c>
      <c r="B69">
        <v>4183</v>
      </c>
      <c r="C69" s="115" t="s">
        <v>394</v>
      </c>
      <c r="D69" s="115" t="s">
        <v>88</v>
      </c>
      <c r="E69">
        <v>2609</v>
      </c>
      <c r="F69">
        <v>2633</v>
      </c>
      <c r="G69">
        <v>400</v>
      </c>
      <c r="H69" s="115" t="s">
        <v>89</v>
      </c>
      <c r="I69">
        <v>6305</v>
      </c>
      <c r="J69" s="115" t="s">
        <v>59</v>
      </c>
      <c r="K69" s="115" t="s">
        <v>133</v>
      </c>
      <c r="L69">
        <v>2703</v>
      </c>
      <c r="M69">
        <v>2678</v>
      </c>
      <c r="N69">
        <v>400</v>
      </c>
      <c r="O69" s="115" t="s">
        <v>87</v>
      </c>
      <c r="P69">
        <v>0.96041362272525199</v>
      </c>
      <c r="Q69">
        <v>0.93310194551559</v>
      </c>
      <c r="R69">
        <v>8.9156987945763905E-2</v>
      </c>
      <c r="S69">
        <v>9.62579201158416E-3</v>
      </c>
      <c r="T69">
        <v>0.44286179016114902</v>
      </c>
      <c r="U69">
        <v>0.44286179016114902</v>
      </c>
      <c r="V69">
        <v>1.2</v>
      </c>
      <c r="W69">
        <v>1.68</v>
      </c>
      <c r="X69">
        <v>237901</v>
      </c>
      <c r="Y69">
        <v>16993</v>
      </c>
      <c r="Z69">
        <v>0.99</v>
      </c>
      <c r="AA69">
        <v>14</v>
      </c>
      <c r="AB69">
        <v>10</v>
      </c>
      <c r="AC69">
        <v>4</v>
      </c>
      <c r="AD69">
        <v>71.430000000000007</v>
      </c>
      <c r="AE69">
        <v>12</v>
      </c>
      <c r="AF69">
        <v>8</v>
      </c>
      <c r="AG69">
        <v>2</v>
      </c>
      <c r="AH69">
        <v>4</v>
      </c>
    </row>
    <row r="70" spans="1:34">
      <c r="A70" s="111">
        <v>241</v>
      </c>
      <c r="B70">
        <v>3048</v>
      </c>
      <c r="C70" s="115" t="s">
        <v>410</v>
      </c>
      <c r="D70" s="115" t="s">
        <v>128</v>
      </c>
      <c r="E70">
        <v>1207</v>
      </c>
      <c r="F70">
        <v>1199</v>
      </c>
      <c r="G70">
        <v>900</v>
      </c>
      <c r="H70" s="115" t="s">
        <v>89</v>
      </c>
      <c r="I70">
        <v>8279</v>
      </c>
      <c r="J70" s="115" t="s">
        <v>421</v>
      </c>
      <c r="K70" s="115" t="s">
        <v>128</v>
      </c>
      <c r="L70">
        <v>5140</v>
      </c>
      <c r="M70">
        <v>5130</v>
      </c>
      <c r="N70">
        <v>200</v>
      </c>
      <c r="O70" s="115" t="s">
        <v>87</v>
      </c>
      <c r="P70">
        <v>0.93124982948530799</v>
      </c>
      <c r="Q70">
        <v>0.90817539556101401</v>
      </c>
      <c r="R70" s="20">
        <v>6.1089417646858699E-2</v>
      </c>
      <c r="S70">
        <v>0.18704218058224101</v>
      </c>
      <c r="T70">
        <v>0.75962919975629895</v>
      </c>
      <c r="U70">
        <v>0.75962919975629895</v>
      </c>
      <c r="V70">
        <v>2.2400000000000002</v>
      </c>
      <c r="W70">
        <v>5.18</v>
      </c>
      <c r="X70">
        <v>236370</v>
      </c>
      <c r="Y70">
        <v>12441</v>
      </c>
      <c r="Z70">
        <v>0.75</v>
      </c>
      <c r="AA70">
        <v>19</v>
      </c>
      <c r="AB70">
        <v>12</v>
      </c>
      <c r="AC70">
        <v>7</v>
      </c>
      <c r="AD70">
        <v>63.16</v>
      </c>
      <c r="AE70">
        <v>11</v>
      </c>
      <c r="AF70">
        <v>8</v>
      </c>
      <c r="AG70">
        <v>3</v>
      </c>
      <c r="AH70">
        <v>8</v>
      </c>
    </row>
    <row r="71" spans="1:34">
      <c r="A71" s="111">
        <v>13</v>
      </c>
      <c r="B71">
        <v>6752</v>
      </c>
      <c r="C71" s="115" t="s">
        <v>139</v>
      </c>
      <c r="D71" s="115" t="s">
        <v>118</v>
      </c>
      <c r="E71">
        <v>998.1</v>
      </c>
      <c r="F71">
        <v>1005</v>
      </c>
      <c r="G71">
        <v>900</v>
      </c>
      <c r="H71" s="115" t="s">
        <v>89</v>
      </c>
      <c r="I71">
        <v>7278</v>
      </c>
      <c r="J71" s="115" t="s">
        <v>114</v>
      </c>
      <c r="K71" s="115" t="s">
        <v>115</v>
      </c>
      <c r="L71">
        <v>2389</v>
      </c>
      <c r="M71">
        <v>2377</v>
      </c>
      <c r="N71">
        <v>400</v>
      </c>
      <c r="O71" s="115" t="s">
        <v>87</v>
      </c>
      <c r="P71">
        <v>0.95091009135567295</v>
      </c>
      <c r="Q71">
        <v>0.95455369763209397</v>
      </c>
      <c r="R71">
        <v>2.2654437479727599E-3</v>
      </c>
      <c r="S71">
        <v>9.4350547930867497E-4</v>
      </c>
      <c r="T71">
        <v>0.87005400480641104</v>
      </c>
      <c r="U71">
        <v>0.87005400480641104</v>
      </c>
      <c r="V71">
        <v>2.0699999999999998</v>
      </c>
      <c r="W71">
        <v>4.87</v>
      </c>
      <c r="X71">
        <v>229417</v>
      </c>
      <c r="Y71">
        <v>12745</v>
      </c>
      <c r="Z71">
        <v>0.64</v>
      </c>
      <c r="AA71">
        <v>18</v>
      </c>
      <c r="AB71">
        <v>10</v>
      </c>
      <c r="AC71">
        <v>8</v>
      </c>
      <c r="AD71">
        <v>55.56</v>
      </c>
      <c r="AE71">
        <v>12</v>
      </c>
      <c r="AF71">
        <v>7</v>
      </c>
      <c r="AG71">
        <v>2</v>
      </c>
      <c r="AH71">
        <v>9</v>
      </c>
    </row>
    <row r="72" spans="1:34">
      <c r="A72" s="111">
        <v>54</v>
      </c>
      <c r="B72">
        <v>1944</v>
      </c>
      <c r="C72" s="115" t="s">
        <v>185</v>
      </c>
      <c r="D72" s="115" t="s">
        <v>108</v>
      </c>
      <c r="E72">
        <v>1670</v>
      </c>
      <c r="F72">
        <v>1683</v>
      </c>
      <c r="G72">
        <v>500</v>
      </c>
      <c r="H72" s="115" t="s">
        <v>87</v>
      </c>
      <c r="I72">
        <v>7181</v>
      </c>
      <c r="J72" s="115" t="s">
        <v>195</v>
      </c>
      <c r="K72" s="115" t="s">
        <v>144</v>
      </c>
      <c r="L72">
        <v>1844</v>
      </c>
      <c r="M72">
        <v>1838</v>
      </c>
      <c r="N72">
        <v>500</v>
      </c>
      <c r="O72" s="115" t="s">
        <v>89</v>
      </c>
      <c r="P72">
        <v>0.90128936311117203</v>
      </c>
      <c r="Q72">
        <v>0.93750238238873695</v>
      </c>
      <c r="R72">
        <v>2.6814148213798399E-2</v>
      </c>
      <c r="S72" s="20">
        <v>3.7767725925544901E-5</v>
      </c>
      <c r="T72">
        <v>-1.61383036787963</v>
      </c>
      <c r="U72">
        <v>1.61383036787963</v>
      </c>
      <c r="V72">
        <v>-5.75</v>
      </c>
      <c r="W72">
        <v>8.43</v>
      </c>
      <c r="X72">
        <v>229188</v>
      </c>
      <c r="Y72">
        <v>10418</v>
      </c>
      <c r="Z72">
        <v>0.54</v>
      </c>
      <c r="AA72">
        <v>22</v>
      </c>
      <c r="AB72">
        <v>11</v>
      </c>
      <c r="AC72">
        <v>11</v>
      </c>
      <c r="AD72">
        <v>50</v>
      </c>
      <c r="AE72">
        <v>13</v>
      </c>
      <c r="AF72">
        <v>9</v>
      </c>
      <c r="AG72">
        <v>5</v>
      </c>
      <c r="AH72">
        <v>8</v>
      </c>
    </row>
    <row r="73" spans="1:34">
      <c r="A73" s="111">
        <v>169</v>
      </c>
      <c r="B73">
        <v>7167</v>
      </c>
      <c r="C73" s="115" t="s">
        <v>134</v>
      </c>
      <c r="D73" s="115" t="s">
        <v>113</v>
      </c>
      <c r="E73">
        <v>281</v>
      </c>
      <c r="F73">
        <v>282</v>
      </c>
      <c r="G73">
        <v>3900</v>
      </c>
      <c r="H73" s="115" t="s">
        <v>89</v>
      </c>
      <c r="I73">
        <v>9505</v>
      </c>
      <c r="J73" s="115" t="s">
        <v>170</v>
      </c>
      <c r="K73" s="115" t="s">
        <v>171</v>
      </c>
      <c r="L73">
        <v>760</v>
      </c>
      <c r="M73">
        <v>777</v>
      </c>
      <c r="N73">
        <v>1400</v>
      </c>
      <c r="O73" s="115" t="s">
        <v>87</v>
      </c>
      <c r="P73">
        <v>0.95136171540579295</v>
      </c>
      <c r="Q73">
        <v>0.91644009511077396</v>
      </c>
      <c r="R73">
        <v>0.20013642169493601</v>
      </c>
      <c r="S73">
        <v>5.1240750894466697E-2</v>
      </c>
      <c r="T73">
        <v>0.13649902998104799</v>
      </c>
      <c r="U73">
        <v>0.13649902998104799</v>
      </c>
      <c r="V73">
        <v>0.3</v>
      </c>
      <c r="W73">
        <v>1.1000000000000001</v>
      </c>
      <c r="X73">
        <v>224925</v>
      </c>
      <c r="Y73">
        <v>13231</v>
      </c>
      <c r="Z73">
        <v>0.62</v>
      </c>
      <c r="AA73">
        <v>17</v>
      </c>
      <c r="AB73">
        <v>8</v>
      </c>
      <c r="AC73">
        <v>9</v>
      </c>
      <c r="AD73">
        <v>47.06</v>
      </c>
      <c r="AE73">
        <v>14</v>
      </c>
      <c r="AF73">
        <v>5</v>
      </c>
      <c r="AG73">
        <v>2</v>
      </c>
      <c r="AH73">
        <v>10</v>
      </c>
    </row>
    <row r="74" spans="1:34">
      <c r="A74" s="111">
        <v>287</v>
      </c>
      <c r="B74">
        <v>8002</v>
      </c>
      <c r="C74" s="115" t="s">
        <v>57</v>
      </c>
      <c r="D74" s="115" t="s">
        <v>135</v>
      </c>
      <c r="E74">
        <v>794.1</v>
      </c>
      <c r="F74">
        <v>797.4</v>
      </c>
      <c r="G74">
        <v>1300</v>
      </c>
      <c r="H74" s="115" t="s">
        <v>89</v>
      </c>
      <c r="I74">
        <v>8601</v>
      </c>
      <c r="J74" s="115" t="s">
        <v>53</v>
      </c>
      <c r="K74" s="115" t="s">
        <v>152</v>
      </c>
      <c r="L74">
        <v>533.29999999999995</v>
      </c>
      <c r="M74">
        <v>532.29999999999995</v>
      </c>
      <c r="N74">
        <v>1900</v>
      </c>
      <c r="O74" s="115" t="s">
        <v>87</v>
      </c>
      <c r="P74">
        <v>0.92331852431723704</v>
      </c>
      <c r="Q74">
        <v>0.90129715094345597</v>
      </c>
      <c r="R74">
        <v>0.25279935722855001</v>
      </c>
      <c r="S74">
        <v>3.1093525310822899E-2</v>
      </c>
      <c r="T74">
        <v>0.117544964917403</v>
      </c>
      <c r="U74">
        <v>0.117544964917403</v>
      </c>
      <c r="V74">
        <v>0.27</v>
      </c>
      <c r="W74">
        <v>2.44</v>
      </c>
      <c r="X74">
        <v>224506</v>
      </c>
      <c r="Y74">
        <v>14032</v>
      </c>
      <c r="Z74">
        <v>0.67</v>
      </c>
      <c r="AA74">
        <v>16</v>
      </c>
      <c r="AB74">
        <v>10</v>
      </c>
      <c r="AC74">
        <v>6</v>
      </c>
      <c r="AD74">
        <v>62.5</v>
      </c>
      <c r="AE74">
        <v>14</v>
      </c>
      <c r="AF74">
        <v>6</v>
      </c>
      <c r="AG74">
        <v>3</v>
      </c>
      <c r="AH74">
        <v>7</v>
      </c>
    </row>
    <row r="75" spans="1:34">
      <c r="A75" s="111">
        <v>185</v>
      </c>
      <c r="B75">
        <v>2379</v>
      </c>
      <c r="C75" s="115" t="s">
        <v>422</v>
      </c>
      <c r="D75" s="115" t="s">
        <v>158</v>
      </c>
      <c r="E75">
        <v>3020</v>
      </c>
      <c r="F75">
        <v>3025</v>
      </c>
      <c r="G75">
        <v>200</v>
      </c>
      <c r="H75" s="115" t="s">
        <v>89</v>
      </c>
      <c r="I75">
        <v>7735</v>
      </c>
      <c r="J75" s="115" t="s">
        <v>423</v>
      </c>
      <c r="K75" s="115" t="s">
        <v>118</v>
      </c>
      <c r="L75">
        <v>7280</v>
      </c>
      <c r="M75">
        <v>7100</v>
      </c>
      <c r="N75">
        <v>100</v>
      </c>
      <c r="O75" s="115" t="s">
        <v>87</v>
      </c>
      <c r="P75">
        <v>0.90994156898275202</v>
      </c>
      <c r="Q75">
        <v>0.915104967743536</v>
      </c>
      <c r="R75">
        <v>0.33772082836406198</v>
      </c>
      <c r="S75" s="20">
        <v>2.51051537204816E-2</v>
      </c>
      <c r="T75">
        <v>2.4157346893938301</v>
      </c>
      <c r="U75">
        <v>2.4157346893938301</v>
      </c>
      <c r="V75">
        <v>7.81</v>
      </c>
      <c r="W75">
        <v>14.79</v>
      </c>
      <c r="X75">
        <v>222743</v>
      </c>
      <c r="Y75">
        <v>18562</v>
      </c>
      <c r="Z75">
        <v>1.29</v>
      </c>
      <c r="AA75">
        <v>12</v>
      </c>
      <c r="AB75">
        <v>8</v>
      </c>
      <c r="AC75">
        <v>4</v>
      </c>
      <c r="AD75">
        <v>66.67</v>
      </c>
      <c r="AE75">
        <v>9</v>
      </c>
      <c r="AF75">
        <v>7</v>
      </c>
      <c r="AG75">
        <v>3</v>
      </c>
      <c r="AH75">
        <v>2</v>
      </c>
    </row>
    <row r="76" spans="1:34">
      <c r="A76" s="111">
        <v>231</v>
      </c>
      <c r="B76">
        <v>7189</v>
      </c>
      <c r="C76" s="115" t="s">
        <v>112</v>
      </c>
      <c r="D76" s="115" t="s">
        <v>113</v>
      </c>
      <c r="E76">
        <v>844</v>
      </c>
      <c r="F76">
        <v>850</v>
      </c>
      <c r="G76">
        <v>1000</v>
      </c>
      <c r="H76" s="115" t="s">
        <v>89</v>
      </c>
      <c r="I76">
        <v>7846</v>
      </c>
      <c r="J76" s="115" t="s">
        <v>166</v>
      </c>
      <c r="K76" s="115" t="s">
        <v>120</v>
      </c>
      <c r="L76">
        <v>4240</v>
      </c>
      <c r="M76">
        <v>4215</v>
      </c>
      <c r="N76">
        <v>200</v>
      </c>
      <c r="O76" s="115" t="s">
        <v>87</v>
      </c>
      <c r="P76">
        <v>0.93745657346672695</v>
      </c>
      <c r="Q76">
        <v>0.90946423445437496</v>
      </c>
      <c r="R76">
        <v>0.26191275323172603</v>
      </c>
      <c r="S76">
        <v>0.37931475329439501</v>
      </c>
      <c r="T76">
        <v>1.8836952501950699</v>
      </c>
      <c r="U76">
        <v>1.8836952501950699</v>
      </c>
      <c r="V76">
        <v>6.9</v>
      </c>
      <c r="W76">
        <v>0.83</v>
      </c>
      <c r="X76">
        <v>220075</v>
      </c>
      <c r="Y76">
        <v>14672</v>
      </c>
      <c r="Z76">
        <v>1.1000000000000001</v>
      </c>
      <c r="AA76">
        <v>15</v>
      </c>
      <c r="AB76">
        <v>10</v>
      </c>
      <c r="AC76">
        <v>5</v>
      </c>
      <c r="AD76">
        <v>66.67</v>
      </c>
      <c r="AE76">
        <v>12</v>
      </c>
      <c r="AF76">
        <v>7</v>
      </c>
      <c r="AG76">
        <v>4</v>
      </c>
      <c r="AH76">
        <v>4</v>
      </c>
    </row>
    <row r="77" spans="1:34">
      <c r="A77" s="111">
        <v>146</v>
      </c>
      <c r="B77">
        <v>1963</v>
      </c>
      <c r="C77" s="115" t="s">
        <v>180</v>
      </c>
      <c r="D77" s="115" t="s">
        <v>108</v>
      </c>
      <c r="E77">
        <v>1633</v>
      </c>
      <c r="F77">
        <v>1656</v>
      </c>
      <c r="G77">
        <v>600</v>
      </c>
      <c r="H77" s="115" t="s">
        <v>89</v>
      </c>
      <c r="I77">
        <v>7267</v>
      </c>
      <c r="J77" s="115" t="s">
        <v>154</v>
      </c>
      <c r="K77" s="115" t="s">
        <v>115</v>
      </c>
      <c r="L77">
        <v>3089</v>
      </c>
      <c r="M77">
        <v>3103</v>
      </c>
      <c r="N77">
        <v>300</v>
      </c>
      <c r="O77" s="115" t="s">
        <v>87</v>
      </c>
      <c r="P77">
        <v>0.95373662120888003</v>
      </c>
      <c r="Q77">
        <v>0.91988338241502599</v>
      </c>
      <c r="R77">
        <v>0.10860042860485</v>
      </c>
      <c r="S77">
        <v>1.9547993368418601E-4</v>
      </c>
      <c r="T77">
        <v>1.33173471285463</v>
      </c>
      <c r="U77">
        <v>1.33173471285463</v>
      </c>
      <c r="V77">
        <v>4.8499999999999996</v>
      </c>
      <c r="W77">
        <v>6.74</v>
      </c>
      <c r="X77">
        <v>218106</v>
      </c>
      <c r="Y77">
        <v>11479</v>
      </c>
      <c r="Z77">
        <v>0.56999999999999995</v>
      </c>
      <c r="AA77">
        <v>19</v>
      </c>
      <c r="AB77">
        <v>12</v>
      </c>
      <c r="AC77">
        <v>7</v>
      </c>
      <c r="AD77">
        <v>63.16</v>
      </c>
      <c r="AE77">
        <v>10</v>
      </c>
      <c r="AF77">
        <v>9</v>
      </c>
      <c r="AG77">
        <v>5</v>
      </c>
      <c r="AH77">
        <v>5</v>
      </c>
    </row>
    <row r="78" spans="1:34">
      <c r="A78" s="111">
        <v>261</v>
      </c>
      <c r="B78">
        <v>4182</v>
      </c>
      <c r="C78" s="115" t="s">
        <v>119</v>
      </c>
      <c r="D78" s="115" t="s">
        <v>88</v>
      </c>
      <c r="E78">
        <v>1620</v>
      </c>
      <c r="F78">
        <v>1632</v>
      </c>
      <c r="G78">
        <v>600</v>
      </c>
      <c r="H78" s="115" t="s">
        <v>89</v>
      </c>
      <c r="I78">
        <v>7202</v>
      </c>
      <c r="J78" s="115" t="s">
        <v>187</v>
      </c>
      <c r="K78" s="115" t="s">
        <v>115</v>
      </c>
      <c r="L78">
        <v>1290</v>
      </c>
      <c r="M78">
        <v>1298</v>
      </c>
      <c r="N78">
        <v>800</v>
      </c>
      <c r="O78" s="115" t="s">
        <v>87</v>
      </c>
      <c r="P78">
        <v>0.91290894909991804</v>
      </c>
      <c r="Q78">
        <v>0.90443398541294395</v>
      </c>
      <c r="R78">
        <v>0.27178938624715199</v>
      </c>
      <c r="S78" s="20">
        <v>3.88925551084221E-2</v>
      </c>
      <c r="T78">
        <v>1.17604382038372</v>
      </c>
      <c r="U78">
        <v>1.17604382038372</v>
      </c>
      <c r="V78">
        <v>5.99</v>
      </c>
      <c r="W78">
        <v>6.05</v>
      </c>
      <c r="X78">
        <v>215313</v>
      </c>
      <c r="Y78">
        <v>11332</v>
      </c>
      <c r="Z78">
        <v>0.49</v>
      </c>
      <c r="AA78">
        <v>19</v>
      </c>
      <c r="AB78">
        <v>12</v>
      </c>
      <c r="AC78">
        <v>7</v>
      </c>
      <c r="AD78">
        <v>63.16</v>
      </c>
      <c r="AE78">
        <v>13</v>
      </c>
      <c r="AF78">
        <v>6</v>
      </c>
      <c r="AG78">
        <v>4</v>
      </c>
      <c r="AH78">
        <v>9</v>
      </c>
    </row>
    <row r="79" spans="1:34">
      <c r="A79" s="111">
        <v>5</v>
      </c>
      <c r="B79">
        <v>7013</v>
      </c>
      <c r="C79" s="115" t="s">
        <v>132</v>
      </c>
      <c r="D79" s="115" t="s">
        <v>133</v>
      </c>
      <c r="E79">
        <v>2460</v>
      </c>
      <c r="F79">
        <v>2481</v>
      </c>
      <c r="G79">
        <v>300</v>
      </c>
      <c r="H79" s="115" t="s">
        <v>87</v>
      </c>
      <c r="I79">
        <v>7846</v>
      </c>
      <c r="J79" s="115" t="s">
        <v>166</v>
      </c>
      <c r="K79" s="115" t="s">
        <v>120</v>
      </c>
      <c r="L79">
        <v>4240</v>
      </c>
      <c r="M79">
        <v>4215</v>
      </c>
      <c r="N79">
        <v>200</v>
      </c>
      <c r="O79" s="115" t="s">
        <v>89</v>
      </c>
      <c r="P79">
        <v>0.93592198781153602</v>
      </c>
      <c r="Q79">
        <v>0.96468330726289897</v>
      </c>
      <c r="R79" s="20">
        <v>0.15288207054444</v>
      </c>
      <c r="S79">
        <v>7.6127959660930104E-4</v>
      </c>
      <c r="T79">
        <v>-0.33380396873951701</v>
      </c>
      <c r="U79">
        <v>0.33380396873951701</v>
      </c>
      <c r="V79">
        <v>-1.4</v>
      </c>
      <c r="W79">
        <v>11.71</v>
      </c>
      <c r="X79">
        <v>212602</v>
      </c>
      <c r="Y79">
        <v>23622</v>
      </c>
      <c r="Z79">
        <v>1.45</v>
      </c>
      <c r="AA79">
        <v>9</v>
      </c>
      <c r="AB79">
        <v>7</v>
      </c>
      <c r="AC79">
        <v>2</v>
      </c>
      <c r="AD79">
        <v>77.78</v>
      </c>
      <c r="AE79">
        <v>9</v>
      </c>
      <c r="AF79">
        <v>6</v>
      </c>
      <c r="AG79">
        <v>1</v>
      </c>
      <c r="AH79">
        <v>2</v>
      </c>
    </row>
    <row r="80" spans="1:34">
      <c r="A80" s="111">
        <v>218</v>
      </c>
      <c r="B80">
        <v>3105</v>
      </c>
      <c r="C80" s="115" t="s">
        <v>122</v>
      </c>
      <c r="D80" s="115" t="s">
        <v>118</v>
      </c>
      <c r="E80">
        <v>956</v>
      </c>
      <c r="F80">
        <v>958</v>
      </c>
      <c r="G80">
        <v>1000</v>
      </c>
      <c r="H80" s="115" t="s">
        <v>87</v>
      </c>
      <c r="I80">
        <v>6770</v>
      </c>
      <c r="J80" s="115" t="s">
        <v>50</v>
      </c>
      <c r="K80" s="115" t="s">
        <v>118</v>
      </c>
      <c r="L80">
        <v>2395</v>
      </c>
      <c r="M80">
        <v>2380</v>
      </c>
      <c r="N80">
        <v>400</v>
      </c>
      <c r="O80" s="115" t="s">
        <v>89</v>
      </c>
      <c r="P80">
        <v>0.94428091964529903</v>
      </c>
      <c r="Q80">
        <v>0.91051399023942303</v>
      </c>
      <c r="R80">
        <v>4.9024513388576198E-2</v>
      </c>
      <c r="S80">
        <v>5.0748354501370399E-2</v>
      </c>
      <c r="T80">
        <v>-1.01127660017393</v>
      </c>
      <c r="U80">
        <v>1.01127660017393</v>
      </c>
      <c r="V80">
        <v>-4.5599999999999996</v>
      </c>
      <c r="W80">
        <v>0.63</v>
      </c>
      <c r="X80">
        <v>211945</v>
      </c>
      <c r="Y80">
        <v>10093</v>
      </c>
      <c r="Z80">
        <v>0.54</v>
      </c>
      <c r="AA80">
        <v>21</v>
      </c>
      <c r="AB80">
        <v>12</v>
      </c>
      <c r="AC80">
        <v>9</v>
      </c>
      <c r="AD80">
        <v>57.14</v>
      </c>
      <c r="AE80">
        <v>9</v>
      </c>
      <c r="AF80">
        <v>11</v>
      </c>
      <c r="AG80">
        <v>7</v>
      </c>
      <c r="AH80">
        <v>3</v>
      </c>
    </row>
    <row r="81" spans="1:34">
      <c r="A81" s="111">
        <v>53</v>
      </c>
      <c r="B81">
        <v>5802</v>
      </c>
      <c r="C81" s="115" t="s">
        <v>181</v>
      </c>
      <c r="D81" s="115" t="s">
        <v>182</v>
      </c>
      <c r="E81">
        <v>1526.5</v>
      </c>
      <c r="F81">
        <v>1526.5</v>
      </c>
      <c r="G81">
        <v>700</v>
      </c>
      <c r="H81" s="115" t="s">
        <v>89</v>
      </c>
      <c r="I81">
        <v>6472</v>
      </c>
      <c r="J81" s="115" t="s">
        <v>189</v>
      </c>
      <c r="K81" s="115" t="s">
        <v>133</v>
      </c>
      <c r="L81">
        <v>322</v>
      </c>
      <c r="M81">
        <v>327</v>
      </c>
      <c r="N81">
        <v>3300</v>
      </c>
      <c r="O81" s="115" t="s">
        <v>87</v>
      </c>
      <c r="P81">
        <v>0.95796082465413301</v>
      </c>
      <c r="Q81">
        <v>0.93764185838157299</v>
      </c>
      <c r="R81" s="20">
        <v>1.58117664579943E-2</v>
      </c>
      <c r="S81">
        <v>1.19890670770419E-2</v>
      </c>
      <c r="T81">
        <v>2.3839378273799201</v>
      </c>
      <c r="U81">
        <v>2.3839378273799201</v>
      </c>
      <c r="V81">
        <v>5.55</v>
      </c>
      <c r="W81">
        <v>0.99</v>
      </c>
      <c r="X81">
        <v>211012</v>
      </c>
      <c r="Y81">
        <v>13188</v>
      </c>
      <c r="Z81">
        <v>0.67</v>
      </c>
      <c r="AA81">
        <v>16</v>
      </c>
      <c r="AB81">
        <v>11</v>
      </c>
      <c r="AC81">
        <v>5</v>
      </c>
      <c r="AD81">
        <v>68.75</v>
      </c>
      <c r="AE81">
        <v>15</v>
      </c>
      <c r="AF81">
        <v>6</v>
      </c>
      <c r="AG81">
        <v>2</v>
      </c>
      <c r="AH81">
        <v>8</v>
      </c>
    </row>
    <row r="82" spans="1:34">
      <c r="A82" s="111">
        <v>277</v>
      </c>
      <c r="B82">
        <v>1824</v>
      </c>
      <c r="C82" s="115" t="s">
        <v>413</v>
      </c>
      <c r="D82" s="115" t="s">
        <v>108</v>
      </c>
      <c r="E82">
        <v>966</v>
      </c>
      <c r="F82">
        <v>972</v>
      </c>
      <c r="G82">
        <v>1100</v>
      </c>
      <c r="H82" s="115" t="s">
        <v>87</v>
      </c>
      <c r="I82">
        <v>5991</v>
      </c>
      <c r="J82" s="115" t="s">
        <v>149</v>
      </c>
      <c r="K82" s="115" t="s">
        <v>150</v>
      </c>
      <c r="L82">
        <v>953</v>
      </c>
      <c r="M82">
        <v>957</v>
      </c>
      <c r="N82">
        <v>1100</v>
      </c>
      <c r="O82" s="115" t="s">
        <v>89</v>
      </c>
      <c r="P82">
        <v>0.91578747739557798</v>
      </c>
      <c r="Q82">
        <v>0.90248945637417299</v>
      </c>
      <c r="R82">
        <v>0.153789963933538</v>
      </c>
      <c r="S82">
        <v>0.12693671205134599</v>
      </c>
      <c r="T82">
        <v>-1.8824228232934901</v>
      </c>
      <c r="U82">
        <v>1.8824228232934901</v>
      </c>
      <c r="V82">
        <v>-9.59</v>
      </c>
      <c r="W82">
        <v>1.54</v>
      </c>
      <c r="X82">
        <v>210773</v>
      </c>
      <c r="Y82">
        <v>14052</v>
      </c>
      <c r="Z82">
        <v>0.68</v>
      </c>
      <c r="AA82">
        <v>15</v>
      </c>
      <c r="AB82">
        <v>9</v>
      </c>
      <c r="AC82">
        <v>6</v>
      </c>
      <c r="AD82">
        <v>60</v>
      </c>
      <c r="AE82">
        <v>11</v>
      </c>
      <c r="AF82">
        <v>5</v>
      </c>
      <c r="AG82">
        <v>4</v>
      </c>
      <c r="AH82">
        <v>6</v>
      </c>
    </row>
    <row r="83" spans="1:34">
      <c r="A83" s="111">
        <v>166</v>
      </c>
      <c r="B83">
        <v>4183</v>
      </c>
      <c r="C83" s="115" t="s">
        <v>394</v>
      </c>
      <c r="D83" s="115" t="s">
        <v>88</v>
      </c>
      <c r="E83">
        <v>2609</v>
      </c>
      <c r="F83">
        <v>2633</v>
      </c>
      <c r="G83">
        <v>400</v>
      </c>
      <c r="H83" s="115" t="s">
        <v>89</v>
      </c>
      <c r="I83">
        <v>4208</v>
      </c>
      <c r="J83" s="115" t="s">
        <v>131</v>
      </c>
      <c r="K83" s="115" t="s">
        <v>88</v>
      </c>
      <c r="L83">
        <v>2301</v>
      </c>
      <c r="M83">
        <v>2286</v>
      </c>
      <c r="N83">
        <v>500</v>
      </c>
      <c r="O83" s="115" t="s">
        <v>87</v>
      </c>
      <c r="P83">
        <v>0.97736187791721096</v>
      </c>
      <c r="Q83">
        <v>0.91697283176709998</v>
      </c>
      <c r="R83">
        <v>1.9365666613690401E-3</v>
      </c>
      <c r="S83">
        <v>5.2577409171388499E-2</v>
      </c>
      <c r="T83">
        <v>1.5477176599712399</v>
      </c>
      <c r="U83">
        <v>1.5477176599712399</v>
      </c>
      <c r="V83">
        <v>2.12</v>
      </c>
      <c r="W83">
        <v>8.5299999999999994</v>
      </c>
      <c r="X83">
        <v>207621</v>
      </c>
      <c r="Y83">
        <v>20762</v>
      </c>
      <c r="Z83">
        <v>1.0900000000000001</v>
      </c>
      <c r="AA83">
        <v>10</v>
      </c>
      <c r="AB83">
        <v>9</v>
      </c>
      <c r="AC83">
        <v>1</v>
      </c>
      <c r="AD83">
        <v>90</v>
      </c>
      <c r="AE83">
        <v>14</v>
      </c>
      <c r="AF83">
        <v>3</v>
      </c>
      <c r="AG83">
        <v>0</v>
      </c>
      <c r="AH83">
        <v>7</v>
      </c>
    </row>
    <row r="84" spans="1:34">
      <c r="A84" s="111">
        <v>149</v>
      </c>
      <c r="B84">
        <v>7167</v>
      </c>
      <c r="C84" s="115" t="s">
        <v>134</v>
      </c>
      <c r="D84" s="115" t="s">
        <v>113</v>
      </c>
      <c r="E84">
        <v>281</v>
      </c>
      <c r="F84">
        <v>282</v>
      </c>
      <c r="G84">
        <v>3800</v>
      </c>
      <c r="H84" s="115" t="s">
        <v>89</v>
      </c>
      <c r="I84">
        <v>9072</v>
      </c>
      <c r="J84" s="115" t="s">
        <v>175</v>
      </c>
      <c r="K84" s="115" t="s">
        <v>157</v>
      </c>
      <c r="L84">
        <v>2689</v>
      </c>
      <c r="M84">
        <v>2707</v>
      </c>
      <c r="N84">
        <v>400</v>
      </c>
      <c r="O84" s="115" t="s">
        <v>87</v>
      </c>
      <c r="P84">
        <v>0.93902393540935103</v>
      </c>
      <c r="Q84">
        <v>0.91938629759851898</v>
      </c>
      <c r="R84">
        <v>0.312615885805968</v>
      </c>
      <c r="S84">
        <v>2.9791383914387999E-3</v>
      </c>
      <c r="T84">
        <v>7.9725869070101896E-4</v>
      </c>
      <c r="U84">
        <v>7.9725869070101896E-4</v>
      </c>
      <c r="V84">
        <v>0</v>
      </c>
      <c r="W84">
        <v>1.03</v>
      </c>
      <c r="X84">
        <v>206958</v>
      </c>
      <c r="Y84">
        <v>12935</v>
      </c>
      <c r="Z84">
        <v>0.73</v>
      </c>
      <c r="AA84">
        <v>16</v>
      </c>
      <c r="AB84">
        <v>10</v>
      </c>
      <c r="AC84">
        <v>6</v>
      </c>
      <c r="AD84">
        <v>62.5</v>
      </c>
      <c r="AE84">
        <v>14</v>
      </c>
      <c r="AF84">
        <v>6</v>
      </c>
      <c r="AG84">
        <v>2</v>
      </c>
      <c r="AH84">
        <v>8</v>
      </c>
    </row>
    <row r="85" spans="1:34">
      <c r="A85" s="111">
        <v>158</v>
      </c>
      <c r="B85">
        <v>3105</v>
      </c>
      <c r="C85" s="115" t="s">
        <v>122</v>
      </c>
      <c r="D85" s="115" t="s">
        <v>118</v>
      </c>
      <c r="E85">
        <v>956</v>
      </c>
      <c r="F85">
        <v>958</v>
      </c>
      <c r="G85">
        <v>1100</v>
      </c>
      <c r="H85" s="115" t="s">
        <v>89</v>
      </c>
      <c r="I85">
        <v>6473</v>
      </c>
      <c r="J85" s="115" t="s">
        <v>184</v>
      </c>
      <c r="K85" s="115" t="s">
        <v>133</v>
      </c>
      <c r="L85">
        <v>1370</v>
      </c>
      <c r="M85">
        <v>1366</v>
      </c>
      <c r="N85">
        <v>800</v>
      </c>
      <c r="O85" s="115" t="s">
        <v>87</v>
      </c>
      <c r="P85">
        <v>0.96555223082355701</v>
      </c>
      <c r="Q85">
        <v>0.91785184996639602</v>
      </c>
      <c r="R85">
        <v>5.8548081538520799E-3</v>
      </c>
      <c r="S85">
        <v>0.198432890150089</v>
      </c>
      <c r="T85">
        <v>1.5040300452547</v>
      </c>
      <c r="U85">
        <v>1.5040300452547</v>
      </c>
      <c r="V85">
        <v>3</v>
      </c>
      <c r="W85">
        <v>3.57</v>
      </c>
      <c r="X85">
        <v>204665</v>
      </c>
      <c r="Y85">
        <v>9746</v>
      </c>
      <c r="Z85">
        <v>0.43</v>
      </c>
      <c r="AA85">
        <v>21</v>
      </c>
      <c r="AB85">
        <v>10</v>
      </c>
      <c r="AC85">
        <v>11</v>
      </c>
      <c r="AD85">
        <v>47.62</v>
      </c>
      <c r="AE85">
        <v>13</v>
      </c>
      <c r="AF85">
        <v>5</v>
      </c>
      <c r="AG85">
        <v>3</v>
      </c>
      <c r="AH85">
        <v>13</v>
      </c>
    </row>
    <row r="86" spans="1:34">
      <c r="A86" s="111">
        <v>258</v>
      </c>
      <c r="B86">
        <v>5463</v>
      </c>
      <c r="C86" s="115" t="s">
        <v>202</v>
      </c>
      <c r="D86" s="115" t="s">
        <v>125</v>
      </c>
      <c r="E86">
        <v>3215</v>
      </c>
      <c r="F86">
        <v>3200</v>
      </c>
      <c r="G86">
        <v>300</v>
      </c>
      <c r="H86" s="115" t="s">
        <v>87</v>
      </c>
      <c r="I86">
        <v>5991</v>
      </c>
      <c r="J86" s="115" t="s">
        <v>149</v>
      </c>
      <c r="K86" s="115" t="s">
        <v>150</v>
      </c>
      <c r="L86">
        <v>953</v>
      </c>
      <c r="M86">
        <v>957</v>
      </c>
      <c r="N86">
        <v>1000</v>
      </c>
      <c r="O86" s="115" t="s">
        <v>89</v>
      </c>
      <c r="P86">
        <v>0.95062492921360298</v>
      </c>
      <c r="Q86">
        <v>0.90453530615271804</v>
      </c>
      <c r="R86">
        <v>2.4946270529237601E-2</v>
      </c>
      <c r="S86">
        <v>0.17979542047234501</v>
      </c>
      <c r="T86">
        <v>-0.44306712269982201</v>
      </c>
      <c r="U86">
        <v>0.44306712269982201</v>
      </c>
      <c r="V86">
        <v>-2.04</v>
      </c>
      <c r="W86">
        <v>0.31</v>
      </c>
      <c r="X86">
        <v>204122</v>
      </c>
      <c r="Y86">
        <v>12758</v>
      </c>
      <c r="Z86">
        <v>0.63</v>
      </c>
      <c r="AA86">
        <v>16</v>
      </c>
      <c r="AB86">
        <v>10</v>
      </c>
      <c r="AC86">
        <v>6</v>
      </c>
      <c r="AD86">
        <v>62.5</v>
      </c>
      <c r="AE86">
        <v>11</v>
      </c>
      <c r="AF86">
        <v>6</v>
      </c>
      <c r="AG86">
        <v>3</v>
      </c>
      <c r="AH86">
        <v>7</v>
      </c>
    </row>
    <row r="87" spans="1:34">
      <c r="A87" s="111">
        <v>278</v>
      </c>
      <c r="B87">
        <v>6371</v>
      </c>
      <c r="C87" s="115" t="s">
        <v>142</v>
      </c>
      <c r="D87" s="115" t="s">
        <v>133</v>
      </c>
      <c r="E87">
        <v>3765</v>
      </c>
      <c r="F87">
        <v>3780</v>
      </c>
      <c r="G87">
        <v>200</v>
      </c>
      <c r="H87" s="115" t="s">
        <v>87</v>
      </c>
      <c r="I87">
        <v>6988</v>
      </c>
      <c r="J87" s="115" t="s">
        <v>197</v>
      </c>
      <c r="K87" s="115" t="s">
        <v>88</v>
      </c>
      <c r="L87">
        <v>6110</v>
      </c>
      <c r="M87">
        <v>6040</v>
      </c>
      <c r="N87">
        <v>100</v>
      </c>
      <c r="O87" s="115" t="s">
        <v>89</v>
      </c>
      <c r="P87">
        <v>0.96956966992406102</v>
      </c>
      <c r="Q87">
        <v>0.90246511458884704</v>
      </c>
      <c r="R87">
        <v>1.3580855148697901E-2</v>
      </c>
      <c r="S87">
        <v>9.8835039478961904E-3</v>
      </c>
      <c r="T87">
        <v>-1.0434700879565</v>
      </c>
      <c r="U87">
        <v>1.0434700879565</v>
      </c>
      <c r="V87">
        <v>-2.5499999999999998</v>
      </c>
      <c r="W87">
        <v>25.17</v>
      </c>
      <c r="X87">
        <v>203975</v>
      </c>
      <c r="Y87">
        <v>29139</v>
      </c>
      <c r="Z87">
        <v>1.41</v>
      </c>
      <c r="AA87">
        <v>7</v>
      </c>
      <c r="AB87">
        <v>4</v>
      </c>
      <c r="AC87">
        <v>3</v>
      </c>
      <c r="AD87">
        <v>57.14</v>
      </c>
      <c r="AE87">
        <v>14</v>
      </c>
      <c r="AF87">
        <v>3</v>
      </c>
      <c r="AG87">
        <v>0</v>
      </c>
      <c r="AH87">
        <v>4</v>
      </c>
    </row>
    <row r="88" spans="1:34">
      <c r="A88" s="111">
        <v>14</v>
      </c>
      <c r="B88">
        <v>4182</v>
      </c>
      <c r="C88" s="115" t="s">
        <v>119</v>
      </c>
      <c r="D88" s="115" t="s">
        <v>88</v>
      </c>
      <c r="E88">
        <v>1620</v>
      </c>
      <c r="F88">
        <v>1632</v>
      </c>
      <c r="G88">
        <v>600</v>
      </c>
      <c r="H88" s="115" t="s">
        <v>89</v>
      </c>
      <c r="I88">
        <v>5802</v>
      </c>
      <c r="J88" s="115" t="s">
        <v>181</v>
      </c>
      <c r="K88" s="115" t="s">
        <v>182</v>
      </c>
      <c r="L88">
        <v>1526.5</v>
      </c>
      <c r="M88">
        <v>1526.5</v>
      </c>
      <c r="N88">
        <v>600</v>
      </c>
      <c r="O88" s="115" t="s">
        <v>87</v>
      </c>
      <c r="P88">
        <v>0.98413440477275904</v>
      </c>
      <c r="Q88">
        <v>0.95448716492550401</v>
      </c>
      <c r="R88">
        <v>0.13277721940557</v>
      </c>
      <c r="S88" s="20">
        <v>2.0374683484278101E-2</v>
      </c>
      <c r="T88">
        <v>1.3080249608682499</v>
      </c>
      <c r="U88">
        <v>1.3080249608682499</v>
      </c>
      <c r="V88">
        <v>3.14</v>
      </c>
      <c r="W88">
        <v>6.46</v>
      </c>
      <c r="X88">
        <v>202282</v>
      </c>
      <c r="Y88">
        <v>11238</v>
      </c>
      <c r="Z88">
        <v>0.67</v>
      </c>
      <c r="AA88">
        <v>18</v>
      </c>
      <c r="AB88">
        <v>11</v>
      </c>
      <c r="AC88">
        <v>7</v>
      </c>
      <c r="AD88">
        <v>61.11</v>
      </c>
      <c r="AE88">
        <v>13</v>
      </c>
      <c r="AF88">
        <v>7</v>
      </c>
      <c r="AG88">
        <v>4</v>
      </c>
      <c r="AH88">
        <v>7</v>
      </c>
    </row>
    <row r="89" spans="1:34">
      <c r="A89" s="111">
        <v>205</v>
      </c>
      <c r="B89">
        <v>5463</v>
      </c>
      <c r="C89" s="115" t="s">
        <v>202</v>
      </c>
      <c r="D89" s="115" t="s">
        <v>125</v>
      </c>
      <c r="E89">
        <v>3215</v>
      </c>
      <c r="F89">
        <v>3200</v>
      </c>
      <c r="G89">
        <v>300</v>
      </c>
      <c r="H89" s="115" t="s">
        <v>87</v>
      </c>
      <c r="I89">
        <v>7189</v>
      </c>
      <c r="J89" s="115" t="s">
        <v>112</v>
      </c>
      <c r="K89" s="115" t="s">
        <v>113</v>
      </c>
      <c r="L89">
        <v>844</v>
      </c>
      <c r="M89">
        <v>850</v>
      </c>
      <c r="N89">
        <v>1100</v>
      </c>
      <c r="O89" s="115" t="s">
        <v>89</v>
      </c>
      <c r="P89">
        <v>0.95418433077490294</v>
      </c>
      <c r="Q89">
        <v>0.91262319718342999</v>
      </c>
      <c r="R89">
        <v>0.31809645422333699</v>
      </c>
      <c r="S89">
        <v>0.19961710717157</v>
      </c>
      <c r="T89">
        <v>-0.26991230549613998</v>
      </c>
      <c r="U89">
        <v>0.26991230549613998</v>
      </c>
      <c r="V89">
        <v>-1.19</v>
      </c>
      <c r="W89">
        <v>2.6</v>
      </c>
      <c r="X89">
        <v>202211</v>
      </c>
      <c r="Y89">
        <v>9191</v>
      </c>
      <c r="Z89">
        <v>0.51</v>
      </c>
      <c r="AA89">
        <v>22</v>
      </c>
      <c r="AB89">
        <v>12</v>
      </c>
      <c r="AC89">
        <v>10</v>
      </c>
      <c r="AD89">
        <v>54.55</v>
      </c>
      <c r="AE89">
        <v>11</v>
      </c>
      <c r="AF89">
        <v>9</v>
      </c>
      <c r="AG89">
        <v>5</v>
      </c>
      <c r="AH89">
        <v>8</v>
      </c>
    </row>
    <row r="90" spans="1:34">
      <c r="A90" s="111">
        <v>56</v>
      </c>
      <c r="B90">
        <v>4631</v>
      </c>
      <c r="C90" s="115" t="s">
        <v>188</v>
      </c>
      <c r="D90" s="115" t="s">
        <v>88</v>
      </c>
      <c r="E90">
        <v>2958</v>
      </c>
      <c r="F90">
        <v>2966</v>
      </c>
      <c r="G90">
        <v>300</v>
      </c>
      <c r="H90" s="115" t="s">
        <v>87</v>
      </c>
      <c r="I90">
        <v>6923</v>
      </c>
      <c r="J90" s="115" t="s">
        <v>146</v>
      </c>
      <c r="K90" s="115" t="s">
        <v>118</v>
      </c>
      <c r="L90">
        <v>2974</v>
      </c>
      <c r="M90">
        <v>2974</v>
      </c>
      <c r="N90">
        <v>300</v>
      </c>
      <c r="O90" s="115" t="s">
        <v>89</v>
      </c>
      <c r="P90">
        <v>0.92043846951938102</v>
      </c>
      <c r="Q90">
        <v>0.93699806282561104</v>
      </c>
      <c r="R90">
        <v>0.150499124832631</v>
      </c>
      <c r="S90" s="20">
        <v>8.7376345011094692E-3</v>
      </c>
      <c r="T90">
        <v>-2.2062376299029798</v>
      </c>
      <c r="U90">
        <v>2.2062376299029798</v>
      </c>
      <c r="V90">
        <v>-5.22</v>
      </c>
      <c r="W90">
        <v>0.27</v>
      </c>
      <c r="X90">
        <v>201293</v>
      </c>
      <c r="Y90">
        <v>20129</v>
      </c>
      <c r="Z90">
        <v>1.08</v>
      </c>
      <c r="AA90">
        <v>10</v>
      </c>
      <c r="AB90">
        <v>7</v>
      </c>
      <c r="AC90">
        <v>3</v>
      </c>
      <c r="AD90">
        <v>70</v>
      </c>
      <c r="AE90">
        <v>10</v>
      </c>
      <c r="AF90">
        <v>5</v>
      </c>
      <c r="AG90">
        <v>2</v>
      </c>
      <c r="AH90">
        <v>3</v>
      </c>
    </row>
    <row r="91" spans="1:34">
      <c r="A91" s="111">
        <v>108</v>
      </c>
      <c r="B91">
        <v>8279</v>
      </c>
      <c r="C91" s="115" t="s">
        <v>421</v>
      </c>
      <c r="D91" s="115" t="s">
        <v>128</v>
      </c>
      <c r="E91">
        <v>5140</v>
      </c>
      <c r="F91">
        <v>5130</v>
      </c>
      <c r="G91">
        <v>200</v>
      </c>
      <c r="H91" s="115" t="s">
        <v>87</v>
      </c>
      <c r="I91">
        <v>9505</v>
      </c>
      <c r="J91" s="115" t="s">
        <v>170</v>
      </c>
      <c r="K91" s="115" t="s">
        <v>171</v>
      </c>
      <c r="L91">
        <v>760</v>
      </c>
      <c r="M91">
        <v>777</v>
      </c>
      <c r="N91">
        <v>1300</v>
      </c>
      <c r="O91" s="115" t="s">
        <v>89</v>
      </c>
      <c r="P91">
        <v>0.94213561954787095</v>
      </c>
      <c r="Q91">
        <v>0.92569225303412905</v>
      </c>
      <c r="R91">
        <v>6.8845803171261793E-2</v>
      </c>
      <c r="S91">
        <v>2.5378705347707701E-2</v>
      </c>
      <c r="T91">
        <v>-0.72259924303279499</v>
      </c>
      <c r="U91">
        <v>0.72259924303279499</v>
      </c>
      <c r="V91">
        <v>-3.51</v>
      </c>
      <c r="W91">
        <v>1.55</v>
      </c>
      <c r="X91">
        <v>199119</v>
      </c>
      <c r="Y91">
        <v>8657</v>
      </c>
      <c r="Z91">
        <v>0.9</v>
      </c>
      <c r="AA91">
        <v>23</v>
      </c>
      <c r="AB91">
        <v>14</v>
      </c>
      <c r="AC91">
        <v>9</v>
      </c>
      <c r="AD91">
        <v>60.87</v>
      </c>
      <c r="AE91">
        <v>12</v>
      </c>
      <c r="AF91">
        <v>13</v>
      </c>
      <c r="AG91">
        <v>4</v>
      </c>
      <c r="AH91">
        <v>6</v>
      </c>
    </row>
    <row r="92" spans="1:34">
      <c r="A92" s="111">
        <v>23</v>
      </c>
      <c r="B92">
        <v>4182</v>
      </c>
      <c r="C92" s="115" t="s">
        <v>119</v>
      </c>
      <c r="D92" s="115" t="s">
        <v>88</v>
      </c>
      <c r="E92">
        <v>1620</v>
      </c>
      <c r="F92">
        <v>1632</v>
      </c>
      <c r="G92">
        <v>600</v>
      </c>
      <c r="H92" s="115" t="s">
        <v>87</v>
      </c>
      <c r="I92">
        <v>5991</v>
      </c>
      <c r="J92" s="115" t="s">
        <v>149</v>
      </c>
      <c r="K92" s="115" t="s">
        <v>150</v>
      </c>
      <c r="L92">
        <v>953</v>
      </c>
      <c r="M92">
        <v>957</v>
      </c>
      <c r="N92">
        <v>1000</v>
      </c>
      <c r="O92" s="115" t="s">
        <v>89</v>
      </c>
      <c r="P92">
        <v>0.97646386586481504</v>
      </c>
      <c r="Q92">
        <v>0.94820527245117803</v>
      </c>
      <c r="R92">
        <v>0.15614807737084099</v>
      </c>
      <c r="S92">
        <v>3.5038331098575501E-2</v>
      </c>
      <c r="T92">
        <v>-9.9071145624160306E-2</v>
      </c>
      <c r="U92">
        <v>9.9071145624160306E-2</v>
      </c>
      <c r="V92">
        <v>-0.27</v>
      </c>
      <c r="W92">
        <v>2.27</v>
      </c>
      <c r="X92">
        <v>198621</v>
      </c>
      <c r="Y92">
        <v>11034</v>
      </c>
      <c r="Z92">
        <v>0.52</v>
      </c>
      <c r="AA92">
        <v>18</v>
      </c>
      <c r="AB92">
        <v>11</v>
      </c>
      <c r="AC92">
        <v>7</v>
      </c>
      <c r="AD92">
        <v>61.11</v>
      </c>
      <c r="AE92">
        <v>12</v>
      </c>
      <c r="AF92">
        <v>7</v>
      </c>
      <c r="AG92">
        <v>3</v>
      </c>
      <c r="AH92">
        <v>8</v>
      </c>
    </row>
    <row r="93" spans="1:34">
      <c r="A93" s="111">
        <v>289</v>
      </c>
      <c r="B93">
        <v>6471</v>
      </c>
      <c r="C93" s="115" t="s">
        <v>196</v>
      </c>
      <c r="D93" s="115" t="s">
        <v>133</v>
      </c>
      <c r="E93">
        <v>1020</v>
      </c>
      <c r="F93">
        <v>1022</v>
      </c>
      <c r="G93">
        <v>800</v>
      </c>
      <c r="H93" s="115" t="s">
        <v>87</v>
      </c>
      <c r="I93">
        <v>7259</v>
      </c>
      <c r="J93" s="115" t="s">
        <v>55</v>
      </c>
      <c r="K93" s="115" t="s">
        <v>115</v>
      </c>
      <c r="L93">
        <v>4125</v>
      </c>
      <c r="M93">
        <v>4090</v>
      </c>
      <c r="N93">
        <v>200</v>
      </c>
      <c r="O93" s="115" t="s">
        <v>89</v>
      </c>
      <c r="P93">
        <v>0.94990000133826902</v>
      </c>
      <c r="Q93">
        <v>0.90121358495882498</v>
      </c>
      <c r="R93">
        <v>3.4361538822566699E-2</v>
      </c>
      <c r="S93">
        <v>2.3191730326850599E-2</v>
      </c>
      <c r="T93">
        <v>-1.63259575652223</v>
      </c>
      <c r="U93">
        <v>1.63259575652223</v>
      </c>
      <c r="V93">
        <v>-6.6</v>
      </c>
      <c r="W93">
        <v>0.05</v>
      </c>
      <c r="X93">
        <v>198202</v>
      </c>
      <c r="Y93">
        <v>9438</v>
      </c>
      <c r="Z93">
        <v>0.64</v>
      </c>
      <c r="AA93">
        <v>21</v>
      </c>
      <c r="AB93">
        <v>14</v>
      </c>
      <c r="AC93">
        <v>7</v>
      </c>
      <c r="AD93">
        <v>66.67</v>
      </c>
      <c r="AE93">
        <v>12</v>
      </c>
      <c r="AF93">
        <v>8</v>
      </c>
      <c r="AG93">
        <v>4</v>
      </c>
      <c r="AH93">
        <v>9</v>
      </c>
    </row>
    <row r="94" spans="1:34">
      <c r="A94" s="111">
        <v>27</v>
      </c>
      <c r="B94">
        <v>7846</v>
      </c>
      <c r="C94" s="115" t="s">
        <v>166</v>
      </c>
      <c r="D94" s="115" t="s">
        <v>120</v>
      </c>
      <c r="E94">
        <v>4240</v>
      </c>
      <c r="F94">
        <v>4215</v>
      </c>
      <c r="G94">
        <v>200</v>
      </c>
      <c r="H94" s="115" t="s">
        <v>87</v>
      </c>
      <c r="I94">
        <v>9505</v>
      </c>
      <c r="J94" s="115" t="s">
        <v>170</v>
      </c>
      <c r="K94" s="115" t="s">
        <v>171</v>
      </c>
      <c r="L94">
        <v>760</v>
      </c>
      <c r="M94">
        <v>777</v>
      </c>
      <c r="N94">
        <v>1100</v>
      </c>
      <c r="O94" s="115" t="s">
        <v>89</v>
      </c>
      <c r="P94">
        <v>0.95994612053204897</v>
      </c>
      <c r="Q94">
        <v>0.94647086219496002</v>
      </c>
      <c r="R94">
        <v>2.07559351188235E-3</v>
      </c>
      <c r="S94">
        <v>2.0631418440207699E-2</v>
      </c>
      <c r="T94">
        <v>-0.536609630994627</v>
      </c>
      <c r="U94">
        <v>0.536609630994627</v>
      </c>
      <c r="V94">
        <v>-1.19</v>
      </c>
      <c r="W94">
        <v>1.39</v>
      </c>
      <c r="X94">
        <v>198192</v>
      </c>
      <c r="Y94">
        <v>9438</v>
      </c>
      <c r="Z94">
        <v>0.55000000000000004</v>
      </c>
      <c r="AA94">
        <v>21</v>
      </c>
      <c r="AB94">
        <v>11</v>
      </c>
      <c r="AC94">
        <v>10</v>
      </c>
      <c r="AD94">
        <v>52.38</v>
      </c>
      <c r="AE94">
        <v>11</v>
      </c>
      <c r="AF94">
        <v>8</v>
      </c>
      <c r="AG94">
        <v>4</v>
      </c>
      <c r="AH94">
        <v>9</v>
      </c>
    </row>
    <row r="95" spans="1:34">
      <c r="A95" s="111">
        <v>16</v>
      </c>
      <c r="B95">
        <v>7181</v>
      </c>
      <c r="C95" s="115" t="s">
        <v>195</v>
      </c>
      <c r="D95" s="115" t="s">
        <v>144</v>
      </c>
      <c r="E95">
        <v>1844</v>
      </c>
      <c r="F95">
        <v>1838</v>
      </c>
      <c r="G95">
        <v>600</v>
      </c>
      <c r="H95" s="115" t="s">
        <v>89</v>
      </c>
      <c r="I95">
        <v>9956</v>
      </c>
      <c r="J95" s="115" t="s">
        <v>424</v>
      </c>
      <c r="K95" s="115" t="s">
        <v>128</v>
      </c>
      <c r="L95">
        <v>2057</v>
      </c>
      <c r="M95">
        <v>2055</v>
      </c>
      <c r="N95">
        <v>500</v>
      </c>
      <c r="O95" s="115" t="s">
        <v>87</v>
      </c>
      <c r="P95">
        <v>0.92780146999495094</v>
      </c>
      <c r="Q95">
        <v>0.95331964107762401</v>
      </c>
      <c r="R95">
        <v>9.6276989333083596E-2</v>
      </c>
      <c r="S95">
        <v>0.169249611255127</v>
      </c>
      <c r="T95">
        <v>0.30776148642597501</v>
      </c>
      <c r="U95">
        <v>0.30776148642597501</v>
      </c>
      <c r="V95">
        <v>1.0900000000000001</v>
      </c>
      <c r="W95">
        <v>7.33</v>
      </c>
      <c r="X95">
        <v>196402</v>
      </c>
      <c r="Y95">
        <v>15108</v>
      </c>
      <c r="Z95">
        <v>0.7</v>
      </c>
      <c r="AA95">
        <v>13</v>
      </c>
      <c r="AB95">
        <v>9</v>
      </c>
      <c r="AC95">
        <v>4</v>
      </c>
      <c r="AD95">
        <v>69.23</v>
      </c>
      <c r="AE95">
        <v>14</v>
      </c>
      <c r="AF95">
        <v>3</v>
      </c>
      <c r="AG95">
        <v>1</v>
      </c>
      <c r="AH95">
        <v>9</v>
      </c>
    </row>
    <row r="96" spans="1:34">
      <c r="A96" s="111">
        <v>203</v>
      </c>
      <c r="B96">
        <v>3401</v>
      </c>
      <c r="C96" s="115" t="s">
        <v>411</v>
      </c>
      <c r="D96" s="115" t="s">
        <v>203</v>
      </c>
      <c r="E96">
        <v>2040</v>
      </c>
      <c r="F96">
        <v>2053</v>
      </c>
      <c r="G96">
        <v>400</v>
      </c>
      <c r="H96" s="115" t="s">
        <v>89</v>
      </c>
      <c r="I96">
        <v>4186</v>
      </c>
      <c r="J96" s="115" t="s">
        <v>453</v>
      </c>
      <c r="K96" s="115" t="s">
        <v>88</v>
      </c>
      <c r="L96">
        <v>3940</v>
      </c>
      <c r="M96">
        <v>3945</v>
      </c>
      <c r="N96">
        <v>200</v>
      </c>
      <c r="O96" s="115" t="s">
        <v>87</v>
      </c>
      <c r="P96">
        <v>0.91400232152612104</v>
      </c>
      <c r="Q96">
        <v>0.91291748310290999</v>
      </c>
      <c r="R96">
        <v>6.9721650133232296E-2</v>
      </c>
      <c r="S96">
        <v>5.6395934085521397E-2</v>
      </c>
      <c r="T96">
        <v>0.14936237821880299</v>
      </c>
      <c r="U96">
        <v>0.14936237821880299</v>
      </c>
      <c r="V96">
        <v>0.55000000000000004</v>
      </c>
      <c r="W96">
        <v>4.08</v>
      </c>
      <c r="X96">
        <v>195327</v>
      </c>
      <c r="Y96">
        <v>13952</v>
      </c>
      <c r="Z96">
        <v>0.79</v>
      </c>
      <c r="AA96">
        <v>14</v>
      </c>
      <c r="AB96">
        <v>10</v>
      </c>
      <c r="AC96">
        <v>4</v>
      </c>
      <c r="AD96">
        <v>71.430000000000007</v>
      </c>
      <c r="AE96">
        <v>13</v>
      </c>
      <c r="AF96">
        <v>6</v>
      </c>
      <c r="AG96">
        <v>3</v>
      </c>
      <c r="AH96">
        <v>5</v>
      </c>
    </row>
    <row r="97" spans="1:34">
      <c r="A97" s="111">
        <v>138</v>
      </c>
      <c r="B97">
        <v>2914</v>
      </c>
      <c r="C97" s="115" t="s">
        <v>129</v>
      </c>
      <c r="D97" s="115" t="s">
        <v>130</v>
      </c>
      <c r="E97">
        <v>2469</v>
      </c>
      <c r="F97">
        <v>2482</v>
      </c>
      <c r="G97">
        <v>400</v>
      </c>
      <c r="H97" s="115" t="s">
        <v>87</v>
      </c>
      <c r="I97">
        <v>5233</v>
      </c>
      <c r="J97" s="115" t="s">
        <v>205</v>
      </c>
      <c r="K97" s="115" t="s">
        <v>140</v>
      </c>
      <c r="L97">
        <v>3150</v>
      </c>
      <c r="M97">
        <v>3115</v>
      </c>
      <c r="N97">
        <v>300</v>
      </c>
      <c r="O97" s="115" t="s">
        <v>89</v>
      </c>
      <c r="P97">
        <v>0.91183932596041195</v>
      </c>
      <c r="Q97">
        <v>0.92152663454304695</v>
      </c>
      <c r="R97">
        <v>8.3592879215100502E-2</v>
      </c>
      <c r="S97">
        <v>9.0160988942287898E-2</v>
      </c>
      <c r="T97">
        <v>-0.36850002409018501</v>
      </c>
      <c r="U97">
        <v>0.36850002409018501</v>
      </c>
      <c r="V97">
        <v>-1.56</v>
      </c>
      <c r="W97">
        <v>6.24</v>
      </c>
      <c r="X97">
        <v>194733</v>
      </c>
      <c r="Y97">
        <v>19473</v>
      </c>
      <c r="Z97">
        <v>1.01</v>
      </c>
      <c r="AA97">
        <v>10</v>
      </c>
      <c r="AB97">
        <v>7</v>
      </c>
      <c r="AC97">
        <v>3</v>
      </c>
      <c r="AD97">
        <v>70</v>
      </c>
      <c r="AE97">
        <v>11</v>
      </c>
      <c r="AF97">
        <v>5</v>
      </c>
      <c r="AG97">
        <v>2</v>
      </c>
      <c r="AH97">
        <v>3</v>
      </c>
    </row>
    <row r="98" spans="1:34">
      <c r="A98" s="111">
        <v>68</v>
      </c>
      <c r="B98">
        <v>7846</v>
      </c>
      <c r="C98" s="115" t="s">
        <v>166</v>
      </c>
      <c r="D98" s="115" t="s">
        <v>120</v>
      </c>
      <c r="E98">
        <v>4240</v>
      </c>
      <c r="F98">
        <v>4215</v>
      </c>
      <c r="G98">
        <v>200</v>
      </c>
      <c r="H98" s="115" t="s">
        <v>89</v>
      </c>
      <c r="I98">
        <v>8279</v>
      </c>
      <c r="J98" s="115" t="s">
        <v>421</v>
      </c>
      <c r="K98" s="115" t="s">
        <v>128</v>
      </c>
      <c r="L98">
        <v>5140</v>
      </c>
      <c r="M98">
        <v>5130</v>
      </c>
      <c r="N98">
        <v>200</v>
      </c>
      <c r="O98" s="115" t="s">
        <v>87</v>
      </c>
      <c r="P98">
        <v>0.93027068682068403</v>
      </c>
      <c r="Q98">
        <v>0.93502961377097804</v>
      </c>
      <c r="R98">
        <v>2.13538173535439E-2</v>
      </c>
      <c r="S98">
        <v>7.3050499533200298E-3</v>
      </c>
      <c r="T98">
        <v>0.51435788657150106</v>
      </c>
      <c r="U98">
        <v>0.51435788657150106</v>
      </c>
      <c r="V98">
        <v>2.0699999999999998</v>
      </c>
      <c r="W98">
        <v>17.84</v>
      </c>
      <c r="X98">
        <v>194518</v>
      </c>
      <c r="Y98">
        <v>17683</v>
      </c>
      <c r="Z98">
        <v>0.85</v>
      </c>
      <c r="AA98">
        <v>11</v>
      </c>
      <c r="AB98">
        <v>8</v>
      </c>
      <c r="AC98">
        <v>3</v>
      </c>
      <c r="AD98">
        <v>72.73</v>
      </c>
      <c r="AE98">
        <v>14</v>
      </c>
      <c r="AF98">
        <v>4</v>
      </c>
      <c r="AG98">
        <v>1</v>
      </c>
      <c r="AH98">
        <v>6</v>
      </c>
    </row>
    <row r="99" spans="1:34">
      <c r="A99" s="111">
        <v>70</v>
      </c>
      <c r="B99">
        <v>5471</v>
      </c>
      <c r="C99" s="115" t="s">
        <v>397</v>
      </c>
      <c r="D99" s="115" t="s">
        <v>125</v>
      </c>
      <c r="E99">
        <v>5010</v>
      </c>
      <c r="F99">
        <v>4965</v>
      </c>
      <c r="G99">
        <v>200</v>
      </c>
      <c r="H99" s="115" t="s">
        <v>89</v>
      </c>
      <c r="I99">
        <v>6995</v>
      </c>
      <c r="J99" s="115" t="s">
        <v>123</v>
      </c>
      <c r="K99" s="115" t="s">
        <v>115</v>
      </c>
      <c r="L99">
        <v>2050</v>
      </c>
      <c r="M99">
        <v>2063</v>
      </c>
      <c r="N99">
        <v>500</v>
      </c>
      <c r="O99" s="115" t="s">
        <v>87</v>
      </c>
      <c r="P99">
        <v>0.95106829149751604</v>
      </c>
      <c r="Q99">
        <v>0.93476465637166295</v>
      </c>
      <c r="R99">
        <v>0.27226118885327899</v>
      </c>
      <c r="S99" s="20">
        <v>4.64830609358921E-2</v>
      </c>
      <c r="T99">
        <v>0.78471670142387995</v>
      </c>
      <c r="U99">
        <v>0.78471670142387995</v>
      </c>
      <c r="V99">
        <v>2.0299999999999998</v>
      </c>
      <c r="W99">
        <v>3.88</v>
      </c>
      <c r="X99">
        <v>190843</v>
      </c>
      <c r="Y99">
        <v>13632</v>
      </c>
      <c r="Z99">
        <v>0.83</v>
      </c>
      <c r="AA99">
        <v>14</v>
      </c>
      <c r="AB99">
        <v>7</v>
      </c>
      <c r="AC99">
        <v>7</v>
      </c>
      <c r="AD99">
        <v>50</v>
      </c>
      <c r="AE99">
        <v>12</v>
      </c>
      <c r="AF99">
        <v>5</v>
      </c>
      <c r="AG99">
        <v>2</v>
      </c>
      <c r="AH99">
        <v>7</v>
      </c>
    </row>
    <row r="100" spans="1:34">
      <c r="A100" s="111">
        <v>198</v>
      </c>
      <c r="B100">
        <v>4182</v>
      </c>
      <c r="C100" s="115" t="s">
        <v>119</v>
      </c>
      <c r="D100" s="115" t="s">
        <v>88</v>
      </c>
      <c r="E100">
        <v>1620</v>
      </c>
      <c r="F100">
        <v>1632</v>
      </c>
      <c r="G100">
        <v>700</v>
      </c>
      <c r="H100" s="115" t="s">
        <v>89</v>
      </c>
      <c r="I100">
        <v>5334</v>
      </c>
      <c r="J100" s="115" t="s">
        <v>395</v>
      </c>
      <c r="K100" s="115" t="s">
        <v>140</v>
      </c>
      <c r="L100">
        <v>2150</v>
      </c>
      <c r="M100">
        <v>2155</v>
      </c>
      <c r="N100">
        <v>500</v>
      </c>
      <c r="O100" s="115" t="s">
        <v>87</v>
      </c>
      <c r="P100">
        <v>0.95731364776999095</v>
      </c>
      <c r="Q100">
        <v>0.913318482673521</v>
      </c>
      <c r="R100">
        <v>8.8185757702280695E-2</v>
      </c>
      <c r="S100">
        <v>2.8276396299722902E-2</v>
      </c>
      <c r="T100">
        <v>2.0164460615949502</v>
      </c>
      <c r="U100">
        <v>2.0164460615949502</v>
      </c>
      <c r="V100">
        <v>7.52</v>
      </c>
      <c r="W100">
        <v>6.02</v>
      </c>
      <c r="X100">
        <v>189932</v>
      </c>
      <c r="Y100">
        <v>11871</v>
      </c>
      <c r="Z100">
        <v>0.59</v>
      </c>
      <c r="AA100">
        <v>16</v>
      </c>
      <c r="AB100">
        <v>9</v>
      </c>
      <c r="AC100">
        <v>7</v>
      </c>
      <c r="AD100">
        <v>56.25</v>
      </c>
      <c r="AE100">
        <v>12</v>
      </c>
      <c r="AF100">
        <v>5</v>
      </c>
      <c r="AG100">
        <v>4</v>
      </c>
      <c r="AH100">
        <v>7</v>
      </c>
    </row>
    <row r="101" spans="1:34">
      <c r="A101" s="111">
        <v>109</v>
      </c>
      <c r="B101">
        <v>7181</v>
      </c>
      <c r="C101" s="115" t="s">
        <v>195</v>
      </c>
      <c r="D101" s="115" t="s">
        <v>144</v>
      </c>
      <c r="E101">
        <v>1844</v>
      </c>
      <c r="F101">
        <v>1838</v>
      </c>
      <c r="G101">
        <v>500</v>
      </c>
      <c r="H101" s="115" t="s">
        <v>89</v>
      </c>
      <c r="I101">
        <v>7202</v>
      </c>
      <c r="J101" s="115" t="s">
        <v>187</v>
      </c>
      <c r="K101" s="115" t="s">
        <v>115</v>
      </c>
      <c r="L101">
        <v>1290</v>
      </c>
      <c r="M101">
        <v>1298</v>
      </c>
      <c r="N101">
        <v>700</v>
      </c>
      <c r="O101" s="115" t="s">
        <v>87</v>
      </c>
      <c r="P101">
        <v>0.92694828565082699</v>
      </c>
      <c r="Q101">
        <v>0.92556517623859802</v>
      </c>
      <c r="R101">
        <v>9.5981525358111094E-3</v>
      </c>
      <c r="S101">
        <v>0.136049129783679</v>
      </c>
      <c r="T101">
        <v>0.80799606553176695</v>
      </c>
      <c r="U101">
        <v>0.80799606553176695</v>
      </c>
      <c r="V101">
        <v>2.48</v>
      </c>
      <c r="W101">
        <v>1.1299999999999999</v>
      </c>
      <c r="X101">
        <v>189293</v>
      </c>
      <c r="Y101">
        <v>11831</v>
      </c>
      <c r="Z101">
        <v>0.61</v>
      </c>
      <c r="AA101">
        <v>16</v>
      </c>
      <c r="AB101">
        <v>10</v>
      </c>
      <c r="AC101">
        <v>6</v>
      </c>
      <c r="AD101">
        <v>62.5</v>
      </c>
      <c r="AE101">
        <v>14</v>
      </c>
      <c r="AF101">
        <v>6</v>
      </c>
      <c r="AG101">
        <v>2</v>
      </c>
      <c r="AH101">
        <v>8</v>
      </c>
    </row>
    <row r="102" spans="1:34">
      <c r="A102" s="111">
        <v>219</v>
      </c>
      <c r="B102">
        <v>1928</v>
      </c>
      <c r="C102" s="115" t="s">
        <v>396</v>
      </c>
      <c r="D102" s="115" t="s">
        <v>108</v>
      </c>
      <c r="E102">
        <v>2379.5</v>
      </c>
      <c r="F102">
        <v>2380.5</v>
      </c>
      <c r="G102">
        <v>400</v>
      </c>
      <c r="H102" s="115" t="s">
        <v>89</v>
      </c>
      <c r="I102">
        <v>6857</v>
      </c>
      <c r="J102" s="115" t="s">
        <v>163</v>
      </c>
      <c r="K102" s="115" t="s">
        <v>118</v>
      </c>
      <c r="L102">
        <v>5330</v>
      </c>
      <c r="M102">
        <v>5200</v>
      </c>
      <c r="N102">
        <v>200</v>
      </c>
      <c r="O102" s="115" t="s">
        <v>87</v>
      </c>
      <c r="P102">
        <v>0.94286377882160999</v>
      </c>
      <c r="Q102">
        <v>0.91041587507101096</v>
      </c>
      <c r="R102">
        <v>1.08683681839887E-3</v>
      </c>
      <c r="S102">
        <v>0.247995261536575</v>
      </c>
      <c r="T102">
        <v>1.5526887016942701</v>
      </c>
      <c r="U102">
        <v>1.5526887016942701</v>
      </c>
      <c r="V102">
        <v>4.59</v>
      </c>
      <c r="W102">
        <v>8.44</v>
      </c>
      <c r="X102">
        <v>185693</v>
      </c>
      <c r="Y102">
        <v>11606</v>
      </c>
      <c r="Z102">
        <v>0.52</v>
      </c>
      <c r="AA102">
        <v>16</v>
      </c>
      <c r="AB102">
        <v>11</v>
      </c>
      <c r="AC102">
        <v>5</v>
      </c>
      <c r="AD102">
        <v>68.75</v>
      </c>
      <c r="AE102">
        <v>10</v>
      </c>
      <c r="AF102">
        <v>6</v>
      </c>
      <c r="AG102">
        <v>5</v>
      </c>
      <c r="AH102">
        <v>5</v>
      </c>
    </row>
    <row r="103" spans="1:34">
      <c r="A103" s="111">
        <v>184</v>
      </c>
      <c r="B103">
        <v>4208</v>
      </c>
      <c r="C103" s="115" t="s">
        <v>131</v>
      </c>
      <c r="D103" s="115" t="s">
        <v>88</v>
      </c>
      <c r="E103">
        <v>2301</v>
      </c>
      <c r="F103">
        <v>2286</v>
      </c>
      <c r="G103">
        <v>400</v>
      </c>
      <c r="H103" s="115" t="s">
        <v>87</v>
      </c>
      <c r="I103">
        <v>6472</v>
      </c>
      <c r="J103" s="115" t="s">
        <v>189</v>
      </c>
      <c r="K103" s="115" t="s">
        <v>133</v>
      </c>
      <c r="L103">
        <v>322</v>
      </c>
      <c r="M103">
        <v>327</v>
      </c>
      <c r="N103">
        <v>2800</v>
      </c>
      <c r="O103" s="115" t="s">
        <v>89</v>
      </c>
      <c r="P103">
        <v>0.96921669496870999</v>
      </c>
      <c r="Q103">
        <v>0.91517544206889101</v>
      </c>
      <c r="R103" s="20">
        <v>5.8590683345872597E-5</v>
      </c>
      <c r="S103">
        <v>2.9130035205997499E-2</v>
      </c>
      <c r="T103">
        <v>-0.125660311928594</v>
      </c>
      <c r="U103">
        <v>0.125660311928594</v>
      </c>
      <c r="V103">
        <v>-0.47</v>
      </c>
      <c r="W103">
        <v>0.13</v>
      </c>
      <c r="X103">
        <v>179209</v>
      </c>
      <c r="Y103">
        <v>8534</v>
      </c>
      <c r="Z103">
        <v>0.45</v>
      </c>
      <c r="AA103">
        <v>21</v>
      </c>
      <c r="AB103">
        <v>13</v>
      </c>
      <c r="AC103">
        <v>8</v>
      </c>
      <c r="AD103">
        <v>61.9</v>
      </c>
      <c r="AE103">
        <v>13</v>
      </c>
      <c r="AF103">
        <v>7</v>
      </c>
      <c r="AG103">
        <v>5</v>
      </c>
      <c r="AH103">
        <v>9</v>
      </c>
    </row>
    <row r="104" spans="1:34">
      <c r="A104" s="111">
        <v>220</v>
      </c>
      <c r="B104">
        <v>1820</v>
      </c>
      <c r="C104" s="115" t="s">
        <v>161</v>
      </c>
      <c r="D104" s="115" t="s">
        <v>108</v>
      </c>
      <c r="E104">
        <v>2356</v>
      </c>
      <c r="F104">
        <v>2367</v>
      </c>
      <c r="G104">
        <v>400</v>
      </c>
      <c r="H104" s="115" t="s">
        <v>87</v>
      </c>
      <c r="I104">
        <v>4202</v>
      </c>
      <c r="J104" s="115" t="s">
        <v>121</v>
      </c>
      <c r="K104" s="115" t="s">
        <v>88</v>
      </c>
      <c r="L104">
        <v>1082</v>
      </c>
      <c r="M104">
        <v>1092</v>
      </c>
      <c r="N104">
        <v>900</v>
      </c>
      <c r="O104" s="115" t="s">
        <v>89</v>
      </c>
      <c r="P104">
        <v>0.95951493893082895</v>
      </c>
      <c r="Q104">
        <v>0.91027917586382001</v>
      </c>
      <c r="R104">
        <v>0.241646738276801</v>
      </c>
      <c r="S104">
        <v>0.107922052615923</v>
      </c>
      <c r="T104">
        <v>-0.67136820548624698</v>
      </c>
      <c r="U104">
        <v>0.67136820548624698</v>
      </c>
      <c r="V104">
        <v>-2.35</v>
      </c>
      <c r="W104">
        <v>3.8</v>
      </c>
      <c r="X104">
        <v>178623</v>
      </c>
      <c r="Y104">
        <v>9924</v>
      </c>
      <c r="Z104">
        <v>0.54</v>
      </c>
      <c r="AA104">
        <v>18</v>
      </c>
      <c r="AB104">
        <v>11</v>
      </c>
      <c r="AC104">
        <v>7</v>
      </c>
      <c r="AD104">
        <v>61.11</v>
      </c>
      <c r="AE104">
        <v>12</v>
      </c>
      <c r="AF104">
        <v>7</v>
      </c>
      <c r="AG104">
        <v>3</v>
      </c>
      <c r="AH104">
        <v>8</v>
      </c>
    </row>
    <row r="105" spans="1:34">
      <c r="A105" s="111">
        <v>272</v>
      </c>
      <c r="B105">
        <v>1942</v>
      </c>
      <c r="C105" s="115" t="s">
        <v>107</v>
      </c>
      <c r="D105" s="115" t="s">
        <v>108</v>
      </c>
      <c r="E105">
        <v>1061</v>
      </c>
      <c r="F105">
        <v>1060</v>
      </c>
      <c r="G105">
        <v>1000</v>
      </c>
      <c r="H105" s="115" t="s">
        <v>87</v>
      </c>
      <c r="I105">
        <v>3076</v>
      </c>
      <c r="J105" s="115" t="s">
        <v>190</v>
      </c>
      <c r="K105" s="115" t="s">
        <v>135</v>
      </c>
      <c r="L105">
        <v>2044</v>
      </c>
      <c r="M105">
        <v>2035</v>
      </c>
      <c r="N105">
        <v>500</v>
      </c>
      <c r="O105" s="115" t="s">
        <v>89</v>
      </c>
      <c r="P105">
        <v>0.93048437599525802</v>
      </c>
      <c r="Q105">
        <v>0.90320464664609901</v>
      </c>
      <c r="R105" s="20">
        <v>0.21545745519071899</v>
      </c>
      <c r="S105" s="20">
        <v>9.7717167320217398E-3</v>
      </c>
      <c r="T105">
        <v>-0.94615122858045997</v>
      </c>
      <c r="U105">
        <v>0.94615122858045997</v>
      </c>
      <c r="V105">
        <v>-2.99</v>
      </c>
      <c r="W105">
        <v>4.18</v>
      </c>
      <c r="X105">
        <v>177069</v>
      </c>
      <c r="Y105">
        <v>11067</v>
      </c>
      <c r="Z105">
        <v>0.6</v>
      </c>
      <c r="AA105">
        <v>16</v>
      </c>
      <c r="AB105">
        <v>10</v>
      </c>
      <c r="AC105">
        <v>6</v>
      </c>
      <c r="AD105">
        <v>62.5</v>
      </c>
      <c r="AE105">
        <v>13</v>
      </c>
      <c r="AF105">
        <v>6</v>
      </c>
      <c r="AG105">
        <v>3</v>
      </c>
      <c r="AH105">
        <v>7</v>
      </c>
    </row>
    <row r="106" spans="1:34">
      <c r="A106" s="111">
        <v>226</v>
      </c>
      <c r="B106">
        <v>1860</v>
      </c>
      <c r="C106" s="115" t="s">
        <v>145</v>
      </c>
      <c r="D106" s="115" t="s">
        <v>108</v>
      </c>
      <c r="E106">
        <v>671</v>
      </c>
      <c r="F106">
        <v>676</v>
      </c>
      <c r="G106">
        <v>1600</v>
      </c>
      <c r="H106" s="115" t="s">
        <v>89</v>
      </c>
      <c r="I106">
        <v>9072</v>
      </c>
      <c r="J106" s="115" t="s">
        <v>175</v>
      </c>
      <c r="K106" s="115" t="s">
        <v>157</v>
      </c>
      <c r="L106">
        <v>2689</v>
      </c>
      <c r="M106">
        <v>2707</v>
      </c>
      <c r="N106">
        <v>400</v>
      </c>
      <c r="O106" s="115" t="s">
        <v>87</v>
      </c>
      <c r="P106">
        <v>0.96108373824763904</v>
      </c>
      <c r="Q106">
        <v>0.90964390577537502</v>
      </c>
      <c r="R106">
        <v>0.106377144493172</v>
      </c>
      <c r="S106" s="20">
        <v>4.0472315401355201E-2</v>
      </c>
      <c r="T106">
        <v>0.17025066618968901</v>
      </c>
      <c r="U106">
        <v>0.17025066618968901</v>
      </c>
      <c r="V106">
        <v>0.59</v>
      </c>
      <c r="W106">
        <v>0.11</v>
      </c>
      <c r="X106">
        <v>176568</v>
      </c>
      <c r="Y106">
        <v>9293</v>
      </c>
      <c r="Z106">
        <v>0.43</v>
      </c>
      <c r="AA106">
        <v>19</v>
      </c>
      <c r="AB106">
        <v>9</v>
      </c>
      <c r="AC106">
        <v>10</v>
      </c>
      <c r="AD106">
        <v>47.37</v>
      </c>
      <c r="AE106">
        <v>15</v>
      </c>
      <c r="AF106">
        <v>5</v>
      </c>
      <c r="AG106">
        <v>1</v>
      </c>
      <c r="AH106">
        <v>13</v>
      </c>
    </row>
    <row r="107" spans="1:34">
      <c r="A107" s="111">
        <v>213</v>
      </c>
      <c r="B107">
        <v>4061</v>
      </c>
      <c r="C107" s="115" t="s">
        <v>162</v>
      </c>
      <c r="D107" s="115" t="s">
        <v>88</v>
      </c>
      <c r="E107">
        <v>3300</v>
      </c>
      <c r="F107">
        <v>3250</v>
      </c>
      <c r="G107">
        <v>200</v>
      </c>
      <c r="H107" s="115" t="s">
        <v>89</v>
      </c>
      <c r="I107">
        <v>8316</v>
      </c>
      <c r="J107" s="115" t="s">
        <v>192</v>
      </c>
      <c r="K107" s="115" t="s">
        <v>113</v>
      </c>
      <c r="L107">
        <v>3963</v>
      </c>
      <c r="M107">
        <v>3969</v>
      </c>
      <c r="N107">
        <v>200</v>
      </c>
      <c r="O107" s="115" t="s">
        <v>87</v>
      </c>
      <c r="P107">
        <v>0.96122126142697495</v>
      </c>
      <c r="Q107">
        <v>0.91080641569658305</v>
      </c>
      <c r="R107" s="20">
        <v>0.201699984033793</v>
      </c>
      <c r="S107" s="20">
        <v>9.6203071978412499E-4</v>
      </c>
      <c r="T107">
        <v>0.57595329121688699</v>
      </c>
      <c r="U107">
        <v>0.57595329121688699</v>
      </c>
      <c r="V107">
        <v>1.19</v>
      </c>
      <c r="W107">
        <v>18.12</v>
      </c>
      <c r="X107">
        <v>176497</v>
      </c>
      <c r="Y107">
        <v>25214</v>
      </c>
      <c r="Z107">
        <v>1.47</v>
      </c>
      <c r="AA107">
        <v>7</v>
      </c>
      <c r="AB107">
        <v>6</v>
      </c>
      <c r="AC107">
        <v>1</v>
      </c>
      <c r="AD107">
        <v>85.71</v>
      </c>
      <c r="AE107">
        <v>14</v>
      </c>
      <c r="AF107">
        <v>2</v>
      </c>
      <c r="AG107">
        <v>0</v>
      </c>
      <c r="AH107">
        <v>5</v>
      </c>
    </row>
    <row r="108" spans="1:34">
      <c r="A108" s="111">
        <v>33</v>
      </c>
      <c r="B108">
        <v>8425</v>
      </c>
      <c r="C108" s="115" t="s">
        <v>425</v>
      </c>
      <c r="D108" s="115" t="s">
        <v>388</v>
      </c>
      <c r="E108">
        <v>3125</v>
      </c>
      <c r="F108">
        <v>3135</v>
      </c>
      <c r="G108">
        <v>300</v>
      </c>
      <c r="H108" s="115" t="s">
        <v>87</v>
      </c>
      <c r="I108">
        <v>8593</v>
      </c>
      <c r="J108" s="115" t="s">
        <v>412</v>
      </c>
      <c r="K108" s="115" t="s">
        <v>388</v>
      </c>
      <c r="L108">
        <v>700</v>
      </c>
      <c r="M108">
        <v>704</v>
      </c>
      <c r="N108">
        <v>1300</v>
      </c>
      <c r="O108" s="115" t="s">
        <v>89</v>
      </c>
      <c r="P108">
        <v>0.96812707744737403</v>
      </c>
      <c r="Q108">
        <v>0.94339796881573901</v>
      </c>
      <c r="R108">
        <v>2.7183981226878802E-3</v>
      </c>
      <c r="S108">
        <v>2.91596463989923E-3</v>
      </c>
      <c r="T108">
        <v>-1.84829727436295</v>
      </c>
      <c r="U108">
        <v>1.84829727436295</v>
      </c>
      <c r="V108">
        <v>-3.17</v>
      </c>
      <c r="W108">
        <v>2.69</v>
      </c>
      <c r="X108">
        <v>175709</v>
      </c>
      <c r="Y108">
        <v>12551</v>
      </c>
      <c r="Z108">
        <v>0.59</v>
      </c>
      <c r="AA108">
        <v>14</v>
      </c>
      <c r="AB108">
        <v>9</v>
      </c>
      <c r="AC108">
        <v>5</v>
      </c>
      <c r="AD108">
        <v>64.290000000000006</v>
      </c>
      <c r="AE108">
        <v>13</v>
      </c>
      <c r="AF108">
        <v>6</v>
      </c>
      <c r="AG108">
        <v>3</v>
      </c>
      <c r="AH108">
        <v>5</v>
      </c>
    </row>
    <row r="109" spans="1:34">
      <c r="A109" s="111">
        <v>103</v>
      </c>
      <c r="B109">
        <v>5991</v>
      </c>
      <c r="C109" s="115" t="s">
        <v>149</v>
      </c>
      <c r="D109" s="115" t="s">
        <v>150</v>
      </c>
      <c r="E109">
        <v>953</v>
      </c>
      <c r="F109">
        <v>957</v>
      </c>
      <c r="G109">
        <v>900</v>
      </c>
      <c r="H109" s="115" t="s">
        <v>87</v>
      </c>
      <c r="I109">
        <v>7259</v>
      </c>
      <c r="J109" s="115" t="s">
        <v>55</v>
      </c>
      <c r="K109" s="115" t="s">
        <v>115</v>
      </c>
      <c r="L109">
        <v>4125</v>
      </c>
      <c r="M109">
        <v>4090</v>
      </c>
      <c r="N109">
        <v>200</v>
      </c>
      <c r="O109" s="115" t="s">
        <v>89</v>
      </c>
      <c r="P109">
        <v>0.94859104130418603</v>
      </c>
      <c r="Q109">
        <v>0.92627456850211298</v>
      </c>
      <c r="R109">
        <v>0.24522512344928599</v>
      </c>
      <c r="S109">
        <v>1.53692497574221E-2</v>
      </c>
      <c r="T109">
        <v>-0.13916742301608101</v>
      </c>
      <c r="U109">
        <v>0.13916742301608101</v>
      </c>
      <c r="V109">
        <v>-0.55000000000000004</v>
      </c>
      <c r="W109">
        <v>5.29</v>
      </c>
      <c r="X109">
        <v>175024</v>
      </c>
      <c r="Y109">
        <v>11668</v>
      </c>
      <c r="Z109">
        <v>0.81</v>
      </c>
      <c r="AA109">
        <v>15</v>
      </c>
      <c r="AB109">
        <v>9</v>
      </c>
      <c r="AC109">
        <v>6</v>
      </c>
      <c r="AD109">
        <v>60</v>
      </c>
      <c r="AE109">
        <v>10</v>
      </c>
      <c r="AF109">
        <v>8</v>
      </c>
      <c r="AG109">
        <v>3</v>
      </c>
      <c r="AH109">
        <v>4</v>
      </c>
    </row>
    <row r="110" spans="1:34">
      <c r="A110" s="111">
        <v>52</v>
      </c>
      <c r="B110">
        <v>6845</v>
      </c>
      <c r="C110" s="115" t="s">
        <v>402</v>
      </c>
      <c r="D110" s="115" t="s">
        <v>118</v>
      </c>
      <c r="E110">
        <v>3185</v>
      </c>
      <c r="F110">
        <v>3200</v>
      </c>
      <c r="G110">
        <v>300</v>
      </c>
      <c r="H110" s="115" t="s">
        <v>89</v>
      </c>
      <c r="I110">
        <v>6925</v>
      </c>
      <c r="J110" s="115" t="s">
        <v>415</v>
      </c>
      <c r="K110" s="115" t="s">
        <v>118</v>
      </c>
      <c r="L110">
        <v>1633</v>
      </c>
      <c r="M110">
        <v>1634</v>
      </c>
      <c r="N110">
        <v>600</v>
      </c>
      <c r="O110" s="115" t="s">
        <v>87</v>
      </c>
      <c r="P110">
        <v>0.93420894265000598</v>
      </c>
      <c r="Q110">
        <v>0.937656937351246</v>
      </c>
      <c r="R110">
        <v>0.21656208557463799</v>
      </c>
      <c r="S110">
        <v>7.4223785933573896E-3</v>
      </c>
      <c r="T110">
        <v>0.44662052951138997</v>
      </c>
      <c r="U110">
        <v>0.44662052951138997</v>
      </c>
      <c r="V110">
        <v>1.37</v>
      </c>
      <c r="W110">
        <v>2.12</v>
      </c>
      <c r="X110">
        <v>173618</v>
      </c>
      <c r="Y110">
        <v>9138</v>
      </c>
      <c r="Z110">
        <v>0.45</v>
      </c>
      <c r="AA110">
        <v>19</v>
      </c>
      <c r="AB110">
        <v>10</v>
      </c>
      <c r="AC110">
        <v>9</v>
      </c>
      <c r="AD110">
        <v>52.63</v>
      </c>
      <c r="AE110">
        <v>13</v>
      </c>
      <c r="AF110">
        <v>8</v>
      </c>
      <c r="AG110">
        <v>3</v>
      </c>
      <c r="AH110">
        <v>8</v>
      </c>
    </row>
    <row r="111" spans="1:34">
      <c r="A111" s="111">
        <v>265</v>
      </c>
      <c r="B111">
        <v>4042</v>
      </c>
      <c r="C111" s="115" t="s">
        <v>455</v>
      </c>
      <c r="D111" s="115" t="s">
        <v>88</v>
      </c>
      <c r="E111">
        <v>1581</v>
      </c>
      <c r="F111">
        <v>1596</v>
      </c>
      <c r="G111">
        <v>600</v>
      </c>
      <c r="H111" s="115" t="s">
        <v>89</v>
      </c>
      <c r="I111">
        <v>7762</v>
      </c>
      <c r="J111" s="115" t="s">
        <v>141</v>
      </c>
      <c r="K111" s="115" t="s">
        <v>126</v>
      </c>
      <c r="L111">
        <v>585</v>
      </c>
      <c r="M111">
        <v>590</v>
      </c>
      <c r="N111">
        <v>1600</v>
      </c>
      <c r="O111" s="115" t="s">
        <v>87</v>
      </c>
      <c r="P111">
        <v>0.96793186238832296</v>
      </c>
      <c r="Q111">
        <v>0.90405867642332005</v>
      </c>
      <c r="R111" s="20">
        <v>3.1667917457031597E-2</v>
      </c>
      <c r="S111">
        <v>0.27558028770334803</v>
      </c>
      <c r="T111">
        <v>5.9552499518536499E-3</v>
      </c>
      <c r="U111">
        <v>5.9552499518536499E-3</v>
      </c>
      <c r="V111">
        <v>0.01</v>
      </c>
      <c r="W111">
        <v>1.42</v>
      </c>
      <c r="X111">
        <v>173063</v>
      </c>
      <c r="Y111">
        <v>12362</v>
      </c>
      <c r="Z111">
        <v>0.63</v>
      </c>
      <c r="AA111">
        <v>14</v>
      </c>
      <c r="AB111">
        <v>9</v>
      </c>
      <c r="AC111">
        <v>5</v>
      </c>
      <c r="AD111">
        <v>64.290000000000006</v>
      </c>
      <c r="AE111">
        <v>13</v>
      </c>
      <c r="AF111">
        <v>4</v>
      </c>
      <c r="AG111">
        <v>2</v>
      </c>
      <c r="AH111">
        <v>8</v>
      </c>
    </row>
    <row r="112" spans="1:34">
      <c r="A112" s="111">
        <v>248</v>
      </c>
      <c r="B112">
        <v>6371</v>
      </c>
      <c r="C112" s="115" t="s">
        <v>142</v>
      </c>
      <c r="D112" s="115" t="s">
        <v>133</v>
      </c>
      <c r="E112">
        <v>3765</v>
      </c>
      <c r="F112">
        <v>3780</v>
      </c>
      <c r="G112">
        <v>200</v>
      </c>
      <c r="H112" s="115" t="s">
        <v>89</v>
      </c>
      <c r="I112">
        <v>7327</v>
      </c>
      <c r="J112" s="115" t="s">
        <v>200</v>
      </c>
      <c r="K112" s="115" t="s">
        <v>113</v>
      </c>
      <c r="L112">
        <v>2891</v>
      </c>
      <c r="M112">
        <v>2898</v>
      </c>
      <c r="N112">
        <v>300</v>
      </c>
      <c r="O112" s="115" t="s">
        <v>87</v>
      </c>
      <c r="P112">
        <v>0.94867940636830395</v>
      </c>
      <c r="Q112">
        <v>0.90687631750910003</v>
      </c>
      <c r="R112">
        <v>0.13626018140232499</v>
      </c>
      <c r="S112">
        <v>2.43691396788677E-2</v>
      </c>
      <c r="T112">
        <v>0.29970341479663798</v>
      </c>
      <c r="U112">
        <v>0.29970341479663798</v>
      </c>
      <c r="V112">
        <v>0.73</v>
      </c>
      <c r="W112">
        <v>15</v>
      </c>
      <c r="X112">
        <v>171321</v>
      </c>
      <c r="Y112">
        <v>42830</v>
      </c>
      <c r="Z112">
        <v>2.2799999999999998</v>
      </c>
      <c r="AA112">
        <v>4</v>
      </c>
      <c r="AB112">
        <v>4</v>
      </c>
      <c r="AC112">
        <v>0</v>
      </c>
      <c r="AD112">
        <v>100</v>
      </c>
      <c r="AE112">
        <v>10</v>
      </c>
      <c r="AF112">
        <v>4</v>
      </c>
      <c r="AG112">
        <v>0</v>
      </c>
      <c r="AH112">
        <v>0</v>
      </c>
    </row>
    <row r="113" spans="1:34">
      <c r="A113" s="111">
        <v>251</v>
      </c>
      <c r="B113">
        <v>1820</v>
      </c>
      <c r="C113" s="115" t="s">
        <v>161</v>
      </c>
      <c r="D113" s="115" t="s">
        <v>108</v>
      </c>
      <c r="E113">
        <v>2356</v>
      </c>
      <c r="F113">
        <v>2367</v>
      </c>
      <c r="G113">
        <v>500</v>
      </c>
      <c r="H113" s="115" t="s">
        <v>89</v>
      </c>
      <c r="I113">
        <v>9072</v>
      </c>
      <c r="J113" s="115" t="s">
        <v>175</v>
      </c>
      <c r="K113" s="115" t="s">
        <v>157</v>
      </c>
      <c r="L113">
        <v>2689</v>
      </c>
      <c r="M113">
        <v>2707</v>
      </c>
      <c r="N113">
        <v>400</v>
      </c>
      <c r="O113" s="115" t="s">
        <v>87</v>
      </c>
      <c r="P113">
        <v>0.96213936611797501</v>
      </c>
      <c r="Q113">
        <v>0.906733644512284</v>
      </c>
      <c r="R113">
        <v>4.1483389419970901E-2</v>
      </c>
      <c r="S113">
        <v>1.6726224809694799E-2</v>
      </c>
      <c r="T113">
        <v>1.6501215356613299</v>
      </c>
      <c r="U113">
        <v>1.6501215356613299</v>
      </c>
      <c r="V113">
        <v>6.79</v>
      </c>
      <c r="W113">
        <v>9.3000000000000007</v>
      </c>
      <c r="X113">
        <v>166716</v>
      </c>
      <c r="Y113">
        <v>13893</v>
      </c>
      <c r="Z113">
        <v>0.73</v>
      </c>
      <c r="AA113">
        <v>12</v>
      </c>
      <c r="AB113">
        <v>7</v>
      </c>
      <c r="AC113">
        <v>5</v>
      </c>
      <c r="AD113">
        <v>58.33</v>
      </c>
      <c r="AE113">
        <v>16</v>
      </c>
      <c r="AF113">
        <v>5</v>
      </c>
      <c r="AG113">
        <v>1</v>
      </c>
      <c r="AH113">
        <v>6</v>
      </c>
    </row>
    <row r="114" spans="1:34">
      <c r="A114" s="111">
        <v>152</v>
      </c>
      <c r="B114">
        <v>6988</v>
      </c>
      <c r="C114" s="115" t="s">
        <v>197</v>
      </c>
      <c r="D114" s="115" t="s">
        <v>88</v>
      </c>
      <c r="E114">
        <v>6110</v>
      </c>
      <c r="F114">
        <v>6040</v>
      </c>
      <c r="G114">
        <v>100</v>
      </c>
      <c r="H114" s="115" t="s">
        <v>87</v>
      </c>
      <c r="I114">
        <v>7282</v>
      </c>
      <c r="J114" s="115" t="s">
        <v>452</v>
      </c>
      <c r="K114" s="115" t="s">
        <v>115</v>
      </c>
      <c r="L114">
        <v>2502</v>
      </c>
      <c r="M114">
        <v>2532</v>
      </c>
      <c r="N114">
        <v>200</v>
      </c>
      <c r="O114" s="115" t="s">
        <v>89</v>
      </c>
      <c r="P114">
        <v>0.97532927688529003</v>
      </c>
      <c r="Q114">
        <v>0.91895232066438604</v>
      </c>
      <c r="R114">
        <v>1.19362578248597E-2</v>
      </c>
      <c r="S114">
        <v>0.28185436590451102</v>
      </c>
      <c r="T114">
        <v>-1.5089712438879901</v>
      </c>
      <c r="U114">
        <v>1.5089712438879901</v>
      </c>
      <c r="V114">
        <v>-3.64</v>
      </c>
      <c r="W114">
        <v>16.16</v>
      </c>
      <c r="X114">
        <v>166562</v>
      </c>
      <c r="Y114">
        <v>11104</v>
      </c>
      <c r="Z114">
        <v>0.57999999999999996</v>
      </c>
      <c r="AA114">
        <v>15</v>
      </c>
      <c r="AB114">
        <v>10</v>
      </c>
      <c r="AC114">
        <v>5</v>
      </c>
      <c r="AD114">
        <v>66.67</v>
      </c>
      <c r="AE114">
        <v>11</v>
      </c>
      <c r="AF114">
        <v>9</v>
      </c>
      <c r="AG114">
        <v>3</v>
      </c>
      <c r="AH114">
        <v>3</v>
      </c>
    </row>
    <row r="115" spans="1:34">
      <c r="A115" s="111">
        <v>239</v>
      </c>
      <c r="B115">
        <v>6472</v>
      </c>
      <c r="C115" s="115" t="s">
        <v>189</v>
      </c>
      <c r="D115" s="115" t="s">
        <v>133</v>
      </c>
      <c r="E115">
        <v>322</v>
      </c>
      <c r="F115">
        <v>327</v>
      </c>
      <c r="G115">
        <v>3200</v>
      </c>
      <c r="H115" s="115" t="s">
        <v>87</v>
      </c>
      <c r="I115">
        <v>6995</v>
      </c>
      <c r="J115" s="115" t="s">
        <v>123</v>
      </c>
      <c r="K115" s="115" t="s">
        <v>115</v>
      </c>
      <c r="L115">
        <v>2050</v>
      </c>
      <c r="M115">
        <v>2063</v>
      </c>
      <c r="N115">
        <v>500</v>
      </c>
      <c r="O115" s="115" t="s">
        <v>89</v>
      </c>
      <c r="P115">
        <v>0.93915951343190796</v>
      </c>
      <c r="Q115">
        <v>0.90833779005807902</v>
      </c>
      <c r="R115">
        <v>4.8400745604210097E-3</v>
      </c>
      <c r="S115">
        <v>1.1909741164101499E-2</v>
      </c>
      <c r="T115">
        <v>-2.25698194927753</v>
      </c>
      <c r="U115">
        <v>2.25698194927753</v>
      </c>
      <c r="V115">
        <v>-6.49</v>
      </c>
      <c r="W115">
        <v>1.44</v>
      </c>
      <c r="X115">
        <v>163682</v>
      </c>
      <c r="Y115">
        <v>13640</v>
      </c>
      <c r="Z115">
        <v>0.67</v>
      </c>
      <c r="AA115">
        <v>12</v>
      </c>
      <c r="AB115">
        <v>8</v>
      </c>
      <c r="AC115">
        <v>4</v>
      </c>
      <c r="AD115">
        <v>66.67</v>
      </c>
      <c r="AE115">
        <v>14</v>
      </c>
      <c r="AF115">
        <v>6</v>
      </c>
      <c r="AG115">
        <v>1</v>
      </c>
      <c r="AH115">
        <v>5</v>
      </c>
    </row>
    <row r="116" spans="1:34">
      <c r="A116" s="111">
        <v>190</v>
      </c>
      <c r="B116">
        <v>9072</v>
      </c>
      <c r="C116" s="115" t="s">
        <v>175</v>
      </c>
      <c r="D116" s="115" t="s">
        <v>157</v>
      </c>
      <c r="E116">
        <v>2689</v>
      </c>
      <c r="F116">
        <v>2707</v>
      </c>
      <c r="G116">
        <v>400</v>
      </c>
      <c r="H116" s="115" t="s">
        <v>87</v>
      </c>
      <c r="I116">
        <v>9810</v>
      </c>
      <c r="J116" s="115" t="s">
        <v>176</v>
      </c>
      <c r="K116" s="115" t="s">
        <v>135</v>
      </c>
      <c r="L116">
        <v>4950</v>
      </c>
      <c r="M116">
        <v>4995</v>
      </c>
      <c r="N116">
        <v>200</v>
      </c>
      <c r="O116" s="115" t="s">
        <v>89</v>
      </c>
      <c r="P116">
        <v>0.955309608787831</v>
      </c>
      <c r="Q116">
        <v>0.91457556924910699</v>
      </c>
      <c r="R116">
        <v>3.2362479002373802E-2</v>
      </c>
      <c r="S116">
        <v>6.0375796060659797E-4</v>
      </c>
      <c r="T116">
        <v>-2.3067519699669701</v>
      </c>
      <c r="U116">
        <v>2.3067519699669701</v>
      </c>
      <c r="V116">
        <v>-6.06</v>
      </c>
      <c r="W116">
        <v>8.39</v>
      </c>
      <c r="X116">
        <v>161996</v>
      </c>
      <c r="Y116">
        <v>11571</v>
      </c>
      <c r="Z116">
        <v>0.75</v>
      </c>
      <c r="AA116">
        <v>14</v>
      </c>
      <c r="AB116">
        <v>9</v>
      </c>
      <c r="AC116">
        <v>5</v>
      </c>
      <c r="AD116">
        <v>64.290000000000006</v>
      </c>
      <c r="AE116">
        <v>14</v>
      </c>
      <c r="AF116">
        <v>6</v>
      </c>
      <c r="AG116">
        <v>1</v>
      </c>
      <c r="AH116">
        <v>7</v>
      </c>
    </row>
    <row r="117" spans="1:34">
      <c r="A117" s="111">
        <v>10</v>
      </c>
      <c r="B117">
        <v>7182</v>
      </c>
      <c r="C117" s="115" t="s">
        <v>186</v>
      </c>
      <c r="D117" s="115" t="s">
        <v>113</v>
      </c>
      <c r="E117">
        <v>1050</v>
      </c>
      <c r="F117">
        <v>1051</v>
      </c>
      <c r="G117">
        <v>1000</v>
      </c>
      <c r="H117" s="115" t="s">
        <v>87</v>
      </c>
      <c r="I117">
        <v>7211</v>
      </c>
      <c r="J117" s="115" t="s">
        <v>56</v>
      </c>
      <c r="K117" s="115" t="s">
        <v>115</v>
      </c>
      <c r="L117">
        <v>485</v>
      </c>
      <c r="M117">
        <v>487</v>
      </c>
      <c r="N117">
        <v>2200</v>
      </c>
      <c r="O117" s="115" t="s">
        <v>89</v>
      </c>
      <c r="P117">
        <v>0.96046628827216396</v>
      </c>
      <c r="Q117">
        <v>0.95612723497958696</v>
      </c>
      <c r="R117">
        <v>1.7256300004588499E-4</v>
      </c>
      <c r="S117">
        <v>3.5392237516219099E-3</v>
      </c>
      <c r="T117">
        <v>-0.66578665030586803</v>
      </c>
      <c r="U117">
        <v>0.66578665030586803</v>
      </c>
      <c r="V117">
        <v>-1.88</v>
      </c>
      <c r="W117">
        <v>1.94</v>
      </c>
      <c r="X117">
        <v>160408</v>
      </c>
      <c r="Y117">
        <v>10694</v>
      </c>
      <c r="Z117">
        <v>0.5</v>
      </c>
      <c r="AA117">
        <v>15</v>
      </c>
      <c r="AB117">
        <v>8</v>
      </c>
      <c r="AC117">
        <v>7</v>
      </c>
      <c r="AD117">
        <v>53.33</v>
      </c>
      <c r="AE117">
        <v>16</v>
      </c>
      <c r="AF117">
        <v>3</v>
      </c>
      <c r="AG117">
        <v>1</v>
      </c>
      <c r="AH117">
        <v>11</v>
      </c>
    </row>
    <row r="118" spans="1:34">
      <c r="A118" s="111">
        <v>178</v>
      </c>
      <c r="B118">
        <v>6472</v>
      </c>
      <c r="C118" s="115" t="s">
        <v>189</v>
      </c>
      <c r="D118" s="115" t="s">
        <v>133</v>
      </c>
      <c r="E118">
        <v>322</v>
      </c>
      <c r="F118">
        <v>327</v>
      </c>
      <c r="G118">
        <v>2800</v>
      </c>
      <c r="H118" s="115" t="s">
        <v>87</v>
      </c>
      <c r="I118">
        <v>7272</v>
      </c>
      <c r="J118" s="115" t="s">
        <v>391</v>
      </c>
      <c r="K118" s="115" t="s">
        <v>115</v>
      </c>
      <c r="L118">
        <v>2247</v>
      </c>
      <c r="M118">
        <v>2250</v>
      </c>
      <c r="N118">
        <v>400</v>
      </c>
      <c r="O118" s="115" t="s">
        <v>89</v>
      </c>
      <c r="P118">
        <v>0.90720010634808301</v>
      </c>
      <c r="Q118">
        <v>0.91545307045047397</v>
      </c>
      <c r="R118">
        <v>0.105500340010378</v>
      </c>
      <c r="S118">
        <v>6.31739360224333E-3</v>
      </c>
      <c r="T118">
        <v>-2.44166763811493</v>
      </c>
      <c r="U118">
        <v>2.44166763811493</v>
      </c>
      <c r="V118">
        <v>-9.42</v>
      </c>
      <c r="W118">
        <v>1.73</v>
      </c>
      <c r="X118">
        <v>158397</v>
      </c>
      <c r="Y118">
        <v>9900</v>
      </c>
      <c r="Z118">
        <v>0.45</v>
      </c>
      <c r="AA118">
        <v>16</v>
      </c>
      <c r="AB118">
        <v>11</v>
      </c>
      <c r="AC118">
        <v>5</v>
      </c>
      <c r="AD118">
        <v>68.75</v>
      </c>
      <c r="AE118">
        <v>14</v>
      </c>
      <c r="AF118">
        <v>3</v>
      </c>
      <c r="AG118">
        <v>4</v>
      </c>
      <c r="AH118">
        <v>9</v>
      </c>
    </row>
    <row r="119" spans="1:34">
      <c r="A119" s="111">
        <v>247</v>
      </c>
      <c r="B119">
        <v>3105</v>
      </c>
      <c r="C119" s="115" t="s">
        <v>122</v>
      </c>
      <c r="D119" s="115" t="s">
        <v>118</v>
      </c>
      <c r="E119">
        <v>956</v>
      </c>
      <c r="F119">
        <v>958</v>
      </c>
      <c r="G119">
        <v>1100</v>
      </c>
      <c r="H119" s="115" t="s">
        <v>89</v>
      </c>
      <c r="I119">
        <v>6472</v>
      </c>
      <c r="J119" s="115" t="s">
        <v>189</v>
      </c>
      <c r="K119" s="115" t="s">
        <v>133</v>
      </c>
      <c r="L119">
        <v>322</v>
      </c>
      <c r="M119">
        <v>327</v>
      </c>
      <c r="N119">
        <v>3200</v>
      </c>
      <c r="O119" s="115" t="s">
        <v>87</v>
      </c>
      <c r="P119">
        <v>0.90451682514203302</v>
      </c>
      <c r="Q119">
        <v>0.90690088278710101</v>
      </c>
      <c r="R119">
        <v>5.5620931944018103E-3</v>
      </c>
      <c r="S119">
        <v>4.2222809688752701E-2</v>
      </c>
      <c r="T119">
        <v>1.5372134837290301</v>
      </c>
      <c r="U119">
        <v>1.5372134837290301</v>
      </c>
      <c r="V119">
        <v>5.88</v>
      </c>
      <c r="W119">
        <v>0.7</v>
      </c>
      <c r="X119">
        <v>156339</v>
      </c>
      <c r="Y119">
        <v>8686</v>
      </c>
      <c r="Z119">
        <v>0.38</v>
      </c>
      <c r="AA119">
        <v>18</v>
      </c>
      <c r="AB119">
        <v>8</v>
      </c>
      <c r="AC119">
        <v>10</v>
      </c>
      <c r="AD119">
        <v>44.44</v>
      </c>
      <c r="AE119">
        <v>13</v>
      </c>
      <c r="AF119">
        <v>6</v>
      </c>
      <c r="AG119">
        <v>6</v>
      </c>
      <c r="AH119">
        <v>6</v>
      </c>
    </row>
    <row r="120" spans="1:34">
      <c r="A120" s="111">
        <v>148</v>
      </c>
      <c r="B120">
        <v>1963</v>
      </c>
      <c r="C120" s="115" t="s">
        <v>180</v>
      </c>
      <c r="D120" s="115" t="s">
        <v>108</v>
      </c>
      <c r="E120">
        <v>1633</v>
      </c>
      <c r="F120">
        <v>1656</v>
      </c>
      <c r="G120">
        <v>500</v>
      </c>
      <c r="H120" s="115" t="s">
        <v>89</v>
      </c>
      <c r="I120">
        <v>7259</v>
      </c>
      <c r="J120" s="115" t="s">
        <v>55</v>
      </c>
      <c r="K120" s="115" t="s">
        <v>115</v>
      </c>
      <c r="L120">
        <v>4125</v>
      </c>
      <c r="M120">
        <v>4090</v>
      </c>
      <c r="N120">
        <v>200</v>
      </c>
      <c r="O120" s="115" t="s">
        <v>87</v>
      </c>
      <c r="P120">
        <v>0.92376253041498901</v>
      </c>
      <c r="Q120">
        <v>0.91948047212609496</v>
      </c>
      <c r="R120">
        <v>0.19716865087746299</v>
      </c>
      <c r="S120" s="20">
        <v>3.5321135997977101E-6</v>
      </c>
      <c r="T120">
        <v>0.206072662791563</v>
      </c>
      <c r="U120">
        <v>0.206072662791563</v>
      </c>
      <c r="V120">
        <v>0.78</v>
      </c>
      <c r="W120">
        <v>1.22</v>
      </c>
      <c r="X120">
        <v>149956</v>
      </c>
      <c r="Y120">
        <v>9997</v>
      </c>
      <c r="Z120">
        <v>0.53</v>
      </c>
      <c r="AA120">
        <v>15</v>
      </c>
      <c r="AB120">
        <v>9</v>
      </c>
      <c r="AC120">
        <v>6</v>
      </c>
      <c r="AD120">
        <v>60</v>
      </c>
      <c r="AE120">
        <v>11</v>
      </c>
      <c r="AF120">
        <v>8</v>
      </c>
      <c r="AG120">
        <v>5</v>
      </c>
      <c r="AH120">
        <v>2</v>
      </c>
    </row>
    <row r="121" spans="1:34">
      <c r="A121" s="111">
        <v>252</v>
      </c>
      <c r="B121">
        <v>4208</v>
      </c>
      <c r="C121" s="115" t="s">
        <v>131</v>
      </c>
      <c r="D121" s="115" t="s">
        <v>88</v>
      </c>
      <c r="E121">
        <v>2301</v>
      </c>
      <c r="F121">
        <v>2286</v>
      </c>
      <c r="G121">
        <v>400</v>
      </c>
      <c r="H121" s="115" t="s">
        <v>87</v>
      </c>
      <c r="I121">
        <v>7259</v>
      </c>
      <c r="J121" s="115" t="s">
        <v>55</v>
      </c>
      <c r="K121" s="115" t="s">
        <v>115</v>
      </c>
      <c r="L121">
        <v>4125</v>
      </c>
      <c r="M121">
        <v>4090</v>
      </c>
      <c r="N121">
        <v>200</v>
      </c>
      <c r="O121" s="115" t="s">
        <v>89</v>
      </c>
      <c r="P121">
        <v>0.92508203999861505</v>
      </c>
      <c r="Q121">
        <v>0.90610666427751596</v>
      </c>
      <c r="R121">
        <v>0.25081975564528403</v>
      </c>
      <c r="S121">
        <v>1.2991761560627301E-2</v>
      </c>
      <c r="T121">
        <v>-1.5697373660871801</v>
      </c>
      <c r="U121">
        <v>1.5697373660871801</v>
      </c>
      <c r="V121">
        <v>-10.82</v>
      </c>
      <c r="W121">
        <v>11.78</v>
      </c>
      <c r="X121">
        <v>146583</v>
      </c>
      <c r="Y121">
        <v>11276</v>
      </c>
      <c r="Z121">
        <v>0.82</v>
      </c>
      <c r="AA121">
        <v>13</v>
      </c>
      <c r="AB121">
        <v>8</v>
      </c>
      <c r="AC121">
        <v>5</v>
      </c>
      <c r="AD121">
        <v>61.54</v>
      </c>
      <c r="AE121">
        <v>13</v>
      </c>
      <c r="AF121">
        <v>6</v>
      </c>
      <c r="AG121">
        <v>2</v>
      </c>
      <c r="AH121">
        <v>5</v>
      </c>
    </row>
    <row r="122" spans="1:34">
      <c r="A122" s="111">
        <v>48</v>
      </c>
      <c r="B122">
        <v>4182</v>
      </c>
      <c r="C122" s="115" t="s">
        <v>119</v>
      </c>
      <c r="D122" s="115" t="s">
        <v>88</v>
      </c>
      <c r="E122">
        <v>1620</v>
      </c>
      <c r="F122">
        <v>1632</v>
      </c>
      <c r="G122">
        <v>600</v>
      </c>
      <c r="H122" s="115" t="s">
        <v>89</v>
      </c>
      <c r="I122">
        <v>6752</v>
      </c>
      <c r="J122" s="115" t="s">
        <v>139</v>
      </c>
      <c r="K122" s="115" t="s">
        <v>118</v>
      </c>
      <c r="L122">
        <v>998.1</v>
      </c>
      <c r="M122">
        <v>1005</v>
      </c>
      <c r="N122">
        <v>1000</v>
      </c>
      <c r="O122" s="115" t="s">
        <v>87</v>
      </c>
      <c r="P122">
        <v>0.94706584143933803</v>
      </c>
      <c r="Q122">
        <v>0.93897876207339703</v>
      </c>
      <c r="R122" s="20">
        <v>0.36043853849367902</v>
      </c>
      <c r="S122">
        <v>0.16824498039799299</v>
      </c>
      <c r="T122">
        <v>0.44541303695624201</v>
      </c>
      <c r="U122">
        <v>0.44541303695624201</v>
      </c>
      <c r="V122">
        <v>1.92</v>
      </c>
      <c r="W122">
        <v>2.63</v>
      </c>
      <c r="X122">
        <v>145761</v>
      </c>
      <c r="Y122">
        <v>8098</v>
      </c>
      <c r="Z122">
        <v>0.37</v>
      </c>
      <c r="AA122">
        <v>18</v>
      </c>
      <c r="AB122">
        <v>12</v>
      </c>
      <c r="AC122">
        <v>6</v>
      </c>
      <c r="AD122">
        <v>66.67</v>
      </c>
      <c r="AE122">
        <v>13</v>
      </c>
      <c r="AF122">
        <v>7</v>
      </c>
      <c r="AG122">
        <v>4</v>
      </c>
      <c r="AH122">
        <v>7</v>
      </c>
    </row>
    <row r="123" spans="1:34">
      <c r="A123" s="111">
        <v>199</v>
      </c>
      <c r="B123">
        <v>6103</v>
      </c>
      <c r="C123" s="115" t="s">
        <v>436</v>
      </c>
      <c r="D123" s="115" t="s">
        <v>133</v>
      </c>
      <c r="E123">
        <v>6040</v>
      </c>
      <c r="F123">
        <v>5990</v>
      </c>
      <c r="G123">
        <v>100</v>
      </c>
      <c r="H123" s="115" t="s">
        <v>87</v>
      </c>
      <c r="I123">
        <v>6361</v>
      </c>
      <c r="J123" s="115" t="s">
        <v>460</v>
      </c>
      <c r="K123" s="115" t="s">
        <v>133</v>
      </c>
      <c r="L123">
        <v>3235</v>
      </c>
      <c r="M123">
        <v>3240</v>
      </c>
      <c r="N123">
        <v>200</v>
      </c>
      <c r="O123" s="115" t="s">
        <v>89</v>
      </c>
      <c r="P123">
        <v>0.94639517604372903</v>
      </c>
      <c r="Q123">
        <v>0.91327312502100599</v>
      </c>
      <c r="R123">
        <v>0.13261954311499999</v>
      </c>
      <c r="S123">
        <v>4.9818244359106797E-2</v>
      </c>
      <c r="T123">
        <v>-2.1283571019942999</v>
      </c>
      <c r="U123">
        <v>2.1283571019942999</v>
      </c>
      <c r="V123">
        <v>-9.08</v>
      </c>
      <c r="W123">
        <v>8.18</v>
      </c>
      <c r="X123">
        <v>145685</v>
      </c>
      <c r="Y123">
        <v>12140</v>
      </c>
      <c r="Z123">
        <v>1.07</v>
      </c>
      <c r="AA123">
        <v>12</v>
      </c>
      <c r="AB123">
        <v>7</v>
      </c>
      <c r="AC123">
        <v>5</v>
      </c>
      <c r="AD123">
        <v>58.33</v>
      </c>
      <c r="AE123">
        <v>12</v>
      </c>
      <c r="AF123">
        <v>5</v>
      </c>
      <c r="AG123">
        <v>3</v>
      </c>
      <c r="AH123">
        <v>4</v>
      </c>
    </row>
    <row r="124" spans="1:34">
      <c r="A124" s="111">
        <v>19</v>
      </c>
      <c r="B124">
        <v>5214</v>
      </c>
      <c r="C124" s="115" t="s">
        <v>179</v>
      </c>
      <c r="D124" s="115" t="s">
        <v>140</v>
      </c>
      <c r="E124">
        <v>2370</v>
      </c>
      <c r="F124">
        <v>2367</v>
      </c>
      <c r="G124">
        <v>400</v>
      </c>
      <c r="H124" s="115" t="s">
        <v>89</v>
      </c>
      <c r="I124">
        <v>5411</v>
      </c>
      <c r="J124" s="115" t="s">
        <v>124</v>
      </c>
      <c r="K124" s="115" t="s">
        <v>125</v>
      </c>
      <c r="L124">
        <v>1281</v>
      </c>
      <c r="M124">
        <v>1282</v>
      </c>
      <c r="N124">
        <v>700</v>
      </c>
      <c r="O124" s="115" t="s">
        <v>87</v>
      </c>
      <c r="P124">
        <v>0.92808305349170805</v>
      </c>
      <c r="Q124">
        <v>0.94919911213653596</v>
      </c>
      <c r="R124">
        <v>1.5293815375619999E-2</v>
      </c>
      <c r="S124">
        <v>8.4167387511016198E-2</v>
      </c>
      <c r="T124">
        <v>1.29871219428833</v>
      </c>
      <c r="U124">
        <v>1.29871219428833</v>
      </c>
      <c r="V124">
        <v>2.38</v>
      </c>
      <c r="W124">
        <v>5.22</v>
      </c>
      <c r="X124">
        <v>144532</v>
      </c>
      <c r="Y124">
        <v>9033</v>
      </c>
      <c r="Z124">
        <v>0.55000000000000004</v>
      </c>
      <c r="AA124">
        <v>16</v>
      </c>
      <c r="AB124">
        <v>8</v>
      </c>
      <c r="AC124">
        <v>8</v>
      </c>
      <c r="AD124">
        <v>50</v>
      </c>
      <c r="AE124">
        <v>13</v>
      </c>
      <c r="AF124">
        <v>6</v>
      </c>
      <c r="AG124">
        <v>4</v>
      </c>
      <c r="AH124">
        <v>6</v>
      </c>
    </row>
    <row r="125" spans="1:34">
      <c r="A125" s="111">
        <v>235</v>
      </c>
      <c r="B125">
        <v>1963</v>
      </c>
      <c r="C125" s="115" t="s">
        <v>180</v>
      </c>
      <c r="D125" s="115" t="s">
        <v>108</v>
      </c>
      <c r="E125">
        <v>1633</v>
      </c>
      <c r="F125">
        <v>1656</v>
      </c>
      <c r="G125">
        <v>600</v>
      </c>
      <c r="H125" s="115" t="s">
        <v>89</v>
      </c>
      <c r="I125">
        <v>6472</v>
      </c>
      <c r="J125" s="115" t="s">
        <v>189</v>
      </c>
      <c r="K125" s="115" t="s">
        <v>133</v>
      </c>
      <c r="L125">
        <v>322</v>
      </c>
      <c r="M125">
        <v>327</v>
      </c>
      <c r="N125">
        <v>3000</v>
      </c>
      <c r="O125" s="115" t="s">
        <v>87</v>
      </c>
      <c r="P125">
        <v>0.93100236858101604</v>
      </c>
      <c r="Q125">
        <v>0.908759188750911</v>
      </c>
      <c r="R125">
        <v>1.3904774743724301E-2</v>
      </c>
      <c r="S125">
        <v>2.6506071732655602E-4</v>
      </c>
      <c r="T125">
        <v>2.9505914851967598</v>
      </c>
      <c r="U125">
        <v>2.9505914851967598</v>
      </c>
      <c r="V125">
        <v>9.93</v>
      </c>
      <c r="W125">
        <v>1.27</v>
      </c>
      <c r="X125">
        <v>136633</v>
      </c>
      <c r="Y125">
        <v>7191</v>
      </c>
      <c r="Z125">
        <v>0.35</v>
      </c>
      <c r="AA125">
        <v>19</v>
      </c>
      <c r="AB125">
        <v>11</v>
      </c>
      <c r="AC125">
        <v>8</v>
      </c>
      <c r="AD125">
        <v>57.89</v>
      </c>
      <c r="AE125">
        <v>10</v>
      </c>
      <c r="AF125">
        <v>8</v>
      </c>
      <c r="AG125">
        <v>7</v>
      </c>
      <c r="AH125">
        <v>4</v>
      </c>
    </row>
    <row r="126" spans="1:34">
      <c r="A126" s="111">
        <v>237</v>
      </c>
      <c r="B126">
        <v>7181</v>
      </c>
      <c r="C126" s="115" t="s">
        <v>195</v>
      </c>
      <c r="D126" s="115" t="s">
        <v>144</v>
      </c>
      <c r="E126">
        <v>1844</v>
      </c>
      <c r="F126">
        <v>1838</v>
      </c>
      <c r="G126">
        <v>500</v>
      </c>
      <c r="H126" s="115" t="s">
        <v>89</v>
      </c>
      <c r="I126">
        <v>7327</v>
      </c>
      <c r="J126" s="115" t="s">
        <v>200</v>
      </c>
      <c r="K126" s="115" t="s">
        <v>113</v>
      </c>
      <c r="L126">
        <v>2891</v>
      </c>
      <c r="M126">
        <v>2898</v>
      </c>
      <c r="N126">
        <v>300</v>
      </c>
      <c r="O126" s="115" t="s">
        <v>87</v>
      </c>
      <c r="P126">
        <v>0.96240846195655005</v>
      </c>
      <c r="Q126">
        <v>0.90856327905368495</v>
      </c>
      <c r="R126">
        <v>0.150299409619154</v>
      </c>
      <c r="S126">
        <v>0.15961063714257601</v>
      </c>
      <c r="T126">
        <v>1.2549536271835</v>
      </c>
      <c r="U126">
        <v>1.2549536271835</v>
      </c>
      <c r="V126">
        <v>2.37</v>
      </c>
      <c r="W126">
        <v>5.71</v>
      </c>
      <c r="X126">
        <v>136221</v>
      </c>
      <c r="Y126">
        <v>45407</v>
      </c>
      <c r="Z126">
        <v>2.59</v>
      </c>
      <c r="AA126">
        <v>3</v>
      </c>
      <c r="AB126">
        <v>3</v>
      </c>
      <c r="AC126">
        <v>0</v>
      </c>
      <c r="AD126">
        <v>100</v>
      </c>
      <c r="AE126">
        <v>8</v>
      </c>
      <c r="AF126">
        <v>3</v>
      </c>
      <c r="AG126">
        <v>0</v>
      </c>
      <c r="AH126">
        <v>0</v>
      </c>
    </row>
    <row r="127" spans="1:34">
      <c r="A127" s="111">
        <v>60</v>
      </c>
      <c r="B127">
        <v>8341</v>
      </c>
      <c r="C127" s="115" t="s">
        <v>169</v>
      </c>
      <c r="D127" s="115" t="s">
        <v>113</v>
      </c>
      <c r="E127">
        <v>1723</v>
      </c>
      <c r="F127">
        <v>1736</v>
      </c>
      <c r="G127">
        <v>600</v>
      </c>
      <c r="H127" s="115" t="s">
        <v>89</v>
      </c>
      <c r="I127">
        <v>8795</v>
      </c>
      <c r="J127" s="115" t="s">
        <v>191</v>
      </c>
      <c r="K127" s="115" t="s">
        <v>144</v>
      </c>
      <c r="L127">
        <v>1254</v>
      </c>
      <c r="M127">
        <v>1243</v>
      </c>
      <c r="N127">
        <v>800</v>
      </c>
      <c r="O127" s="115" t="s">
        <v>87</v>
      </c>
      <c r="P127">
        <v>0.95036305395234</v>
      </c>
      <c r="Q127">
        <v>0.93609883678962602</v>
      </c>
      <c r="R127">
        <v>0.354227778701173</v>
      </c>
      <c r="S127" s="20">
        <v>0.122215944924184</v>
      </c>
      <c r="T127">
        <v>0.96952796152518395</v>
      </c>
      <c r="U127">
        <v>0.96952796152518395</v>
      </c>
      <c r="V127">
        <v>3.18</v>
      </c>
      <c r="W127">
        <v>4.53</v>
      </c>
      <c r="X127">
        <v>132898</v>
      </c>
      <c r="Y127">
        <v>8860</v>
      </c>
      <c r="Z127">
        <v>0.47</v>
      </c>
      <c r="AA127">
        <v>15</v>
      </c>
      <c r="AB127">
        <v>10</v>
      </c>
      <c r="AC127">
        <v>5</v>
      </c>
      <c r="AD127">
        <v>66.67</v>
      </c>
      <c r="AE127">
        <v>12</v>
      </c>
      <c r="AF127">
        <v>6</v>
      </c>
      <c r="AG127">
        <v>3</v>
      </c>
      <c r="AH127">
        <v>6</v>
      </c>
    </row>
    <row r="128" spans="1:34">
      <c r="A128" s="111">
        <v>242</v>
      </c>
      <c r="B128">
        <v>1963</v>
      </c>
      <c r="C128" s="115" t="s">
        <v>180</v>
      </c>
      <c r="D128" s="115" t="s">
        <v>108</v>
      </c>
      <c r="E128">
        <v>1633</v>
      </c>
      <c r="F128">
        <v>1656</v>
      </c>
      <c r="G128">
        <v>600</v>
      </c>
      <c r="H128" s="115" t="s">
        <v>89</v>
      </c>
      <c r="I128">
        <v>4182</v>
      </c>
      <c r="J128" s="115" t="s">
        <v>119</v>
      </c>
      <c r="K128" s="115" t="s">
        <v>88</v>
      </c>
      <c r="L128">
        <v>1620</v>
      </c>
      <c r="M128">
        <v>1632</v>
      </c>
      <c r="N128">
        <v>600</v>
      </c>
      <c r="O128" s="115" t="s">
        <v>87</v>
      </c>
      <c r="P128">
        <v>0.96129891093207598</v>
      </c>
      <c r="Q128">
        <v>0.90790848684972203</v>
      </c>
      <c r="R128">
        <v>0.114444823099736</v>
      </c>
      <c r="S128">
        <v>2.8013861142160798E-4</v>
      </c>
      <c r="T128">
        <v>0.61366004998297796</v>
      </c>
      <c r="U128">
        <v>0.61366004998297796</v>
      </c>
      <c r="V128">
        <v>1.52</v>
      </c>
      <c r="W128">
        <v>1.45</v>
      </c>
      <c r="X128">
        <v>131688</v>
      </c>
      <c r="Y128">
        <v>5487</v>
      </c>
      <c r="Z128">
        <v>0.27</v>
      </c>
      <c r="AA128">
        <v>24</v>
      </c>
      <c r="AB128">
        <v>14</v>
      </c>
      <c r="AC128">
        <v>10</v>
      </c>
      <c r="AD128">
        <v>58.33</v>
      </c>
      <c r="AE128">
        <v>9</v>
      </c>
      <c r="AF128">
        <v>11</v>
      </c>
      <c r="AG128">
        <v>9</v>
      </c>
      <c r="AH128">
        <v>4</v>
      </c>
    </row>
    <row r="129" spans="1:34">
      <c r="A129" s="111">
        <v>29</v>
      </c>
      <c r="B129">
        <v>3116</v>
      </c>
      <c r="C129" s="115" t="s">
        <v>172</v>
      </c>
      <c r="D129" s="115" t="s">
        <v>115</v>
      </c>
      <c r="E129">
        <v>1698</v>
      </c>
      <c r="F129">
        <v>1694</v>
      </c>
      <c r="G129">
        <v>600</v>
      </c>
      <c r="H129" s="115" t="s">
        <v>87</v>
      </c>
      <c r="I129">
        <v>5991</v>
      </c>
      <c r="J129" s="115" t="s">
        <v>149</v>
      </c>
      <c r="K129" s="115" t="s">
        <v>150</v>
      </c>
      <c r="L129">
        <v>953</v>
      </c>
      <c r="M129">
        <v>957</v>
      </c>
      <c r="N129">
        <v>1100</v>
      </c>
      <c r="O129" s="115" t="s">
        <v>89</v>
      </c>
      <c r="P129">
        <v>0.97650403559834598</v>
      </c>
      <c r="Q129">
        <v>0.94609078756797904</v>
      </c>
      <c r="R129">
        <v>0.25850467712700098</v>
      </c>
      <c r="S129" s="20">
        <v>0.15767888794563301</v>
      </c>
      <c r="T129">
        <v>-0.96085441776629099</v>
      </c>
      <c r="U129">
        <v>0.96085441776629099</v>
      </c>
      <c r="V129">
        <v>-3.25</v>
      </c>
      <c r="W129">
        <v>3.57</v>
      </c>
      <c r="X129">
        <v>130988</v>
      </c>
      <c r="Y129">
        <v>8187</v>
      </c>
      <c r="Z129">
        <v>0.46</v>
      </c>
      <c r="AA129">
        <v>16</v>
      </c>
      <c r="AB129">
        <v>10</v>
      </c>
      <c r="AC129">
        <v>6</v>
      </c>
      <c r="AD129">
        <v>62.5</v>
      </c>
      <c r="AE129">
        <v>10</v>
      </c>
      <c r="AF129">
        <v>7</v>
      </c>
      <c r="AG129">
        <v>4</v>
      </c>
      <c r="AH129">
        <v>5</v>
      </c>
    </row>
    <row r="130" spans="1:34">
      <c r="A130" s="111">
        <v>4</v>
      </c>
      <c r="B130">
        <v>1928</v>
      </c>
      <c r="C130" s="115" t="s">
        <v>396</v>
      </c>
      <c r="D130" s="115" t="s">
        <v>108</v>
      </c>
      <c r="E130">
        <v>2379.5</v>
      </c>
      <c r="F130">
        <v>2380.5</v>
      </c>
      <c r="G130">
        <v>300</v>
      </c>
      <c r="H130" s="115" t="s">
        <v>89</v>
      </c>
      <c r="I130">
        <v>4612</v>
      </c>
      <c r="J130" s="115" t="s">
        <v>183</v>
      </c>
      <c r="K130" s="115" t="s">
        <v>88</v>
      </c>
      <c r="L130">
        <v>6130</v>
      </c>
      <c r="M130">
        <v>6190</v>
      </c>
      <c r="N130">
        <v>100</v>
      </c>
      <c r="O130" s="115" t="s">
        <v>87</v>
      </c>
      <c r="P130">
        <v>0.95536870767825299</v>
      </c>
      <c r="Q130">
        <v>0.96706262321486602</v>
      </c>
      <c r="R130">
        <v>9.1957129482942795E-2</v>
      </c>
      <c r="S130">
        <v>4.3606887159247203E-2</v>
      </c>
      <c r="T130">
        <v>0.208830562332946</v>
      </c>
      <c r="U130">
        <v>0.208830562332946</v>
      </c>
      <c r="V130">
        <v>0.56000000000000005</v>
      </c>
      <c r="W130">
        <v>15.37</v>
      </c>
      <c r="X130">
        <v>130730</v>
      </c>
      <c r="Y130">
        <v>9338</v>
      </c>
      <c r="Z130">
        <v>0.42</v>
      </c>
      <c r="AA130">
        <v>14</v>
      </c>
      <c r="AB130">
        <v>8</v>
      </c>
      <c r="AC130">
        <v>6</v>
      </c>
      <c r="AD130">
        <v>57.14</v>
      </c>
      <c r="AE130">
        <v>11</v>
      </c>
      <c r="AF130">
        <v>5</v>
      </c>
      <c r="AG130">
        <v>4</v>
      </c>
      <c r="AH130">
        <v>5</v>
      </c>
    </row>
    <row r="131" spans="1:34">
      <c r="A131" s="111">
        <v>259</v>
      </c>
      <c r="B131">
        <v>4118</v>
      </c>
      <c r="C131" s="115" t="s">
        <v>91</v>
      </c>
      <c r="D131" s="115" t="s">
        <v>88</v>
      </c>
      <c r="E131">
        <v>3595</v>
      </c>
      <c r="F131">
        <v>3580</v>
      </c>
      <c r="G131">
        <v>300</v>
      </c>
      <c r="H131" s="115" t="s">
        <v>87</v>
      </c>
      <c r="I131">
        <v>7751</v>
      </c>
      <c r="J131" s="115" t="s">
        <v>193</v>
      </c>
      <c r="K131" s="115" t="s">
        <v>118</v>
      </c>
      <c r="L131">
        <v>2970</v>
      </c>
      <c r="M131">
        <v>2986.5</v>
      </c>
      <c r="N131">
        <v>400</v>
      </c>
      <c r="O131" s="115" t="s">
        <v>89</v>
      </c>
      <c r="P131">
        <v>0.92257831531245005</v>
      </c>
      <c r="Q131">
        <v>0.90448466671993799</v>
      </c>
      <c r="R131">
        <v>1.7541714959201399E-2</v>
      </c>
      <c r="S131">
        <v>8.6865071309531298E-3</v>
      </c>
      <c r="T131">
        <v>-2.16766497307798E-2</v>
      </c>
      <c r="U131">
        <v>2.16766497307798E-2</v>
      </c>
      <c r="V131">
        <v>-0.09</v>
      </c>
      <c r="W131">
        <v>11.23</v>
      </c>
      <c r="X131">
        <v>129977</v>
      </c>
      <c r="Y131">
        <v>43326</v>
      </c>
      <c r="Z131">
        <v>1.93</v>
      </c>
      <c r="AA131">
        <v>3</v>
      </c>
      <c r="AB131">
        <v>3</v>
      </c>
      <c r="AC131">
        <v>0</v>
      </c>
      <c r="AD131">
        <v>100</v>
      </c>
      <c r="AE131">
        <v>11</v>
      </c>
      <c r="AF131">
        <v>2</v>
      </c>
      <c r="AG131">
        <v>0</v>
      </c>
      <c r="AH131">
        <v>1</v>
      </c>
    </row>
    <row r="132" spans="1:34">
      <c r="A132" s="111">
        <v>193</v>
      </c>
      <c r="B132">
        <v>4183</v>
      </c>
      <c r="C132" s="115" t="s">
        <v>394</v>
      </c>
      <c r="D132" s="115" t="s">
        <v>88</v>
      </c>
      <c r="E132">
        <v>2609</v>
      </c>
      <c r="F132">
        <v>2633</v>
      </c>
      <c r="G132">
        <v>400</v>
      </c>
      <c r="H132" s="115" t="s">
        <v>87</v>
      </c>
      <c r="I132">
        <v>8586</v>
      </c>
      <c r="J132" s="115" t="s">
        <v>387</v>
      </c>
      <c r="K132" s="115" t="s">
        <v>388</v>
      </c>
      <c r="L132">
        <v>2586</v>
      </c>
      <c r="M132">
        <v>2603</v>
      </c>
      <c r="N132">
        <v>400</v>
      </c>
      <c r="O132" s="115" t="s">
        <v>89</v>
      </c>
      <c r="P132">
        <v>0.96058615509988099</v>
      </c>
      <c r="Q132">
        <v>0.91413012032248198</v>
      </c>
      <c r="R132">
        <v>1.2019506206575501E-2</v>
      </c>
      <c r="S132">
        <v>2.5437631627760701E-3</v>
      </c>
      <c r="T132">
        <v>-2.7054233499795202</v>
      </c>
      <c r="U132">
        <v>2.7054233499795202</v>
      </c>
      <c r="V132">
        <v>-6.11</v>
      </c>
      <c r="W132">
        <v>1.1399999999999999</v>
      </c>
      <c r="X132">
        <v>127837</v>
      </c>
      <c r="Y132">
        <v>9131</v>
      </c>
      <c r="Z132">
        <v>0.38</v>
      </c>
      <c r="AA132">
        <v>14</v>
      </c>
      <c r="AB132">
        <v>7</v>
      </c>
      <c r="AC132">
        <v>7</v>
      </c>
      <c r="AD132">
        <v>50</v>
      </c>
      <c r="AE132">
        <v>14</v>
      </c>
      <c r="AF132">
        <v>4</v>
      </c>
      <c r="AG132">
        <v>0</v>
      </c>
      <c r="AH132">
        <v>10</v>
      </c>
    </row>
    <row r="133" spans="1:34">
      <c r="A133" s="111">
        <v>123</v>
      </c>
      <c r="B133">
        <v>4208</v>
      </c>
      <c r="C133" s="115" t="s">
        <v>131</v>
      </c>
      <c r="D133" s="115" t="s">
        <v>88</v>
      </c>
      <c r="E133">
        <v>2301</v>
      </c>
      <c r="F133">
        <v>2286</v>
      </c>
      <c r="G133">
        <v>500</v>
      </c>
      <c r="H133" s="115" t="s">
        <v>87</v>
      </c>
      <c r="I133">
        <v>9072</v>
      </c>
      <c r="J133" s="115" t="s">
        <v>175</v>
      </c>
      <c r="K133" s="115" t="s">
        <v>157</v>
      </c>
      <c r="L133">
        <v>2689</v>
      </c>
      <c r="M133">
        <v>2707</v>
      </c>
      <c r="N133">
        <v>400</v>
      </c>
      <c r="O133" s="115" t="s">
        <v>89</v>
      </c>
      <c r="P133">
        <v>0.94621340130417897</v>
      </c>
      <c r="Q133">
        <v>0.92387495823780896</v>
      </c>
      <c r="R133">
        <v>1.37743523382157E-2</v>
      </c>
      <c r="S133" s="20">
        <v>1.01812422003189E-2</v>
      </c>
      <c r="T133">
        <v>-1.5076385180046099</v>
      </c>
      <c r="U133">
        <v>1.5076385180046099</v>
      </c>
      <c r="V133">
        <v>-3.05</v>
      </c>
      <c r="W133">
        <v>5.56</v>
      </c>
      <c r="X133">
        <v>126426</v>
      </c>
      <c r="Y133">
        <v>11493</v>
      </c>
      <c r="Z133">
        <v>0.65</v>
      </c>
      <c r="AA133">
        <v>11</v>
      </c>
      <c r="AB133">
        <v>7</v>
      </c>
      <c r="AC133">
        <v>4</v>
      </c>
      <c r="AD133">
        <v>63.64</v>
      </c>
      <c r="AE133">
        <v>14</v>
      </c>
      <c r="AF133">
        <v>5</v>
      </c>
      <c r="AG133">
        <v>1</v>
      </c>
      <c r="AH133">
        <v>5</v>
      </c>
    </row>
    <row r="134" spans="1:34">
      <c r="A134" s="111">
        <v>266</v>
      </c>
      <c r="B134">
        <v>4005</v>
      </c>
      <c r="C134" s="115" t="s">
        <v>153</v>
      </c>
      <c r="D134" s="115" t="s">
        <v>88</v>
      </c>
      <c r="E134">
        <v>503</v>
      </c>
      <c r="F134">
        <v>500</v>
      </c>
      <c r="G134">
        <v>1800</v>
      </c>
      <c r="H134" s="115" t="s">
        <v>89</v>
      </c>
      <c r="I134">
        <v>4631</v>
      </c>
      <c r="J134" s="115" t="s">
        <v>188</v>
      </c>
      <c r="K134" s="115" t="s">
        <v>88</v>
      </c>
      <c r="L134">
        <v>2958</v>
      </c>
      <c r="M134">
        <v>2966</v>
      </c>
      <c r="N134">
        <v>300</v>
      </c>
      <c r="O134" s="115" t="s">
        <v>87</v>
      </c>
      <c r="P134">
        <v>0.90515304352827997</v>
      </c>
      <c r="Q134">
        <v>0.90387355447551798</v>
      </c>
      <c r="R134">
        <v>7.4249430250702395E-2</v>
      </c>
      <c r="S134">
        <v>0.21877122714105801</v>
      </c>
      <c r="T134">
        <v>0.454688459847365</v>
      </c>
      <c r="U134">
        <v>0.454688459847365</v>
      </c>
      <c r="V134">
        <v>1.42</v>
      </c>
      <c r="W134">
        <v>1.1499999999999999</v>
      </c>
      <c r="X134">
        <v>126055</v>
      </c>
      <c r="Y134">
        <v>7415</v>
      </c>
      <c r="Z134">
        <v>0.39</v>
      </c>
      <c r="AA134">
        <v>17</v>
      </c>
      <c r="AB134">
        <v>10</v>
      </c>
      <c r="AC134">
        <v>7</v>
      </c>
      <c r="AD134">
        <v>58.82</v>
      </c>
      <c r="AE134">
        <v>14</v>
      </c>
      <c r="AF134">
        <v>5</v>
      </c>
      <c r="AG134">
        <v>2</v>
      </c>
      <c r="AH134">
        <v>10</v>
      </c>
    </row>
    <row r="135" spans="1:34">
      <c r="A135" s="111">
        <v>101</v>
      </c>
      <c r="B135">
        <v>3116</v>
      </c>
      <c r="C135" s="115" t="s">
        <v>172</v>
      </c>
      <c r="D135" s="115" t="s">
        <v>115</v>
      </c>
      <c r="E135">
        <v>1698</v>
      </c>
      <c r="F135">
        <v>1694</v>
      </c>
      <c r="G135">
        <v>600</v>
      </c>
      <c r="H135" s="115" t="s">
        <v>89</v>
      </c>
      <c r="I135">
        <v>5334</v>
      </c>
      <c r="J135" s="115" t="s">
        <v>395</v>
      </c>
      <c r="K135" s="115" t="s">
        <v>140</v>
      </c>
      <c r="L135">
        <v>2150</v>
      </c>
      <c r="M135">
        <v>2155</v>
      </c>
      <c r="N135">
        <v>500</v>
      </c>
      <c r="O135" s="115" t="s">
        <v>87</v>
      </c>
      <c r="P135">
        <v>0.90494059586379905</v>
      </c>
      <c r="Q135">
        <v>0.92676159062713404</v>
      </c>
      <c r="R135">
        <v>0.37917469513400598</v>
      </c>
      <c r="S135">
        <v>5.9309204318084202E-2</v>
      </c>
      <c r="T135">
        <v>1.58767751091595</v>
      </c>
      <c r="U135">
        <v>1.58767751091595</v>
      </c>
      <c r="V135">
        <v>4.8099999999999996</v>
      </c>
      <c r="W135">
        <v>5.67</v>
      </c>
      <c r="X135">
        <v>124008</v>
      </c>
      <c r="Y135">
        <v>7750</v>
      </c>
      <c r="Z135">
        <v>0.28999999999999998</v>
      </c>
      <c r="AA135">
        <v>16</v>
      </c>
      <c r="AB135">
        <v>9</v>
      </c>
      <c r="AC135">
        <v>7</v>
      </c>
      <c r="AD135">
        <v>56.25</v>
      </c>
      <c r="AE135">
        <v>12</v>
      </c>
      <c r="AF135">
        <v>5</v>
      </c>
      <c r="AG135">
        <v>6</v>
      </c>
      <c r="AH135">
        <v>5</v>
      </c>
    </row>
    <row r="136" spans="1:34">
      <c r="A136" s="111">
        <v>225</v>
      </c>
      <c r="B136">
        <v>6752</v>
      </c>
      <c r="C136" s="115" t="s">
        <v>139</v>
      </c>
      <c r="D136" s="115" t="s">
        <v>118</v>
      </c>
      <c r="E136">
        <v>998.1</v>
      </c>
      <c r="F136">
        <v>1005</v>
      </c>
      <c r="G136">
        <v>1100</v>
      </c>
      <c r="H136" s="115" t="s">
        <v>89</v>
      </c>
      <c r="I136">
        <v>9072</v>
      </c>
      <c r="J136" s="115" t="s">
        <v>175</v>
      </c>
      <c r="K136" s="115" t="s">
        <v>157</v>
      </c>
      <c r="L136">
        <v>2689</v>
      </c>
      <c r="M136">
        <v>2707</v>
      </c>
      <c r="N136">
        <v>400</v>
      </c>
      <c r="O136" s="115" t="s">
        <v>87</v>
      </c>
      <c r="P136">
        <v>0.94291175072634703</v>
      </c>
      <c r="Q136">
        <v>0.90983404813829205</v>
      </c>
      <c r="R136">
        <v>2.63908635707715E-2</v>
      </c>
      <c r="S136" s="20">
        <v>1.3352133056696599E-2</v>
      </c>
      <c r="T136" s="20">
        <v>1.5704713506378101</v>
      </c>
      <c r="U136" s="20">
        <v>1.5704713506378101</v>
      </c>
      <c r="V136">
        <v>4.22</v>
      </c>
      <c r="W136">
        <v>2.1</v>
      </c>
      <c r="X136">
        <v>121877</v>
      </c>
      <c r="Y136">
        <v>7617</v>
      </c>
      <c r="Z136">
        <v>0.32</v>
      </c>
      <c r="AA136">
        <v>16</v>
      </c>
      <c r="AB136">
        <v>10</v>
      </c>
      <c r="AC136">
        <v>6</v>
      </c>
      <c r="AD136">
        <v>62.5</v>
      </c>
      <c r="AE136">
        <v>14</v>
      </c>
      <c r="AF136">
        <v>5</v>
      </c>
      <c r="AG136">
        <v>3</v>
      </c>
      <c r="AH136">
        <v>8</v>
      </c>
    </row>
    <row r="137" spans="1:34">
      <c r="A137" s="111">
        <v>41</v>
      </c>
      <c r="B137">
        <v>4118</v>
      </c>
      <c r="C137" s="115" t="s">
        <v>91</v>
      </c>
      <c r="D137" s="115" t="s">
        <v>88</v>
      </c>
      <c r="E137">
        <v>3595</v>
      </c>
      <c r="F137">
        <v>3580</v>
      </c>
      <c r="G137">
        <v>300</v>
      </c>
      <c r="H137" s="115" t="s">
        <v>87</v>
      </c>
      <c r="I137">
        <v>5401</v>
      </c>
      <c r="J137" s="115" t="s">
        <v>456</v>
      </c>
      <c r="K137" s="115" t="s">
        <v>125</v>
      </c>
      <c r="L137">
        <v>1584</v>
      </c>
      <c r="M137">
        <v>1590.5</v>
      </c>
      <c r="N137">
        <v>700</v>
      </c>
      <c r="O137" s="115" t="s">
        <v>89</v>
      </c>
      <c r="P137">
        <v>0.90474986202614704</v>
      </c>
      <c r="Q137">
        <v>0.94061256676712501</v>
      </c>
      <c r="R137">
        <v>0.166422527047209</v>
      </c>
      <c r="S137" s="20">
        <v>6.0477559489071998E-2</v>
      </c>
      <c r="T137">
        <v>-0.138760671479016</v>
      </c>
      <c r="U137">
        <v>0.138760671479016</v>
      </c>
      <c r="V137">
        <v>-0.51</v>
      </c>
      <c r="W137">
        <v>3.66</v>
      </c>
      <c r="X137">
        <v>120266</v>
      </c>
      <c r="Y137">
        <v>10933</v>
      </c>
      <c r="Z137">
        <v>0.48</v>
      </c>
      <c r="AA137">
        <v>11</v>
      </c>
      <c r="AB137">
        <v>7</v>
      </c>
      <c r="AC137">
        <v>4</v>
      </c>
      <c r="AD137">
        <v>63.64</v>
      </c>
      <c r="AE137">
        <v>12</v>
      </c>
      <c r="AF137">
        <v>5</v>
      </c>
      <c r="AG137">
        <v>3</v>
      </c>
      <c r="AH137">
        <v>3</v>
      </c>
    </row>
    <row r="138" spans="1:34">
      <c r="A138" s="111">
        <v>243</v>
      </c>
      <c r="B138">
        <v>4208</v>
      </c>
      <c r="C138" s="115" t="s">
        <v>131</v>
      </c>
      <c r="D138" s="115" t="s">
        <v>88</v>
      </c>
      <c r="E138">
        <v>2301</v>
      </c>
      <c r="F138">
        <v>2286</v>
      </c>
      <c r="G138">
        <v>400</v>
      </c>
      <c r="H138" s="115" t="s">
        <v>87</v>
      </c>
      <c r="I138">
        <v>5991</v>
      </c>
      <c r="J138" s="115" t="s">
        <v>149</v>
      </c>
      <c r="K138" s="115" t="s">
        <v>150</v>
      </c>
      <c r="L138">
        <v>953</v>
      </c>
      <c r="M138">
        <v>957</v>
      </c>
      <c r="N138">
        <v>1000</v>
      </c>
      <c r="O138" s="115" t="s">
        <v>89</v>
      </c>
      <c r="P138">
        <v>0.95630375026653702</v>
      </c>
      <c r="Q138">
        <v>0.90760517257922002</v>
      </c>
      <c r="R138">
        <v>7.7614246527892505E-2</v>
      </c>
      <c r="S138">
        <v>7.2104557202385205E-2</v>
      </c>
      <c r="T138">
        <v>-2.3744087956554898</v>
      </c>
      <c r="U138">
        <v>2.3744087956554898</v>
      </c>
      <c r="V138">
        <v>-10.16</v>
      </c>
      <c r="W138">
        <v>4.66</v>
      </c>
      <c r="X138">
        <v>118186</v>
      </c>
      <c r="Y138">
        <v>7879</v>
      </c>
      <c r="Z138">
        <v>0.34</v>
      </c>
      <c r="AA138">
        <v>15</v>
      </c>
      <c r="AB138">
        <v>9</v>
      </c>
      <c r="AC138">
        <v>6</v>
      </c>
      <c r="AD138">
        <v>60</v>
      </c>
      <c r="AE138">
        <v>11</v>
      </c>
      <c r="AF138">
        <v>7</v>
      </c>
      <c r="AG138">
        <v>4</v>
      </c>
      <c r="AH138">
        <v>4</v>
      </c>
    </row>
    <row r="139" spans="1:34">
      <c r="A139" s="111">
        <v>79</v>
      </c>
      <c r="B139">
        <v>4114</v>
      </c>
      <c r="C139" s="115" t="s">
        <v>427</v>
      </c>
      <c r="D139" s="115" t="s">
        <v>88</v>
      </c>
      <c r="E139">
        <v>6680</v>
      </c>
      <c r="F139">
        <v>6690</v>
      </c>
      <c r="G139">
        <v>100</v>
      </c>
      <c r="H139" s="115" t="s">
        <v>89</v>
      </c>
      <c r="I139">
        <v>4118</v>
      </c>
      <c r="J139" s="115" t="s">
        <v>91</v>
      </c>
      <c r="K139" s="115" t="s">
        <v>88</v>
      </c>
      <c r="L139">
        <v>3595</v>
      </c>
      <c r="M139">
        <v>3580</v>
      </c>
      <c r="N139">
        <v>200</v>
      </c>
      <c r="O139" s="115" t="s">
        <v>87</v>
      </c>
      <c r="P139">
        <v>0.94434802624248904</v>
      </c>
      <c r="Q139">
        <v>0.93295295498631803</v>
      </c>
      <c r="R139">
        <v>0.190434271014329</v>
      </c>
      <c r="S139">
        <v>3.9393763576757901E-4</v>
      </c>
      <c r="T139">
        <v>0.28088188168692502</v>
      </c>
      <c r="U139">
        <v>0.28088188168692502</v>
      </c>
      <c r="V139">
        <v>1.22</v>
      </c>
      <c r="W139">
        <v>7.03</v>
      </c>
      <c r="X139">
        <v>117701</v>
      </c>
      <c r="Y139">
        <v>19617</v>
      </c>
      <c r="Z139">
        <v>1.26</v>
      </c>
      <c r="AA139">
        <v>6</v>
      </c>
      <c r="AB139">
        <v>4</v>
      </c>
      <c r="AC139">
        <v>2</v>
      </c>
      <c r="AD139">
        <v>66.67</v>
      </c>
      <c r="AE139">
        <v>15</v>
      </c>
      <c r="AF139">
        <v>3</v>
      </c>
      <c r="AG139">
        <v>0</v>
      </c>
      <c r="AH139">
        <v>3</v>
      </c>
    </row>
    <row r="140" spans="1:34">
      <c r="A140" s="111">
        <v>209</v>
      </c>
      <c r="B140">
        <v>1860</v>
      </c>
      <c r="C140" s="115" t="s">
        <v>145</v>
      </c>
      <c r="D140" s="115" t="s">
        <v>108</v>
      </c>
      <c r="E140">
        <v>671</v>
      </c>
      <c r="F140">
        <v>676</v>
      </c>
      <c r="G140">
        <v>1400</v>
      </c>
      <c r="H140" s="115" t="s">
        <v>89</v>
      </c>
      <c r="I140">
        <v>5110</v>
      </c>
      <c r="J140" s="115" t="s">
        <v>177</v>
      </c>
      <c r="K140" s="115" t="s">
        <v>178</v>
      </c>
      <c r="L140">
        <v>1381</v>
      </c>
      <c r="M140">
        <v>1381</v>
      </c>
      <c r="N140">
        <v>700</v>
      </c>
      <c r="O140" s="115" t="s">
        <v>87</v>
      </c>
      <c r="P140">
        <v>0.96999658676161005</v>
      </c>
      <c r="Q140">
        <v>0.91207481603724705</v>
      </c>
      <c r="R140">
        <v>3.8392769882670999E-2</v>
      </c>
      <c r="S140">
        <v>1.05473181090009E-2</v>
      </c>
      <c r="T140">
        <v>0.56563054040512595</v>
      </c>
      <c r="U140">
        <v>0.56563054040512595</v>
      </c>
      <c r="V140">
        <v>0.95</v>
      </c>
      <c r="W140">
        <v>2.1</v>
      </c>
      <c r="X140">
        <v>117025</v>
      </c>
      <c r="Y140">
        <v>7314</v>
      </c>
      <c r="Z140">
        <v>0.32</v>
      </c>
      <c r="AA140">
        <v>16</v>
      </c>
      <c r="AB140">
        <v>9</v>
      </c>
      <c r="AC140">
        <v>7</v>
      </c>
      <c r="AD140">
        <v>56.25</v>
      </c>
      <c r="AE140">
        <v>12</v>
      </c>
      <c r="AF140">
        <v>6</v>
      </c>
      <c r="AG140">
        <v>4</v>
      </c>
      <c r="AH140">
        <v>6</v>
      </c>
    </row>
    <row r="141" spans="1:34">
      <c r="A141" s="111">
        <v>157</v>
      </c>
      <c r="B141">
        <v>3116</v>
      </c>
      <c r="C141" s="115" t="s">
        <v>172</v>
      </c>
      <c r="D141" s="115" t="s">
        <v>115</v>
      </c>
      <c r="E141">
        <v>1698</v>
      </c>
      <c r="F141">
        <v>1694</v>
      </c>
      <c r="G141">
        <v>400</v>
      </c>
      <c r="H141" s="115" t="s">
        <v>89</v>
      </c>
      <c r="I141">
        <v>6371</v>
      </c>
      <c r="J141" s="115" t="s">
        <v>142</v>
      </c>
      <c r="K141" s="115" t="s">
        <v>133</v>
      </c>
      <c r="L141">
        <v>3765</v>
      </c>
      <c r="M141">
        <v>3780</v>
      </c>
      <c r="N141">
        <v>200</v>
      </c>
      <c r="O141" s="115" t="s">
        <v>87</v>
      </c>
      <c r="P141">
        <v>0.95626305002697798</v>
      </c>
      <c r="Q141">
        <v>0.91793259532637705</v>
      </c>
      <c r="R141">
        <v>0.11225882653362899</v>
      </c>
      <c r="S141">
        <v>9.4665509527729601E-3</v>
      </c>
      <c r="T141">
        <v>1.27089852157071</v>
      </c>
      <c r="U141">
        <v>1.27089852157071</v>
      </c>
      <c r="V141">
        <v>2.44</v>
      </c>
      <c r="W141">
        <v>10.37</v>
      </c>
      <c r="X141">
        <v>116971</v>
      </c>
      <c r="Y141">
        <v>7798</v>
      </c>
      <c r="Z141">
        <v>0.42</v>
      </c>
      <c r="AA141">
        <v>15</v>
      </c>
      <c r="AB141">
        <v>8</v>
      </c>
      <c r="AC141">
        <v>7</v>
      </c>
      <c r="AD141">
        <v>53.33</v>
      </c>
      <c r="AE141">
        <v>12</v>
      </c>
      <c r="AF141">
        <v>6</v>
      </c>
      <c r="AG141">
        <v>3</v>
      </c>
      <c r="AH141">
        <v>6</v>
      </c>
    </row>
    <row r="142" spans="1:34">
      <c r="A142" s="111">
        <v>224</v>
      </c>
      <c r="B142">
        <v>8304</v>
      </c>
      <c r="C142" s="115" t="s">
        <v>206</v>
      </c>
      <c r="D142" s="115" t="s">
        <v>113</v>
      </c>
      <c r="E142">
        <v>2834</v>
      </c>
      <c r="F142">
        <v>2822</v>
      </c>
      <c r="G142">
        <v>300</v>
      </c>
      <c r="H142" s="115" t="s">
        <v>87</v>
      </c>
      <c r="I142">
        <v>8341</v>
      </c>
      <c r="J142" s="115" t="s">
        <v>169</v>
      </c>
      <c r="K142" s="115" t="s">
        <v>113</v>
      </c>
      <c r="L142">
        <v>1723</v>
      </c>
      <c r="M142">
        <v>1736</v>
      </c>
      <c r="N142">
        <v>500</v>
      </c>
      <c r="O142" s="115" t="s">
        <v>89</v>
      </c>
      <c r="P142">
        <v>0.95807961395676899</v>
      </c>
      <c r="Q142">
        <v>0.91001249841854004</v>
      </c>
      <c r="R142">
        <v>0.20843879526971901</v>
      </c>
      <c r="S142">
        <v>0.178347817272931</v>
      </c>
      <c r="T142">
        <v>-0.79074649530285801</v>
      </c>
      <c r="U142">
        <v>0.79074649530285801</v>
      </c>
      <c r="V142">
        <v>-4.7699999999999996</v>
      </c>
      <c r="W142">
        <v>2.5299999999999998</v>
      </c>
      <c r="X142">
        <v>115707</v>
      </c>
      <c r="Y142">
        <v>9642</v>
      </c>
      <c r="Z142">
        <v>0.55000000000000004</v>
      </c>
      <c r="AA142">
        <v>12</v>
      </c>
      <c r="AB142">
        <v>7</v>
      </c>
      <c r="AC142">
        <v>5</v>
      </c>
      <c r="AD142">
        <v>58.33</v>
      </c>
      <c r="AE142">
        <v>13</v>
      </c>
      <c r="AF142">
        <v>5</v>
      </c>
      <c r="AG142">
        <v>1</v>
      </c>
      <c r="AH142">
        <v>6</v>
      </c>
    </row>
    <row r="143" spans="1:34">
      <c r="A143" s="111">
        <v>74</v>
      </c>
      <c r="B143">
        <v>3405</v>
      </c>
      <c r="C143" s="115" t="s">
        <v>167</v>
      </c>
      <c r="D143" s="115" t="s">
        <v>88</v>
      </c>
      <c r="E143">
        <v>1300</v>
      </c>
      <c r="F143">
        <v>1300</v>
      </c>
      <c r="G143">
        <v>800</v>
      </c>
      <c r="H143" s="115" t="s">
        <v>87</v>
      </c>
      <c r="I143">
        <v>8242</v>
      </c>
      <c r="J143" s="115" t="s">
        <v>159</v>
      </c>
      <c r="K143" s="115" t="s">
        <v>128</v>
      </c>
      <c r="L143">
        <v>1210</v>
      </c>
      <c r="M143">
        <v>1198</v>
      </c>
      <c r="N143">
        <v>900</v>
      </c>
      <c r="O143" s="115" t="s">
        <v>89</v>
      </c>
      <c r="P143">
        <v>0.934209154429813</v>
      </c>
      <c r="Q143">
        <v>0.93351527671450396</v>
      </c>
      <c r="R143">
        <v>7.1815109182439703E-4</v>
      </c>
      <c r="S143">
        <v>0.104251014766294</v>
      </c>
      <c r="T143">
        <v>-0.36149318563608601</v>
      </c>
      <c r="U143">
        <v>0.36149318563608601</v>
      </c>
      <c r="V143">
        <v>-0.67</v>
      </c>
      <c r="W143">
        <v>3.67</v>
      </c>
      <c r="X143">
        <v>114415</v>
      </c>
      <c r="Y143">
        <v>7628</v>
      </c>
      <c r="Z143">
        <v>0.37</v>
      </c>
      <c r="AA143">
        <v>15</v>
      </c>
      <c r="AB143">
        <v>9</v>
      </c>
      <c r="AC143">
        <v>6</v>
      </c>
      <c r="AD143">
        <v>60</v>
      </c>
      <c r="AE143">
        <v>11</v>
      </c>
      <c r="AF143">
        <v>7</v>
      </c>
      <c r="AG143">
        <v>4</v>
      </c>
      <c r="AH143">
        <v>4</v>
      </c>
    </row>
    <row r="144" spans="1:34">
      <c r="A144" s="111">
        <v>179</v>
      </c>
      <c r="B144">
        <v>3116</v>
      </c>
      <c r="C144" s="115" t="s">
        <v>172</v>
      </c>
      <c r="D144" s="115" t="s">
        <v>115</v>
      </c>
      <c r="E144">
        <v>1698</v>
      </c>
      <c r="F144">
        <v>1694</v>
      </c>
      <c r="G144">
        <v>400</v>
      </c>
      <c r="H144" s="115" t="s">
        <v>87</v>
      </c>
      <c r="I144">
        <v>6988</v>
      </c>
      <c r="J144" s="115" t="s">
        <v>197</v>
      </c>
      <c r="K144" s="115" t="s">
        <v>88</v>
      </c>
      <c r="L144">
        <v>6110</v>
      </c>
      <c r="M144">
        <v>6040</v>
      </c>
      <c r="N144">
        <v>100</v>
      </c>
      <c r="O144" s="115" t="s">
        <v>89</v>
      </c>
      <c r="P144">
        <v>0.95093160876529803</v>
      </c>
      <c r="Q144">
        <v>0.91544018136221195</v>
      </c>
      <c r="R144">
        <v>0.13413346573266199</v>
      </c>
      <c r="S144">
        <v>0.19235529070166499</v>
      </c>
      <c r="T144">
        <v>-1.1884785251008599E-2</v>
      </c>
      <c r="U144">
        <v>1.1884785251008599E-2</v>
      </c>
      <c r="V144">
        <v>-0.03</v>
      </c>
      <c r="W144">
        <v>12.19</v>
      </c>
      <c r="X144">
        <v>113643</v>
      </c>
      <c r="Y144">
        <v>12627</v>
      </c>
      <c r="Z144">
        <v>0.94</v>
      </c>
      <c r="AA144">
        <v>9</v>
      </c>
      <c r="AB144">
        <v>7</v>
      </c>
      <c r="AC144">
        <v>2</v>
      </c>
      <c r="AD144">
        <v>77.78</v>
      </c>
      <c r="AE144">
        <v>12</v>
      </c>
      <c r="AF144">
        <v>6</v>
      </c>
      <c r="AG144">
        <v>1</v>
      </c>
      <c r="AH144">
        <v>2</v>
      </c>
    </row>
    <row r="145" spans="1:34">
      <c r="A145" s="111">
        <v>270</v>
      </c>
      <c r="B145">
        <v>4005</v>
      </c>
      <c r="C145" s="115" t="s">
        <v>153</v>
      </c>
      <c r="D145" s="115" t="s">
        <v>88</v>
      </c>
      <c r="E145">
        <v>503</v>
      </c>
      <c r="F145">
        <v>500</v>
      </c>
      <c r="G145">
        <v>2200</v>
      </c>
      <c r="H145" s="115" t="s">
        <v>87</v>
      </c>
      <c r="I145">
        <v>8308</v>
      </c>
      <c r="J145" s="115" t="s">
        <v>136</v>
      </c>
      <c r="K145" s="115" t="s">
        <v>113</v>
      </c>
      <c r="L145">
        <v>468.7</v>
      </c>
      <c r="M145">
        <v>466.8</v>
      </c>
      <c r="N145">
        <v>2400</v>
      </c>
      <c r="O145" s="115" t="s">
        <v>89</v>
      </c>
      <c r="P145">
        <v>0.90116268963620505</v>
      </c>
      <c r="Q145">
        <v>0.90338352062246596</v>
      </c>
      <c r="R145" s="20">
        <v>1.03924817904602E-3</v>
      </c>
      <c r="S145">
        <v>5.10619709180542E-2</v>
      </c>
      <c r="T145">
        <v>-0.50644150227330598</v>
      </c>
      <c r="U145">
        <v>0.50644150227330598</v>
      </c>
      <c r="V145">
        <v>-1.52</v>
      </c>
      <c r="W145">
        <v>1.85</v>
      </c>
      <c r="X145">
        <v>112730</v>
      </c>
      <c r="Y145">
        <v>8052</v>
      </c>
      <c r="Z145">
        <v>0.36</v>
      </c>
      <c r="AA145">
        <v>14</v>
      </c>
      <c r="AB145">
        <v>8</v>
      </c>
      <c r="AC145">
        <v>6</v>
      </c>
      <c r="AD145">
        <v>57.14</v>
      </c>
      <c r="AE145">
        <v>12</v>
      </c>
      <c r="AF145">
        <v>5</v>
      </c>
      <c r="AG145">
        <v>3</v>
      </c>
      <c r="AH145">
        <v>6</v>
      </c>
    </row>
    <row r="146" spans="1:34">
      <c r="A146" s="111">
        <v>201</v>
      </c>
      <c r="B146">
        <v>5901</v>
      </c>
      <c r="C146" s="115" t="s">
        <v>430</v>
      </c>
      <c r="D146" s="115" t="s">
        <v>150</v>
      </c>
      <c r="E146">
        <v>1876</v>
      </c>
      <c r="F146">
        <v>1866</v>
      </c>
      <c r="G146">
        <v>600</v>
      </c>
      <c r="H146" s="115" t="s">
        <v>87</v>
      </c>
      <c r="I146">
        <v>9956</v>
      </c>
      <c r="J146" s="115" t="s">
        <v>424</v>
      </c>
      <c r="K146" s="115" t="s">
        <v>128</v>
      </c>
      <c r="L146">
        <v>2057</v>
      </c>
      <c r="M146">
        <v>2055</v>
      </c>
      <c r="N146">
        <v>500</v>
      </c>
      <c r="O146" s="115" t="s">
        <v>89</v>
      </c>
      <c r="P146">
        <v>0.92775314811951204</v>
      </c>
      <c r="Q146">
        <v>0.91301196765316595</v>
      </c>
      <c r="R146">
        <v>2.6357078014889899E-3</v>
      </c>
      <c r="S146">
        <v>0.29913993001038902</v>
      </c>
      <c r="T146">
        <v>-4.82219519459995E-2</v>
      </c>
      <c r="U146">
        <v>4.82219519459995E-2</v>
      </c>
      <c r="V146">
        <v>-0.27</v>
      </c>
      <c r="W146">
        <v>8.9600000000000009</v>
      </c>
      <c r="X146">
        <v>111960</v>
      </c>
      <c r="Y146">
        <v>5893</v>
      </c>
      <c r="Z146">
        <v>0.3</v>
      </c>
      <c r="AA146">
        <v>19</v>
      </c>
      <c r="AB146">
        <v>11</v>
      </c>
      <c r="AC146">
        <v>8</v>
      </c>
      <c r="AD146">
        <v>57.89</v>
      </c>
      <c r="AE146">
        <v>12</v>
      </c>
      <c r="AF146">
        <v>6</v>
      </c>
      <c r="AG146">
        <v>5</v>
      </c>
      <c r="AH146">
        <v>8</v>
      </c>
    </row>
    <row r="147" spans="1:34">
      <c r="A147" s="111">
        <v>76</v>
      </c>
      <c r="B147">
        <v>4005</v>
      </c>
      <c r="C147" s="115" t="s">
        <v>153</v>
      </c>
      <c r="D147" s="115" t="s">
        <v>88</v>
      </c>
      <c r="E147">
        <v>503</v>
      </c>
      <c r="F147">
        <v>500</v>
      </c>
      <c r="G147">
        <v>2200</v>
      </c>
      <c r="H147" s="115" t="s">
        <v>87</v>
      </c>
      <c r="I147">
        <v>7211</v>
      </c>
      <c r="J147" s="115" t="s">
        <v>56</v>
      </c>
      <c r="K147" s="115" t="s">
        <v>115</v>
      </c>
      <c r="L147">
        <v>485</v>
      </c>
      <c r="M147">
        <v>487</v>
      </c>
      <c r="N147">
        <v>2300</v>
      </c>
      <c r="O147" s="115" t="s">
        <v>89</v>
      </c>
      <c r="P147">
        <v>0.93482547317872799</v>
      </c>
      <c r="Q147">
        <v>0.93332635004776998</v>
      </c>
      <c r="R147">
        <v>3.0750143375102399E-4</v>
      </c>
      <c r="S147">
        <v>8.0905653451583005E-3</v>
      </c>
      <c r="T147">
        <v>-0.40642086227430602</v>
      </c>
      <c r="U147">
        <v>0.40642086227430602</v>
      </c>
      <c r="V147">
        <v>-1.04</v>
      </c>
      <c r="W147">
        <v>1.83</v>
      </c>
      <c r="X147">
        <v>108463</v>
      </c>
      <c r="Y147">
        <v>6026</v>
      </c>
      <c r="Z147">
        <v>0.31</v>
      </c>
      <c r="AA147">
        <v>18</v>
      </c>
      <c r="AB147">
        <v>9</v>
      </c>
      <c r="AC147">
        <v>9</v>
      </c>
      <c r="AD147">
        <v>50</v>
      </c>
      <c r="AE147">
        <v>12</v>
      </c>
      <c r="AF147">
        <v>6</v>
      </c>
      <c r="AG147">
        <v>4</v>
      </c>
      <c r="AH147">
        <v>8</v>
      </c>
    </row>
    <row r="148" spans="1:34">
      <c r="A148" s="111">
        <v>111</v>
      </c>
      <c r="B148">
        <v>4612</v>
      </c>
      <c r="C148" s="115" t="s">
        <v>183</v>
      </c>
      <c r="D148" s="115" t="s">
        <v>88</v>
      </c>
      <c r="E148">
        <v>6130</v>
      </c>
      <c r="F148">
        <v>6190</v>
      </c>
      <c r="G148">
        <v>100</v>
      </c>
      <c r="H148" s="115" t="s">
        <v>87</v>
      </c>
      <c r="I148">
        <v>4613</v>
      </c>
      <c r="J148" s="115" t="s">
        <v>428</v>
      </c>
      <c r="K148" s="115" t="s">
        <v>88</v>
      </c>
      <c r="L148">
        <v>2774</v>
      </c>
      <c r="M148">
        <v>2786</v>
      </c>
      <c r="N148">
        <v>200</v>
      </c>
      <c r="O148" s="115" t="s">
        <v>89</v>
      </c>
      <c r="P148">
        <v>0.96182726880528102</v>
      </c>
      <c r="Q148">
        <v>0.92548130072022705</v>
      </c>
      <c r="R148">
        <v>0.107265843491156</v>
      </c>
      <c r="S148">
        <v>0.29814392075297902</v>
      </c>
      <c r="T148">
        <v>-0.99572834520331699</v>
      </c>
      <c r="U148">
        <v>0.99572834520331699</v>
      </c>
      <c r="V148">
        <v>-2.3199999999999998</v>
      </c>
      <c r="W148">
        <v>9.98</v>
      </c>
      <c r="X148">
        <v>107731</v>
      </c>
      <c r="Y148">
        <v>8287</v>
      </c>
      <c r="Z148">
        <v>0.3</v>
      </c>
      <c r="AA148">
        <v>13</v>
      </c>
      <c r="AB148">
        <v>7</v>
      </c>
      <c r="AC148">
        <v>6</v>
      </c>
      <c r="AD148">
        <v>53.85</v>
      </c>
      <c r="AE148">
        <v>11</v>
      </c>
      <c r="AF148">
        <v>6</v>
      </c>
      <c r="AG148">
        <v>4</v>
      </c>
      <c r="AH148">
        <v>3</v>
      </c>
    </row>
    <row r="149" spans="1:34">
      <c r="A149" s="111">
        <v>194</v>
      </c>
      <c r="B149">
        <v>2175</v>
      </c>
      <c r="C149" s="115" t="s">
        <v>447</v>
      </c>
      <c r="D149" s="115" t="s">
        <v>158</v>
      </c>
      <c r="E149">
        <v>2884</v>
      </c>
      <c r="F149">
        <v>2959</v>
      </c>
      <c r="G149">
        <v>200</v>
      </c>
      <c r="H149" s="115" t="s">
        <v>89</v>
      </c>
      <c r="I149">
        <v>8036</v>
      </c>
      <c r="J149" s="115" t="s">
        <v>429</v>
      </c>
      <c r="K149" s="115" t="s">
        <v>135</v>
      </c>
      <c r="L149">
        <v>6830</v>
      </c>
      <c r="M149">
        <v>6760</v>
      </c>
      <c r="N149">
        <v>100</v>
      </c>
      <c r="O149" s="115" t="s">
        <v>87</v>
      </c>
      <c r="P149">
        <v>0.92658061800112301</v>
      </c>
      <c r="Q149">
        <v>0.913688693834113</v>
      </c>
      <c r="R149">
        <v>7.7688619095477897E-4</v>
      </c>
      <c r="S149">
        <v>0.105908110833049</v>
      </c>
      <c r="T149">
        <v>0.73760307041596396</v>
      </c>
      <c r="U149">
        <v>0.73760307041596396</v>
      </c>
      <c r="V149">
        <v>2.3199999999999998</v>
      </c>
      <c r="W149">
        <v>12.46</v>
      </c>
      <c r="X149">
        <v>107085</v>
      </c>
      <c r="Y149">
        <v>6299</v>
      </c>
      <c r="Z149">
        <v>0.39</v>
      </c>
      <c r="AA149">
        <v>17</v>
      </c>
      <c r="AB149">
        <v>9</v>
      </c>
      <c r="AC149">
        <v>8</v>
      </c>
      <c r="AD149">
        <v>52.94</v>
      </c>
      <c r="AE149">
        <v>11</v>
      </c>
      <c r="AF149">
        <v>8</v>
      </c>
      <c r="AG149">
        <v>6</v>
      </c>
      <c r="AH149">
        <v>3</v>
      </c>
    </row>
    <row r="150" spans="1:34">
      <c r="A150" s="111">
        <v>75</v>
      </c>
      <c r="B150">
        <v>5802</v>
      </c>
      <c r="C150" s="115" t="s">
        <v>181</v>
      </c>
      <c r="D150" s="115" t="s">
        <v>182</v>
      </c>
      <c r="E150">
        <v>1526.5</v>
      </c>
      <c r="F150">
        <v>1526.5</v>
      </c>
      <c r="G150">
        <v>700</v>
      </c>
      <c r="H150" s="115" t="s">
        <v>89</v>
      </c>
      <c r="I150">
        <v>9072</v>
      </c>
      <c r="J150" s="115" t="s">
        <v>175</v>
      </c>
      <c r="K150" s="115" t="s">
        <v>157</v>
      </c>
      <c r="L150">
        <v>2689</v>
      </c>
      <c r="M150">
        <v>2707</v>
      </c>
      <c r="N150">
        <v>400</v>
      </c>
      <c r="O150" s="115" t="s">
        <v>87</v>
      </c>
      <c r="P150">
        <v>0.97044510025239605</v>
      </c>
      <c r="Q150">
        <v>0.93346241883017</v>
      </c>
      <c r="R150">
        <v>1.9588209036339701E-2</v>
      </c>
      <c r="S150">
        <v>2.1010917947642399E-3</v>
      </c>
      <c r="T150">
        <v>0.80305406338451701</v>
      </c>
      <c r="U150">
        <v>0.80305406338451701</v>
      </c>
      <c r="V150">
        <v>3.04</v>
      </c>
      <c r="W150">
        <v>1.32</v>
      </c>
      <c r="X150">
        <v>104976</v>
      </c>
      <c r="Y150">
        <v>5525</v>
      </c>
      <c r="Z150">
        <v>0.26</v>
      </c>
      <c r="AA150">
        <v>19</v>
      </c>
      <c r="AB150">
        <v>11</v>
      </c>
      <c r="AC150">
        <v>8</v>
      </c>
      <c r="AD150">
        <v>57.89</v>
      </c>
      <c r="AE150">
        <v>15</v>
      </c>
      <c r="AF150">
        <v>6</v>
      </c>
      <c r="AG150">
        <v>2</v>
      </c>
      <c r="AH150">
        <v>11</v>
      </c>
    </row>
    <row r="151" spans="1:34">
      <c r="A151" s="111">
        <v>285</v>
      </c>
      <c r="B151">
        <v>7167</v>
      </c>
      <c r="C151" s="115" t="s">
        <v>134</v>
      </c>
      <c r="D151" s="115" t="s">
        <v>113</v>
      </c>
      <c r="E151">
        <v>281</v>
      </c>
      <c r="F151">
        <v>282</v>
      </c>
      <c r="G151">
        <v>3000</v>
      </c>
      <c r="H151" s="115" t="s">
        <v>89</v>
      </c>
      <c r="I151">
        <v>7846</v>
      </c>
      <c r="J151" s="115" t="s">
        <v>166</v>
      </c>
      <c r="K151" s="115" t="s">
        <v>120</v>
      </c>
      <c r="L151">
        <v>4240</v>
      </c>
      <c r="M151">
        <v>4215</v>
      </c>
      <c r="N151">
        <v>200</v>
      </c>
      <c r="O151" s="115" t="s">
        <v>87</v>
      </c>
      <c r="P151">
        <v>0.938446714025998</v>
      </c>
      <c r="Q151">
        <v>0.90189231355919397</v>
      </c>
      <c r="R151">
        <v>0.18915154041468901</v>
      </c>
      <c r="S151">
        <v>0.168542537053259</v>
      </c>
      <c r="T151">
        <v>0.663068253069236</v>
      </c>
      <c r="U151">
        <v>0.663068253069236</v>
      </c>
      <c r="V151">
        <v>1.45</v>
      </c>
      <c r="W151">
        <v>0.36</v>
      </c>
      <c r="X151">
        <v>102566</v>
      </c>
      <c r="Y151">
        <v>5398</v>
      </c>
      <c r="Z151">
        <v>0.31</v>
      </c>
      <c r="AA151">
        <v>19</v>
      </c>
      <c r="AB151">
        <v>10</v>
      </c>
      <c r="AC151">
        <v>9</v>
      </c>
      <c r="AD151">
        <v>52.63</v>
      </c>
      <c r="AE151">
        <v>14</v>
      </c>
      <c r="AF151">
        <v>6</v>
      </c>
      <c r="AG151">
        <v>5</v>
      </c>
      <c r="AH151">
        <v>8</v>
      </c>
    </row>
    <row r="152" spans="1:34">
      <c r="A152" s="111">
        <v>97</v>
      </c>
      <c r="B152">
        <v>6752</v>
      </c>
      <c r="C152" s="115" t="s">
        <v>139</v>
      </c>
      <c r="D152" s="115" t="s">
        <v>118</v>
      </c>
      <c r="E152">
        <v>998.1</v>
      </c>
      <c r="F152">
        <v>1005</v>
      </c>
      <c r="G152">
        <v>1000</v>
      </c>
      <c r="H152" s="115" t="s">
        <v>89</v>
      </c>
      <c r="I152">
        <v>7167</v>
      </c>
      <c r="J152" s="115" t="s">
        <v>134</v>
      </c>
      <c r="K152" s="115" t="s">
        <v>113</v>
      </c>
      <c r="L152">
        <v>281</v>
      </c>
      <c r="M152">
        <v>282</v>
      </c>
      <c r="N152">
        <v>3600</v>
      </c>
      <c r="O152" s="115" t="s">
        <v>87</v>
      </c>
      <c r="P152">
        <v>0.91329217288336395</v>
      </c>
      <c r="Q152">
        <v>0.92703368795432195</v>
      </c>
      <c r="R152">
        <v>0.30921091197839501</v>
      </c>
      <c r="S152">
        <v>5.6231010203093998E-2</v>
      </c>
      <c r="T152">
        <v>1.6853528293539599</v>
      </c>
      <c r="U152">
        <v>1.6853528293539599</v>
      </c>
      <c r="V152">
        <v>4.18</v>
      </c>
      <c r="W152">
        <v>1.01</v>
      </c>
      <c r="X152">
        <v>101007</v>
      </c>
      <c r="Y152">
        <v>5316</v>
      </c>
      <c r="Z152">
        <v>0.27</v>
      </c>
      <c r="AA152">
        <v>19</v>
      </c>
      <c r="AB152">
        <v>9</v>
      </c>
      <c r="AC152">
        <v>10</v>
      </c>
      <c r="AD152">
        <v>47.37</v>
      </c>
      <c r="AE152">
        <v>13</v>
      </c>
      <c r="AF152">
        <v>6</v>
      </c>
      <c r="AG152">
        <v>3</v>
      </c>
      <c r="AH152">
        <v>10</v>
      </c>
    </row>
    <row r="153" spans="1:34">
      <c r="A153" s="111">
        <v>34</v>
      </c>
      <c r="B153">
        <v>7167</v>
      </c>
      <c r="C153" s="115" t="s">
        <v>134</v>
      </c>
      <c r="D153" s="115" t="s">
        <v>113</v>
      </c>
      <c r="E153">
        <v>281</v>
      </c>
      <c r="F153">
        <v>282</v>
      </c>
      <c r="G153">
        <v>3600</v>
      </c>
      <c r="H153" s="115" t="s">
        <v>89</v>
      </c>
      <c r="I153">
        <v>8377</v>
      </c>
      <c r="J153" s="115" t="s">
        <v>127</v>
      </c>
      <c r="K153" s="115" t="s">
        <v>113</v>
      </c>
      <c r="L153">
        <v>1116</v>
      </c>
      <c r="M153">
        <v>1116</v>
      </c>
      <c r="N153">
        <v>900</v>
      </c>
      <c r="O153" s="115" t="s">
        <v>87</v>
      </c>
      <c r="P153">
        <v>0.98210929403275904</v>
      </c>
      <c r="Q153">
        <v>0.94272891678608595</v>
      </c>
      <c r="R153">
        <v>6.1377947903252399E-2</v>
      </c>
      <c r="S153">
        <v>0.172590995768761</v>
      </c>
      <c r="T153">
        <v>0.167663180830293</v>
      </c>
      <c r="U153">
        <v>0.167663180830293</v>
      </c>
      <c r="V153">
        <v>0.34</v>
      </c>
      <c r="W153">
        <v>1.08</v>
      </c>
      <c r="X153">
        <v>96881</v>
      </c>
      <c r="Y153">
        <v>5699</v>
      </c>
      <c r="Z153">
        <v>0.24</v>
      </c>
      <c r="AA153">
        <v>17</v>
      </c>
      <c r="AB153">
        <v>12</v>
      </c>
      <c r="AC153">
        <v>5</v>
      </c>
      <c r="AD153">
        <v>70.59</v>
      </c>
      <c r="AE153">
        <v>16</v>
      </c>
      <c r="AF153">
        <v>2</v>
      </c>
      <c r="AG153">
        <v>1</v>
      </c>
      <c r="AH153">
        <v>14</v>
      </c>
    </row>
    <row r="154" spans="1:34">
      <c r="A154" s="111">
        <v>173</v>
      </c>
      <c r="B154">
        <v>4530</v>
      </c>
      <c r="C154" s="115" t="s">
        <v>199</v>
      </c>
      <c r="D154" s="115" t="s">
        <v>194</v>
      </c>
      <c r="E154">
        <v>5250</v>
      </c>
      <c r="F154">
        <v>5210</v>
      </c>
      <c r="G154">
        <v>200</v>
      </c>
      <c r="H154" s="115" t="s">
        <v>89</v>
      </c>
      <c r="I154">
        <v>8279</v>
      </c>
      <c r="J154" s="115" t="s">
        <v>421</v>
      </c>
      <c r="K154" s="115" t="s">
        <v>128</v>
      </c>
      <c r="L154">
        <v>5140</v>
      </c>
      <c r="M154">
        <v>5130</v>
      </c>
      <c r="N154">
        <v>200</v>
      </c>
      <c r="O154" s="115" t="s">
        <v>87</v>
      </c>
      <c r="P154">
        <v>0.91328208547490897</v>
      </c>
      <c r="Q154">
        <v>0.91602504558332498</v>
      </c>
      <c r="R154">
        <v>2.37534659127648E-3</v>
      </c>
      <c r="S154">
        <v>0.16646760938022201</v>
      </c>
      <c r="T154">
        <v>1.3134894448174801</v>
      </c>
      <c r="U154">
        <v>1.3134894448174801</v>
      </c>
      <c r="V154">
        <v>6.65</v>
      </c>
      <c r="W154">
        <v>1.54</v>
      </c>
      <c r="X154">
        <v>95876</v>
      </c>
      <c r="Y154">
        <v>15979</v>
      </c>
      <c r="Z154">
        <v>0.84</v>
      </c>
      <c r="AA154">
        <v>6</v>
      </c>
      <c r="AB154">
        <v>4</v>
      </c>
      <c r="AC154">
        <v>2</v>
      </c>
      <c r="AD154">
        <v>66.67</v>
      </c>
      <c r="AE154">
        <v>12</v>
      </c>
      <c r="AF154">
        <v>3</v>
      </c>
      <c r="AG154">
        <v>1</v>
      </c>
      <c r="AH154">
        <v>2</v>
      </c>
    </row>
    <row r="155" spans="1:34">
      <c r="A155" s="111">
        <v>292</v>
      </c>
      <c r="B155">
        <v>7327</v>
      </c>
      <c r="C155" s="115" t="s">
        <v>200</v>
      </c>
      <c r="D155" s="115" t="s">
        <v>113</v>
      </c>
      <c r="E155">
        <v>2891</v>
      </c>
      <c r="F155">
        <v>2898</v>
      </c>
      <c r="G155">
        <v>300</v>
      </c>
      <c r="H155" s="115" t="s">
        <v>87</v>
      </c>
      <c r="I155">
        <v>8385</v>
      </c>
      <c r="J155" s="115" t="s">
        <v>156</v>
      </c>
      <c r="K155" s="115" t="s">
        <v>113</v>
      </c>
      <c r="L155">
        <v>592</v>
      </c>
      <c r="M155">
        <v>596</v>
      </c>
      <c r="N155">
        <v>1500</v>
      </c>
      <c r="O155" s="115" t="s">
        <v>89</v>
      </c>
      <c r="P155">
        <v>0.96295353680149198</v>
      </c>
      <c r="Q155">
        <v>0.90095646382664196</v>
      </c>
      <c r="R155">
        <v>0.20398990922537999</v>
      </c>
      <c r="S155">
        <v>0.198021295699917</v>
      </c>
      <c r="T155">
        <v>-0.1053467427088</v>
      </c>
      <c r="U155">
        <v>0.1053467427088</v>
      </c>
      <c r="V155">
        <v>-0.34</v>
      </c>
      <c r="W155">
        <v>2.83</v>
      </c>
      <c r="X155">
        <v>95423</v>
      </c>
      <c r="Y155">
        <v>31808</v>
      </c>
      <c r="Z155">
        <v>1.86</v>
      </c>
      <c r="AA155">
        <v>3</v>
      </c>
      <c r="AB155">
        <v>2</v>
      </c>
      <c r="AC155">
        <v>1</v>
      </c>
      <c r="AD155">
        <v>66.67</v>
      </c>
      <c r="AE155">
        <v>12</v>
      </c>
      <c r="AF155">
        <v>1</v>
      </c>
      <c r="AG155">
        <v>0</v>
      </c>
      <c r="AH155">
        <v>2</v>
      </c>
    </row>
    <row r="156" spans="1:34">
      <c r="A156" s="111">
        <v>69</v>
      </c>
      <c r="B156">
        <v>4005</v>
      </c>
      <c r="C156" s="115" t="s">
        <v>153</v>
      </c>
      <c r="D156" s="115" t="s">
        <v>88</v>
      </c>
      <c r="E156">
        <v>503</v>
      </c>
      <c r="F156">
        <v>500</v>
      </c>
      <c r="G156">
        <v>2100</v>
      </c>
      <c r="H156" s="115" t="s">
        <v>87</v>
      </c>
      <c r="I156">
        <v>8601</v>
      </c>
      <c r="J156" s="115" t="s">
        <v>53</v>
      </c>
      <c r="K156" s="115" t="s">
        <v>152</v>
      </c>
      <c r="L156">
        <v>533.29999999999995</v>
      </c>
      <c r="M156">
        <v>532.29999999999995</v>
      </c>
      <c r="N156">
        <v>2000</v>
      </c>
      <c r="O156" s="115" t="s">
        <v>89</v>
      </c>
      <c r="P156">
        <v>0.90003665297772095</v>
      </c>
      <c r="Q156">
        <v>0.93485130592547405</v>
      </c>
      <c r="R156">
        <v>7.6411397471863997E-4</v>
      </c>
      <c r="S156">
        <v>3.1488806219856199E-3</v>
      </c>
      <c r="T156">
        <v>-2.86562935758807</v>
      </c>
      <c r="U156">
        <v>2.86562935758807</v>
      </c>
      <c r="V156">
        <v>-7.5</v>
      </c>
      <c r="W156">
        <v>1.37</v>
      </c>
      <c r="X156">
        <v>94546</v>
      </c>
      <c r="Y156">
        <v>5253</v>
      </c>
      <c r="Z156">
        <v>0.24</v>
      </c>
      <c r="AA156">
        <v>18</v>
      </c>
      <c r="AB156">
        <v>9</v>
      </c>
      <c r="AC156">
        <v>9</v>
      </c>
      <c r="AD156">
        <v>50</v>
      </c>
      <c r="AE156">
        <v>14</v>
      </c>
      <c r="AF156">
        <v>6</v>
      </c>
      <c r="AG156">
        <v>3</v>
      </c>
      <c r="AH156">
        <v>9</v>
      </c>
    </row>
    <row r="157" spans="1:34">
      <c r="A157" s="111">
        <v>126</v>
      </c>
      <c r="B157">
        <v>4208</v>
      </c>
      <c r="C157" s="115" t="s">
        <v>131</v>
      </c>
      <c r="D157" s="115" t="s">
        <v>88</v>
      </c>
      <c r="E157">
        <v>2301</v>
      </c>
      <c r="F157">
        <v>2286</v>
      </c>
      <c r="G157">
        <v>400</v>
      </c>
      <c r="H157" s="115" t="s">
        <v>87</v>
      </c>
      <c r="I157">
        <v>5802</v>
      </c>
      <c r="J157" s="115" t="s">
        <v>181</v>
      </c>
      <c r="K157" s="115" t="s">
        <v>182</v>
      </c>
      <c r="L157">
        <v>1526.5</v>
      </c>
      <c r="M157">
        <v>1526.5</v>
      </c>
      <c r="N157">
        <v>600</v>
      </c>
      <c r="O157" s="115" t="s">
        <v>89</v>
      </c>
      <c r="P157">
        <v>0.97261474843990203</v>
      </c>
      <c r="Q157">
        <v>0.92342083346355897</v>
      </c>
      <c r="R157" s="20">
        <v>2.0662425905547201E-2</v>
      </c>
      <c r="S157">
        <v>2.1557391374348499E-2</v>
      </c>
      <c r="T157">
        <v>-2.02937008697885</v>
      </c>
      <c r="U157">
        <v>2.02937008697885</v>
      </c>
      <c r="V157">
        <v>-6.39</v>
      </c>
      <c r="W157">
        <v>0.16</v>
      </c>
      <c r="X157">
        <v>89209</v>
      </c>
      <c r="Y157">
        <v>6862</v>
      </c>
      <c r="Z157">
        <v>0.28000000000000003</v>
      </c>
      <c r="AA157">
        <v>13</v>
      </c>
      <c r="AB157">
        <v>7</v>
      </c>
      <c r="AC157">
        <v>6</v>
      </c>
      <c r="AD157">
        <v>53.85</v>
      </c>
      <c r="AE157">
        <v>13</v>
      </c>
      <c r="AF157">
        <v>5</v>
      </c>
      <c r="AG157">
        <v>3</v>
      </c>
      <c r="AH157">
        <v>5</v>
      </c>
    </row>
    <row r="158" spans="1:34">
      <c r="A158" s="111">
        <v>24</v>
      </c>
      <c r="B158">
        <v>3387</v>
      </c>
      <c r="C158" s="115" t="s">
        <v>398</v>
      </c>
      <c r="D158" s="115" t="s">
        <v>128</v>
      </c>
      <c r="E158">
        <v>1878</v>
      </c>
      <c r="F158">
        <v>1889</v>
      </c>
      <c r="G158">
        <v>300</v>
      </c>
      <c r="H158" s="115" t="s">
        <v>87</v>
      </c>
      <c r="I158">
        <v>4612</v>
      </c>
      <c r="J158" s="115" t="s">
        <v>183</v>
      </c>
      <c r="K158" s="115" t="s">
        <v>88</v>
      </c>
      <c r="L158">
        <v>6130</v>
      </c>
      <c r="M158">
        <v>6190</v>
      </c>
      <c r="N158">
        <v>100</v>
      </c>
      <c r="O158" s="115" t="s">
        <v>89</v>
      </c>
      <c r="P158">
        <v>0.93098385197410705</v>
      </c>
      <c r="Q158">
        <v>0.94764873382402104</v>
      </c>
      <c r="R158">
        <v>6.13358851310227E-4</v>
      </c>
      <c r="S158">
        <v>8.1079350630890806E-2</v>
      </c>
      <c r="T158">
        <v>-0.86135104843979504</v>
      </c>
      <c r="U158">
        <v>0.86135104843979504</v>
      </c>
      <c r="V158">
        <v>-4.9800000000000004</v>
      </c>
      <c r="W158">
        <v>8.4499999999999993</v>
      </c>
      <c r="X158">
        <v>89024</v>
      </c>
      <c r="Y158">
        <v>4946</v>
      </c>
      <c r="Z158">
        <v>0.24</v>
      </c>
      <c r="AA158">
        <v>18</v>
      </c>
      <c r="AB158">
        <v>10</v>
      </c>
      <c r="AC158">
        <v>8</v>
      </c>
      <c r="AD158">
        <v>55.56</v>
      </c>
      <c r="AE158">
        <v>11</v>
      </c>
      <c r="AF158">
        <v>8</v>
      </c>
      <c r="AG158">
        <v>4</v>
      </c>
      <c r="AH158">
        <v>6</v>
      </c>
    </row>
    <row r="159" spans="1:34">
      <c r="A159" s="111">
        <v>211</v>
      </c>
      <c r="B159">
        <v>4631</v>
      </c>
      <c r="C159" s="115" t="s">
        <v>188</v>
      </c>
      <c r="D159" s="115" t="s">
        <v>88</v>
      </c>
      <c r="E159">
        <v>2958</v>
      </c>
      <c r="F159">
        <v>2966</v>
      </c>
      <c r="G159">
        <v>300</v>
      </c>
      <c r="H159" s="115" t="s">
        <v>87</v>
      </c>
      <c r="I159">
        <v>5334</v>
      </c>
      <c r="J159" s="115" t="s">
        <v>395</v>
      </c>
      <c r="K159" s="115" t="s">
        <v>140</v>
      </c>
      <c r="L159">
        <v>2150</v>
      </c>
      <c r="M159">
        <v>2155</v>
      </c>
      <c r="N159">
        <v>400</v>
      </c>
      <c r="O159" s="115" t="s">
        <v>89</v>
      </c>
      <c r="P159">
        <v>0.93969439804280697</v>
      </c>
      <c r="Q159">
        <v>0.91125436170166596</v>
      </c>
      <c r="R159">
        <v>8.1663484291497807E-2</v>
      </c>
      <c r="S159">
        <v>3.0115742766118501E-3</v>
      </c>
      <c r="T159">
        <v>-2.0276385146457998</v>
      </c>
      <c r="U159">
        <v>2.0276385146457998</v>
      </c>
      <c r="V159">
        <v>-5.86</v>
      </c>
      <c r="W159">
        <v>3.12</v>
      </c>
      <c r="X159">
        <v>87079</v>
      </c>
      <c r="Y159">
        <v>5442</v>
      </c>
      <c r="Z159">
        <v>0.28999999999999998</v>
      </c>
      <c r="AA159">
        <v>16</v>
      </c>
      <c r="AB159">
        <v>7</v>
      </c>
      <c r="AC159">
        <v>9</v>
      </c>
      <c r="AD159">
        <v>43.75</v>
      </c>
      <c r="AE159">
        <v>10</v>
      </c>
      <c r="AF159">
        <v>7</v>
      </c>
      <c r="AG159">
        <v>4</v>
      </c>
      <c r="AH159">
        <v>5</v>
      </c>
    </row>
    <row r="160" spans="1:34">
      <c r="A160" s="111">
        <v>125</v>
      </c>
      <c r="B160">
        <v>7167</v>
      </c>
      <c r="C160" s="115" t="s">
        <v>134</v>
      </c>
      <c r="D160" s="115" t="s">
        <v>113</v>
      </c>
      <c r="E160">
        <v>281</v>
      </c>
      <c r="F160">
        <v>282</v>
      </c>
      <c r="G160">
        <v>3800</v>
      </c>
      <c r="H160" s="115" t="s">
        <v>87</v>
      </c>
      <c r="I160">
        <v>7186</v>
      </c>
      <c r="J160" s="115" t="s">
        <v>51</v>
      </c>
      <c r="K160" s="115" t="s">
        <v>113</v>
      </c>
      <c r="L160">
        <v>440</v>
      </c>
      <c r="M160">
        <v>445</v>
      </c>
      <c r="N160">
        <v>2400</v>
      </c>
      <c r="O160" s="115" t="s">
        <v>89</v>
      </c>
      <c r="P160">
        <v>0.97939501669302298</v>
      </c>
      <c r="Q160">
        <v>0.92362980822738805</v>
      </c>
      <c r="R160">
        <v>1.1093568103585E-2</v>
      </c>
      <c r="S160">
        <v>9.4950905872349195E-2</v>
      </c>
      <c r="T160">
        <v>-0.61981393039939103</v>
      </c>
      <c r="U160">
        <v>0.61981393039939103</v>
      </c>
      <c r="V160">
        <v>-1.68</v>
      </c>
      <c r="W160">
        <v>0.34</v>
      </c>
      <c r="X160">
        <v>86427</v>
      </c>
      <c r="Y160">
        <v>6173</v>
      </c>
      <c r="Z160">
        <v>0.28999999999999998</v>
      </c>
      <c r="AA160">
        <v>14</v>
      </c>
      <c r="AB160">
        <v>8</v>
      </c>
      <c r="AC160">
        <v>6</v>
      </c>
      <c r="AD160">
        <v>57.14</v>
      </c>
      <c r="AE160">
        <v>15</v>
      </c>
      <c r="AF160">
        <v>1</v>
      </c>
      <c r="AG160">
        <v>1</v>
      </c>
      <c r="AH160">
        <v>12</v>
      </c>
    </row>
    <row r="161" spans="1:34">
      <c r="A161" s="111">
        <v>150</v>
      </c>
      <c r="B161">
        <v>6301</v>
      </c>
      <c r="C161" s="115" t="s">
        <v>143</v>
      </c>
      <c r="D161" s="115" t="s">
        <v>133</v>
      </c>
      <c r="E161">
        <v>2550</v>
      </c>
      <c r="F161">
        <v>2552</v>
      </c>
      <c r="G161">
        <v>400</v>
      </c>
      <c r="H161" s="115" t="s">
        <v>87</v>
      </c>
      <c r="I161">
        <v>6472</v>
      </c>
      <c r="J161" s="115" t="s">
        <v>189</v>
      </c>
      <c r="K161" s="115" t="s">
        <v>133</v>
      </c>
      <c r="L161">
        <v>322</v>
      </c>
      <c r="M161">
        <v>327</v>
      </c>
      <c r="N161">
        <v>3100</v>
      </c>
      <c r="O161" s="115" t="s">
        <v>89</v>
      </c>
      <c r="P161">
        <v>0.96360569585678901</v>
      </c>
      <c r="Q161">
        <v>0.91937762370134901</v>
      </c>
      <c r="R161">
        <v>2.6466195138500501E-2</v>
      </c>
      <c r="S161">
        <v>4.4005954363296098E-3</v>
      </c>
      <c r="T161">
        <v>-0.14134204345988099</v>
      </c>
      <c r="U161">
        <v>0.14134204345988099</v>
      </c>
      <c r="V161">
        <v>-0.64</v>
      </c>
      <c r="W161">
        <v>0.7</v>
      </c>
      <c r="X161">
        <v>85896</v>
      </c>
      <c r="Y161">
        <v>4295</v>
      </c>
      <c r="Z161">
        <v>0.12</v>
      </c>
      <c r="AA161">
        <v>20</v>
      </c>
      <c r="AB161">
        <v>10</v>
      </c>
      <c r="AC161">
        <v>10</v>
      </c>
      <c r="AD161">
        <v>50</v>
      </c>
      <c r="AE161">
        <v>11</v>
      </c>
      <c r="AF161">
        <v>8</v>
      </c>
      <c r="AG161">
        <v>7</v>
      </c>
      <c r="AH161">
        <v>5</v>
      </c>
    </row>
    <row r="162" spans="1:34">
      <c r="A162" s="111">
        <v>32</v>
      </c>
      <c r="B162">
        <v>6856</v>
      </c>
      <c r="C162" s="115" t="s">
        <v>462</v>
      </c>
      <c r="D162" s="115" t="s">
        <v>118</v>
      </c>
      <c r="E162">
        <v>7200</v>
      </c>
      <c r="F162">
        <v>7120</v>
      </c>
      <c r="G162">
        <v>100</v>
      </c>
      <c r="H162" s="115" t="s">
        <v>89</v>
      </c>
      <c r="I162">
        <v>6976</v>
      </c>
      <c r="J162" s="115" t="s">
        <v>463</v>
      </c>
      <c r="K162" s="115" t="s">
        <v>118</v>
      </c>
      <c r="L162">
        <v>2776</v>
      </c>
      <c r="M162">
        <v>2776</v>
      </c>
      <c r="N162">
        <v>300</v>
      </c>
      <c r="O162" s="115" t="s">
        <v>87</v>
      </c>
      <c r="P162">
        <v>0.94159685292268702</v>
      </c>
      <c r="Q162">
        <v>0.94374644718726997</v>
      </c>
      <c r="R162">
        <v>0.26733058595286602</v>
      </c>
      <c r="S162">
        <v>3.6842279893806201E-2</v>
      </c>
      <c r="T162">
        <v>0.246458268149888</v>
      </c>
      <c r="U162">
        <v>0.246458268149888</v>
      </c>
      <c r="V162">
        <v>1.2</v>
      </c>
      <c r="W162">
        <v>16.97</v>
      </c>
      <c r="X162">
        <v>84227</v>
      </c>
      <c r="Y162">
        <v>5264</v>
      </c>
      <c r="Z162">
        <v>0.19</v>
      </c>
      <c r="AA162">
        <v>16</v>
      </c>
      <c r="AB162">
        <v>9</v>
      </c>
      <c r="AC162">
        <v>7</v>
      </c>
      <c r="AD162">
        <v>56.25</v>
      </c>
      <c r="AE162">
        <v>11</v>
      </c>
      <c r="AF162">
        <v>7</v>
      </c>
      <c r="AG162">
        <v>5</v>
      </c>
      <c r="AH162">
        <v>4</v>
      </c>
    </row>
    <row r="163" spans="1:34">
      <c r="A163" s="111">
        <v>229</v>
      </c>
      <c r="B163">
        <v>4202</v>
      </c>
      <c r="C163" s="115" t="s">
        <v>121</v>
      </c>
      <c r="D163" s="115" t="s">
        <v>88</v>
      </c>
      <c r="E163">
        <v>1082</v>
      </c>
      <c r="F163">
        <v>1092</v>
      </c>
      <c r="G163">
        <v>900</v>
      </c>
      <c r="H163" s="115" t="s">
        <v>89</v>
      </c>
      <c r="I163">
        <v>5233</v>
      </c>
      <c r="J163" s="115" t="s">
        <v>205</v>
      </c>
      <c r="K163" s="115" t="s">
        <v>140</v>
      </c>
      <c r="L163">
        <v>3150</v>
      </c>
      <c r="M163">
        <v>3115</v>
      </c>
      <c r="N163">
        <v>300</v>
      </c>
      <c r="O163" s="115" t="s">
        <v>87</v>
      </c>
      <c r="P163">
        <v>0.91595509170817602</v>
      </c>
      <c r="Q163">
        <v>0.90959521446696801</v>
      </c>
      <c r="R163">
        <v>0.154679326878992</v>
      </c>
      <c r="S163" s="20">
        <v>0.106270120098396</v>
      </c>
      <c r="T163">
        <v>2.0777966207167999</v>
      </c>
      <c r="U163">
        <v>2.0777966207167999</v>
      </c>
      <c r="V163">
        <v>9.75</v>
      </c>
      <c r="W163">
        <v>5.17</v>
      </c>
      <c r="X163">
        <v>82184</v>
      </c>
      <c r="Y163">
        <v>4325</v>
      </c>
      <c r="Z163">
        <v>0.16</v>
      </c>
      <c r="AA163">
        <v>19</v>
      </c>
      <c r="AB163">
        <v>9</v>
      </c>
      <c r="AC163">
        <v>10</v>
      </c>
      <c r="AD163">
        <v>47.37</v>
      </c>
      <c r="AE163">
        <v>12</v>
      </c>
      <c r="AF163">
        <v>7</v>
      </c>
      <c r="AG163">
        <v>5</v>
      </c>
      <c r="AH163">
        <v>7</v>
      </c>
    </row>
    <row r="164" spans="1:34">
      <c r="A164" s="111">
        <v>208</v>
      </c>
      <c r="B164">
        <v>6371</v>
      </c>
      <c r="C164" s="115" t="s">
        <v>142</v>
      </c>
      <c r="D164" s="115" t="s">
        <v>133</v>
      </c>
      <c r="E164">
        <v>3765</v>
      </c>
      <c r="F164">
        <v>3780</v>
      </c>
      <c r="G164">
        <v>200</v>
      </c>
      <c r="H164" s="115" t="s">
        <v>87</v>
      </c>
      <c r="I164">
        <v>6752</v>
      </c>
      <c r="J164" s="115" t="s">
        <v>139</v>
      </c>
      <c r="K164" s="115" t="s">
        <v>118</v>
      </c>
      <c r="L164">
        <v>998.1</v>
      </c>
      <c r="M164">
        <v>1005</v>
      </c>
      <c r="N164">
        <v>800</v>
      </c>
      <c r="O164" s="115" t="s">
        <v>89</v>
      </c>
      <c r="P164">
        <v>0.95802432257065295</v>
      </c>
      <c r="Q164">
        <v>0.91221385116651899</v>
      </c>
      <c r="R164">
        <v>3.9845921894022703E-2</v>
      </c>
      <c r="S164">
        <v>0.12708612964003599</v>
      </c>
      <c r="T164">
        <v>-1.7436879116741999</v>
      </c>
      <c r="U164">
        <v>1.7436879116741999</v>
      </c>
      <c r="V164">
        <v>-3.45</v>
      </c>
      <c r="W164">
        <v>6.35</v>
      </c>
      <c r="X164">
        <v>78686</v>
      </c>
      <c r="Y164">
        <v>3747</v>
      </c>
      <c r="Z164">
        <v>0.23</v>
      </c>
      <c r="AA164">
        <v>21</v>
      </c>
      <c r="AB164">
        <v>10</v>
      </c>
      <c r="AC164">
        <v>11</v>
      </c>
      <c r="AD164">
        <v>47.62</v>
      </c>
      <c r="AE164">
        <v>13</v>
      </c>
      <c r="AF164">
        <v>5</v>
      </c>
      <c r="AG164">
        <v>3</v>
      </c>
      <c r="AH164">
        <v>13</v>
      </c>
    </row>
    <row r="165" spans="1:34">
      <c r="A165" s="111">
        <v>67</v>
      </c>
      <c r="B165">
        <v>1820</v>
      </c>
      <c r="C165" s="115" t="s">
        <v>161</v>
      </c>
      <c r="D165" s="115" t="s">
        <v>108</v>
      </c>
      <c r="E165">
        <v>2356</v>
      </c>
      <c r="F165">
        <v>2367</v>
      </c>
      <c r="G165">
        <v>400</v>
      </c>
      <c r="H165" s="115" t="s">
        <v>89</v>
      </c>
      <c r="I165">
        <v>1860</v>
      </c>
      <c r="J165" s="115" t="s">
        <v>145</v>
      </c>
      <c r="K165" s="115" t="s">
        <v>108</v>
      </c>
      <c r="L165">
        <v>671</v>
      </c>
      <c r="M165">
        <v>676</v>
      </c>
      <c r="N165">
        <v>1400</v>
      </c>
      <c r="O165" s="115" t="s">
        <v>87</v>
      </c>
      <c r="P165">
        <v>0.95724298151049403</v>
      </c>
      <c r="Q165">
        <v>0.93521674914055197</v>
      </c>
      <c r="R165">
        <v>0.13425901626296</v>
      </c>
      <c r="S165">
        <v>4.3413647889942501E-2</v>
      </c>
      <c r="T165">
        <v>2.3691553560014298</v>
      </c>
      <c r="U165">
        <v>2.3691553560014298</v>
      </c>
      <c r="V165">
        <v>6.23</v>
      </c>
      <c r="W165">
        <v>0.04</v>
      </c>
      <c r="X165">
        <v>78101</v>
      </c>
      <c r="Y165">
        <v>3550</v>
      </c>
      <c r="Z165">
        <v>0.21</v>
      </c>
      <c r="AA165">
        <v>22</v>
      </c>
      <c r="AB165">
        <v>13</v>
      </c>
      <c r="AC165">
        <v>9</v>
      </c>
      <c r="AD165">
        <v>59.09</v>
      </c>
      <c r="AE165">
        <v>14</v>
      </c>
      <c r="AF165">
        <v>5</v>
      </c>
      <c r="AG165">
        <v>4</v>
      </c>
      <c r="AH165">
        <v>13</v>
      </c>
    </row>
    <row r="166" spans="1:34">
      <c r="A166" s="111">
        <v>273</v>
      </c>
      <c r="B166">
        <v>1963</v>
      </c>
      <c r="C166" s="115" t="s">
        <v>180</v>
      </c>
      <c r="D166" s="115" t="s">
        <v>108</v>
      </c>
      <c r="E166">
        <v>1633</v>
      </c>
      <c r="F166">
        <v>1656</v>
      </c>
      <c r="G166">
        <v>600</v>
      </c>
      <c r="H166" s="115" t="s">
        <v>89</v>
      </c>
      <c r="I166">
        <v>8002</v>
      </c>
      <c r="J166" s="115" t="s">
        <v>57</v>
      </c>
      <c r="K166" s="115" t="s">
        <v>135</v>
      </c>
      <c r="L166">
        <v>794.1</v>
      </c>
      <c r="M166">
        <v>797.4</v>
      </c>
      <c r="N166">
        <v>1200</v>
      </c>
      <c r="O166" s="115" t="s">
        <v>87</v>
      </c>
      <c r="P166">
        <v>0.94917321301823199</v>
      </c>
      <c r="Q166">
        <v>0.90306434761963195</v>
      </c>
      <c r="R166">
        <v>0.27963376566787301</v>
      </c>
      <c r="S166">
        <v>1.2577913417949E-2</v>
      </c>
      <c r="T166">
        <v>1.2579254277390299</v>
      </c>
      <c r="U166">
        <v>1.2579254277390299</v>
      </c>
      <c r="V166">
        <v>5.83</v>
      </c>
      <c r="W166">
        <v>3.7</v>
      </c>
      <c r="X166">
        <v>77916</v>
      </c>
      <c r="Y166">
        <v>3710</v>
      </c>
      <c r="Z166">
        <v>0.18</v>
      </c>
      <c r="AA166">
        <v>21</v>
      </c>
      <c r="AB166">
        <v>13</v>
      </c>
      <c r="AC166">
        <v>8</v>
      </c>
      <c r="AD166">
        <v>61.9</v>
      </c>
      <c r="AE166">
        <v>13</v>
      </c>
      <c r="AF166">
        <v>7</v>
      </c>
      <c r="AG166">
        <v>6</v>
      </c>
      <c r="AH166">
        <v>8</v>
      </c>
    </row>
    <row r="167" spans="1:34">
      <c r="A167" s="111">
        <v>136</v>
      </c>
      <c r="B167">
        <v>8002</v>
      </c>
      <c r="C167" s="115" t="s">
        <v>57</v>
      </c>
      <c r="D167" s="115" t="s">
        <v>135</v>
      </c>
      <c r="E167">
        <v>794.1</v>
      </c>
      <c r="F167">
        <v>797.4</v>
      </c>
      <c r="G167">
        <v>1400</v>
      </c>
      <c r="H167" s="115" t="s">
        <v>89</v>
      </c>
      <c r="I167">
        <v>9072</v>
      </c>
      <c r="J167" s="115" t="s">
        <v>175</v>
      </c>
      <c r="K167" s="115" t="s">
        <v>157</v>
      </c>
      <c r="L167">
        <v>2689</v>
      </c>
      <c r="M167">
        <v>2707</v>
      </c>
      <c r="N167">
        <v>400</v>
      </c>
      <c r="O167" s="115" t="s">
        <v>87</v>
      </c>
      <c r="P167">
        <v>0.96069400493604995</v>
      </c>
      <c r="Q167">
        <v>0.921686404115863</v>
      </c>
      <c r="R167">
        <v>4.9473793984929501E-2</v>
      </c>
      <c r="S167">
        <v>2.5831682394057E-3</v>
      </c>
      <c r="T167">
        <v>0.83476762157999096</v>
      </c>
      <c r="U167">
        <v>0.83476762157999096</v>
      </c>
      <c r="V167">
        <v>1.78</v>
      </c>
      <c r="W167">
        <v>3.1</v>
      </c>
      <c r="X167">
        <v>77791</v>
      </c>
      <c r="Y167">
        <v>4862</v>
      </c>
      <c r="Z167">
        <v>0.24</v>
      </c>
      <c r="AA167">
        <v>16</v>
      </c>
      <c r="AB167">
        <v>8</v>
      </c>
      <c r="AC167">
        <v>8</v>
      </c>
      <c r="AD167">
        <v>50</v>
      </c>
      <c r="AE167">
        <v>16</v>
      </c>
      <c r="AF167">
        <v>4</v>
      </c>
      <c r="AG167">
        <v>1</v>
      </c>
      <c r="AH167">
        <v>11</v>
      </c>
    </row>
    <row r="168" spans="1:34">
      <c r="A168" s="111">
        <v>232</v>
      </c>
      <c r="B168">
        <v>3048</v>
      </c>
      <c r="C168" s="115" t="s">
        <v>410</v>
      </c>
      <c r="D168" s="115" t="s">
        <v>128</v>
      </c>
      <c r="E168">
        <v>1207</v>
      </c>
      <c r="F168">
        <v>1199</v>
      </c>
      <c r="G168">
        <v>900</v>
      </c>
      <c r="H168" s="115" t="s">
        <v>87</v>
      </c>
      <c r="I168">
        <v>8341</v>
      </c>
      <c r="J168" s="115" t="s">
        <v>169</v>
      </c>
      <c r="K168" s="115" t="s">
        <v>113</v>
      </c>
      <c r="L168">
        <v>1723</v>
      </c>
      <c r="M168">
        <v>1736</v>
      </c>
      <c r="N168">
        <v>600</v>
      </c>
      <c r="O168" s="115" t="s">
        <v>89</v>
      </c>
      <c r="P168">
        <v>0.94803991740468696</v>
      </c>
      <c r="Q168">
        <v>0.90892474308747295</v>
      </c>
      <c r="R168">
        <v>9.9877837953885606E-2</v>
      </c>
      <c r="S168">
        <v>0.126746085172981</v>
      </c>
      <c r="T168">
        <v>-0.86072973709292</v>
      </c>
      <c r="U168">
        <v>0.86072973709292</v>
      </c>
      <c r="V168">
        <v>-4.63</v>
      </c>
      <c r="W168">
        <v>3.6</v>
      </c>
      <c r="X168">
        <v>72705</v>
      </c>
      <c r="Y168">
        <v>3462</v>
      </c>
      <c r="Z168">
        <v>0.19</v>
      </c>
      <c r="AA168">
        <v>21</v>
      </c>
      <c r="AB168">
        <v>12</v>
      </c>
      <c r="AC168">
        <v>9</v>
      </c>
      <c r="AD168">
        <v>57.14</v>
      </c>
      <c r="AE168">
        <v>12</v>
      </c>
      <c r="AF168">
        <v>10</v>
      </c>
      <c r="AG168">
        <v>5</v>
      </c>
      <c r="AH168">
        <v>6</v>
      </c>
    </row>
    <row r="169" spans="1:34">
      <c r="A169" s="111">
        <v>20</v>
      </c>
      <c r="B169">
        <v>1944</v>
      </c>
      <c r="C169" s="115" t="s">
        <v>185</v>
      </c>
      <c r="D169" s="115" t="s">
        <v>108</v>
      </c>
      <c r="E169">
        <v>1670</v>
      </c>
      <c r="F169">
        <v>1683</v>
      </c>
      <c r="G169">
        <v>500</v>
      </c>
      <c r="H169" s="115" t="s">
        <v>87</v>
      </c>
      <c r="I169">
        <v>7327</v>
      </c>
      <c r="J169" s="115" t="s">
        <v>200</v>
      </c>
      <c r="K169" s="115" t="s">
        <v>113</v>
      </c>
      <c r="L169">
        <v>2891</v>
      </c>
      <c r="M169">
        <v>2898</v>
      </c>
      <c r="N169">
        <v>300</v>
      </c>
      <c r="O169" s="115" t="s">
        <v>89</v>
      </c>
      <c r="P169">
        <v>0.93118682076224502</v>
      </c>
      <c r="Q169">
        <v>0.94897079246611604</v>
      </c>
      <c r="R169">
        <v>1.18055408733622E-3</v>
      </c>
      <c r="S169">
        <v>1.8020019069330499E-4</v>
      </c>
      <c r="T169">
        <v>-1.0009525335629199</v>
      </c>
      <c r="U169">
        <v>1.0009525335629199</v>
      </c>
      <c r="V169">
        <v>-3.22</v>
      </c>
      <c r="W169">
        <v>3.21</v>
      </c>
      <c r="X169">
        <v>69712</v>
      </c>
      <c r="Y169">
        <v>34856</v>
      </c>
      <c r="Z169">
        <v>1.94</v>
      </c>
      <c r="AA169">
        <v>2</v>
      </c>
      <c r="AB169">
        <v>2</v>
      </c>
      <c r="AC169">
        <v>0</v>
      </c>
      <c r="AD169">
        <v>100</v>
      </c>
      <c r="AE169">
        <v>16</v>
      </c>
      <c r="AF169">
        <v>2</v>
      </c>
      <c r="AG169">
        <v>0</v>
      </c>
      <c r="AH169">
        <v>0</v>
      </c>
    </row>
    <row r="170" spans="1:34">
      <c r="A170" s="111">
        <v>228</v>
      </c>
      <c r="B170">
        <v>3116</v>
      </c>
      <c r="C170" s="115" t="s">
        <v>172</v>
      </c>
      <c r="D170" s="115" t="s">
        <v>115</v>
      </c>
      <c r="E170">
        <v>1698</v>
      </c>
      <c r="F170">
        <v>1694</v>
      </c>
      <c r="G170">
        <v>600</v>
      </c>
      <c r="H170" s="115" t="s">
        <v>89</v>
      </c>
      <c r="I170">
        <v>8002</v>
      </c>
      <c r="J170" s="115" t="s">
        <v>57</v>
      </c>
      <c r="K170" s="115" t="s">
        <v>135</v>
      </c>
      <c r="L170">
        <v>794.1</v>
      </c>
      <c r="M170">
        <v>797.4</v>
      </c>
      <c r="N170">
        <v>1300</v>
      </c>
      <c r="O170" s="115" t="s">
        <v>87</v>
      </c>
      <c r="P170">
        <v>0.951092581526231</v>
      </c>
      <c r="Q170">
        <v>0.90959645132634304</v>
      </c>
      <c r="R170" s="20">
        <v>0.17966970742445601</v>
      </c>
      <c r="S170">
        <v>0.120981232206649</v>
      </c>
      <c r="T170">
        <v>0.85509737282739295</v>
      </c>
      <c r="U170">
        <v>0.85509737282739295</v>
      </c>
      <c r="V170">
        <v>1.62</v>
      </c>
      <c r="W170">
        <v>1.99</v>
      </c>
      <c r="X170">
        <v>69702</v>
      </c>
      <c r="Y170">
        <v>5362</v>
      </c>
      <c r="Z170">
        <v>0.33</v>
      </c>
      <c r="AA170">
        <v>13</v>
      </c>
      <c r="AB170">
        <v>5</v>
      </c>
      <c r="AC170">
        <v>8</v>
      </c>
      <c r="AD170">
        <v>38.46</v>
      </c>
      <c r="AE170">
        <v>16</v>
      </c>
      <c r="AF170">
        <v>4</v>
      </c>
      <c r="AG170">
        <v>0</v>
      </c>
      <c r="AH170">
        <v>9</v>
      </c>
    </row>
    <row r="171" spans="1:34">
      <c r="A171" s="111">
        <v>88</v>
      </c>
      <c r="B171">
        <v>2001</v>
      </c>
      <c r="C171" s="115" t="s">
        <v>426</v>
      </c>
      <c r="D171" s="115" t="s">
        <v>130</v>
      </c>
      <c r="E171">
        <v>1726</v>
      </c>
      <c r="F171">
        <v>1728</v>
      </c>
      <c r="G171">
        <v>600</v>
      </c>
      <c r="H171" s="115" t="s">
        <v>89</v>
      </c>
      <c r="I171">
        <v>7182</v>
      </c>
      <c r="J171" s="115" t="s">
        <v>186</v>
      </c>
      <c r="K171" s="115" t="s">
        <v>113</v>
      </c>
      <c r="L171">
        <v>1050</v>
      </c>
      <c r="M171">
        <v>1051</v>
      </c>
      <c r="N171">
        <v>1000</v>
      </c>
      <c r="O171" s="115" t="s">
        <v>87</v>
      </c>
      <c r="P171">
        <v>0.90974280689259801</v>
      </c>
      <c r="Q171">
        <v>0.93031172541196605</v>
      </c>
      <c r="R171">
        <v>6.4609011012865494E-2</v>
      </c>
      <c r="S171">
        <v>1.9926853175960498E-3</v>
      </c>
      <c r="T171">
        <v>0.30807661535793501</v>
      </c>
      <c r="U171">
        <v>0.30807661535793501</v>
      </c>
      <c r="V171">
        <v>0.57999999999999996</v>
      </c>
      <c r="W171">
        <v>1.37</v>
      </c>
      <c r="X171">
        <v>68140</v>
      </c>
      <c r="Y171">
        <v>3097</v>
      </c>
      <c r="Z171">
        <v>0.13</v>
      </c>
      <c r="AA171">
        <v>22</v>
      </c>
      <c r="AB171">
        <v>12</v>
      </c>
      <c r="AC171">
        <v>10</v>
      </c>
      <c r="AD171">
        <v>54.55</v>
      </c>
      <c r="AE171">
        <v>16</v>
      </c>
      <c r="AF171">
        <v>3</v>
      </c>
      <c r="AG171">
        <v>3</v>
      </c>
      <c r="AH171">
        <v>16</v>
      </c>
    </row>
    <row r="172" spans="1:34">
      <c r="A172" s="111">
        <v>279</v>
      </c>
      <c r="B172">
        <v>5991</v>
      </c>
      <c r="C172" s="115" t="s">
        <v>149</v>
      </c>
      <c r="D172" s="115" t="s">
        <v>150</v>
      </c>
      <c r="E172">
        <v>953</v>
      </c>
      <c r="F172">
        <v>957</v>
      </c>
      <c r="G172">
        <v>1100</v>
      </c>
      <c r="H172" s="115" t="s">
        <v>89</v>
      </c>
      <c r="I172">
        <v>6472</v>
      </c>
      <c r="J172" s="115" t="s">
        <v>189</v>
      </c>
      <c r="K172" s="115" t="s">
        <v>133</v>
      </c>
      <c r="L172">
        <v>322</v>
      </c>
      <c r="M172">
        <v>327</v>
      </c>
      <c r="N172">
        <v>3200</v>
      </c>
      <c r="O172" s="115" t="s">
        <v>87</v>
      </c>
      <c r="P172">
        <v>0.94119933780181297</v>
      </c>
      <c r="Q172">
        <v>0.90229846874089503</v>
      </c>
      <c r="R172">
        <v>4.4322808386941101E-3</v>
      </c>
      <c r="S172">
        <v>0.143822844925173</v>
      </c>
      <c r="T172">
        <v>2.9011814090250301</v>
      </c>
      <c r="U172">
        <v>2.9011814090250301</v>
      </c>
      <c r="V172">
        <v>8.74</v>
      </c>
      <c r="W172">
        <v>0.6</v>
      </c>
      <c r="X172">
        <v>67824</v>
      </c>
      <c r="Y172">
        <v>4239</v>
      </c>
      <c r="Z172">
        <v>0.18</v>
      </c>
      <c r="AA172">
        <v>16</v>
      </c>
      <c r="AB172">
        <v>7</v>
      </c>
      <c r="AC172">
        <v>9</v>
      </c>
      <c r="AD172">
        <v>43.75</v>
      </c>
      <c r="AE172">
        <v>14</v>
      </c>
      <c r="AF172">
        <v>4</v>
      </c>
      <c r="AG172">
        <v>3</v>
      </c>
      <c r="AH172">
        <v>9</v>
      </c>
    </row>
    <row r="173" spans="1:34">
      <c r="A173" s="111">
        <v>11</v>
      </c>
      <c r="B173">
        <v>1944</v>
      </c>
      <c r="C173" s="115" t="s">
        <v>185</v>
      </c>
      <c r="D173" s="115" t="s">
        <v>108</v>
      </c>
      <c r="E173">
        <v>1670</v>
      </c>
      <c r="F173">
        <v>1683</v>
      </c>
      <c r="G173">
        <v>500</v>
      </c>
      <c r="H173" s="115" t="s">
        <v>87</v>
      </c>
      <c r="I173">
        <v>9003</v>
      </c>
      <c r="J173" s="115" t="s">
        <v>437</v>
      </c>
      <c r="K173" s="115" t="s">
        <v>157</v>
      </c>
      <c r="L173">
        <v>3035</v>
      </c>
      <c r="M173">
        <v>3040</v>
      </c>
      <c r="N173">
        <v>300</v>
      </c>
      <c r="O173" s="115" t="s">
        <v>89</v>
      </c>
      <c r="P173">
        <v>0.90875230336128199</v>
      </c>
      <c r="Q173">
        <v>0.95606400494068799</v>
      </c>
      <c r="R173">
        <v>1.6590612445456201E-2</v>
      </c>
      <c r="S173">
        <v>5.5235559601059898E-4</v>
      </c>
      <c r="T173">
        <v>-0.33303181329064302</v>
      </c>
      <c r="U173">
        <v>0.33303181329064302</v>
      </c>
      <c r="V173">
        <v>-0.43</v>
      </c>
      <c r="W173">
        <v>7.73</v>
      </c>
      <c r="X173">
        <v>67177</v>
      </c>
      <c r="Y173">
        <v>3732</v>
      </c>
      <c r="Z173">
        <v>0.17</v>
      </c>
      <c r="AA173">
        <v>18</v>
      </c>
      <c r="AB173">
        <v>8</v>
      </c>
      <c r="AC173">
        <v>10</v>
      </c>
      <c r="AD173">
        <v>44.44</v>
      </c>
      <c r="AE173">
        <v>14</v>
      </c>
      <c r="AF173">
        <v>6</v>
      </c>
      <c r="AG173">
        <v>2</v>
      </c>
      <c r="AH173">
        <v>10</v>
      </c>
    </row>
    <row r="174" spans="1:34">
      <c r="A174" s="111">
        <v>114</v>
      </c>
      <c r="B174">
        <v>7186</v>
      </c>
      <c r="C174" s="115" t="s">
        <v>51</v>
      </c>
      <c r="D174" s="115" t="s">
        <v>113</v>
      </c>
      <c r="E174">
        <v>440</v>
      </c>
      <c r="F174">
        <v>445</v>
      </c>
      <c r="G174">
        <v>1900</v>
      </c>
      <c r="H174" s="115" t="s">
        <v>87</v>
      </c>
      <c r="I174">
        <v>8309</v>
      </c>
      <c r="J174" s="115" t="s">
        <v>52</v>
      </c>
      <c r="K174" s="115" t="s">
        <v>113</v>
      </c>
      <c r="L174">
        <v>4202</v>
      </c>
      <c r="M174">
        <v>4210</v>
      </c>
      <c r="N174">
        <v>200</v>
      </c>
      <c r="O174" s="115" t="s">
        <v>89</v>
      </c>
      <c r="P174">
        <v>0.96059548736731004</v>
      </c>
      <c r="Q174">
        <v>0.92510187518799503</v>
      </c>
      <c r="R174">
        <v>0.116488742998601</v>
      </c>
      <c r="S174" s="20">
        <v>4.1198185272179798E-2</v>
      </c>
      <c r="T174">
        <v>-0.41275400318320599</v>
      </c>
      <c r="U174">
        <v>0.41275400318320599</v>
      </c>
      <c r="V174">
        <v>-1.17</v>
      </c>
      <c r="W174">
        <v>0.42</v>
      </c>
      <c r="X174">
        <v>64521</v>
      </c>
      <c r="Y174">
        <v>3396</v>
      </c>
      <c r="Z174">
        <v>0.18</v>
      </c>
      <c r="AA174">
        <v>19</v>
      </c>
      <c r="AB174">
        <v>9</v>
      </c>
      <c r="AC174">
        <v>10</v>
      </c>
      <c r="AD174">
        <v>47.37</v>
      </c>
      <c r="AE174">
        <v>13</v>
      </c>
      <c r="AF174">
        <v>5</v>
      </c>
      <c r="AG174">
        <v>4</v>
      </c>
      <c r="AH174">
        <v>10</v>
      </c>
    </row>
    <row r="175" spans="1:34">
      <c r="A175" s="111">
        <v>156</v>
      </c>
      <c r="B175">
        <v>7189</v>
      </c>
      <c r="C175" s="115" t="s">
        <v>112</v>
      </c>
      <c r="D175" s="115" t="s">
        <v>113</v>
      </c>
      <c r="E175">
        <v>844</v>
      </c>
      <c r="F175">
        <v>850</v>
      </c>
      <c r="G175">
        <v>1200</v>
      </c>
      <c r="H175" s="115" t="s">
        <v>89</v>
      </c>
      <c r="I175">
        <v>8279</v>
      </c>
      <c r="J175" s="115" t="s">
        <v>421</v>
      </c>
      <c r="K175" s="115" t="s">
        <v>128</v>
      </c>
      <c r="L175">
        <v>5140</v>
      </c>
      <c r="M175">
        <v>5130</v>
      </c>
      <c r="N175">
        <v>200</v>
      </c>
      <c r="O175" s="115" t="s">
        <v>87</v>
      </c>
      <c r="P175">
        <v>0.94370938266524995</v>
      </c>
      <c r="Q175">
        <v>0.91821728683755499</v>
      </c>
      <c r="R175">
        <v>3.63663197237932E-2</v>
      </c>
      <c r="S175">
        <v>7.60160784945276E-2</v>
      </c>
      <c r="T175">
        <v>1.4376810126883699</v>
      </c>
      <c r="U175">
        <v>1.4376810126883699</v>
      </c>
      <c r="V175">
        <v>8.77</v>
      </c>
      <c r="W175">
        <v>0.57999999999999996</v>
      </c>
      <c r="X175">
        <v>62449</v>
      </c>
      <c r="Y175">
        <v>3673</v>
      </c>
      <c r="Z175">
        <v>0.09</v>
      </c>
      <c r="AA175">
        <v>17</v>
      </c>
      <c r="AB175">
        <v>8</v>
      </c>
      <c r="AC175">
        <v>9</v>
      </c>
      <c r="AD175">
        <v>47.06</v>
      </c>
      <c r="AE175">
        <v>13</v>
      </c>
      <c r="AF175">
        <v>7</v>
      </c>
      <c r="AG175">
        <v>4</v>
      </c>
      <c r="AH175">
        <v>6</v>
      </c>
    </row>
    <row r="176" spans="1:34">
      <c r="A176" s="111">
        <v>35</v>
      </c>
      <c r="B176">
        <v>3105</v>
      </c>
      <c r="C176" s="115" t="s">
        <v>122</v>
      </c>
      <c r="D176" s="115" t="s">
        <v>118</v>
      </c>
      <c r="E176">
        <v>956</v>
      </c>
      <c r="F176">
        <v>958</v>
      </c>
      <c r="G176">
        <v>600</v>
      </c>
      <c r="H176" s="115" t="s">
        <v>89</v>
      </c>
      <c r="I176">
        <v>6988</v>
      </c>
      <c r="J176" s="115" t="s">
        <v>197</v>
      </c>
      <c r="K176" s="115" t="s">
        <v>88</v>
      </c>
      <c r="L176">
        <v>6110</v>
      </c>
      <c r="M176">
        <v>6040</v>
      </c>
      <c r="N176">
        <v>100</v>
      </c>
      <c r="O176" s="115" t="s">
        <v>87</v>
      </c>
      <c r="P176">
        <v>0.94949847223739803</v>
      </c>
      <c r="Q176">
        <v>0.94255754322949803</v>
      </c>
      <c r="R176">
        <v>0.113134406266461</v>
      </c>
      <c r="S176">
        <v>3.7045987919910602E-2</v>
      </c>
      <c r="T176">
        <v>2.55070619130572E-2</v>
      </c>
      <c r="U176">
        <v>2.55070619130572E-2</v>
      </c>
      <c r="V176">
        <v>0.06</v>
      </c>
      <c r="W176">
        <v>4.83</v>
      </c>
      <c r="X176">
        <v>59924</v>
      </c>
      <c r="Y176">
        <v>3329</v>
      </c>
      <c r="Z176">
        <v>0.05</v>
      </c>
      <c r="AA176">
        <v>18</v>
      </c>
      <c r="AB176">
        <v>10</v>
      </c>
      <c r="AC176">
        <v>8</v>
      </c>
      <c r="AD176">
        <v>55.56</v>
      </c>
      <c r="AE176">
        <v>12</v>
      </c>
      <c r="AF176">
        <v>6</v>
      </c>
      <c r="AG176">
        <v>5</v>
      </c>
      <c r="AH176">
        <v>7</v>
      </c>
    </row>
    <row r="177" spans="1:34">
      <c r="A177" s="111">
        <v>141</v>
      </c>
      <c r="B177">
        <v>4530</v>
      </c>
      <c r="C177" s="115" t="s">
        <v>199</v>
      </c>
      <c r="D177" s="115" t="s">
        <v>194</v>
      </c>
      <c r="E177">
        <v>5250</v>
      </c>
      <c r="F177">
        <v>5210</v>
      </c>
      <c r="G177">
        <v>200</v>
      </c>
      <c r="H177" s="115" t="s">
        <v>89</v>
      </c>
      <c r="I177">
        <v>8267</v>
      </c>
      <c r="J177" s="115" t="s">
        <v>399</v>
      </c>
      <c r="K177" s="115" t="s">
        <v>128</v>
      </c>
      <c r="L177">
        <v>2237</v>
      </c>
      <c r="M177">
        <v>2235</v>
      </c>
      <c r="N177">
        <v>500</v>
      </c>
      <c r="O177" s="115" t="s">
        <v>87</v>
      </c>
      <c r="P177">
        <v>0.93301204247769498</v>
      </c>
      <c r="Q177">
        <v>0.92082306547989201</v>
      </c>
      <c r="R177">
        <v>0.23213774731004999</v>
      </c>
      <c r="S177">
        <v>8.5006861213593798E-2</v>
      </c>
      <c r="T177">
        <v>0.64507273599013903</v>
      </c>
      <c r="U177">
        <v>0.64507273599013903</v>
      </c>
      <c r="V177">
        <v>1.89</v>
      </c>
      <c r="W177">
        <v>7.25</v>
      </c>
      <c r="X177">
        <v>58626</v>
      </c>
      <c r="Y177">
        <v>5330</v>
      </c>
      <c r="Z177">
        <v>0.3</v>
      </c>
      <c r="AA177">
        <v>11</v>
      </c>
      <c r="AB177">
        <v>6</v>
      </c>
      <c r="AC177">
        <v>5</v>
      </c>
      <c r="AD177">
        <v>54.55</v>
      </c>
      <c r="AE177">
        <v>13</v>
      </c>
      <c r="AF177">
        <v>3</v>
      </c>
      <c r="AG177">
        <v>2</v>
      </c>
      <c r="AH177">
        <v>6</v>
      </c>
    </row>
    <row r="178" spans="1:34">
      <c r="A178" s="111">
        <v>284</v>
      </c>
      <c r="B178">
        <v>5802</v>
      </c>
      <c r="C178" s="115" t="s">
        <v>181</v>
      </c>
      <c r="D178" s="115" t="s">
        <v>182</v>
      </c>
      <c r="E178">
        <v>1526.5</v>
      </c>
      <c r="F178">
        <v>1526.5</v>
      </c>
      <c r="G178">
        <v>700</v>
      </c>
      <c r="H178" s="115" t="s">
        <v>89</v>
      </c>
      <c r="I178">
        <v>7186</v>
      </c>
      <c r="J178" s="115" t="s">
        <v>51</v>
      </c>
      <c r="K178" s="115" t="s">
        <v>113</v>
      </c>
      <c r="L178">
        <v>440</v>
      </c>
      <c r="M178">
        <v>445</v>
      </c>
      <c r="N178">
        <v>2400</v>
      </c>
      <c r="O178" s="115" t="s">
        <v>87</v>
      </c>
      <c r="P178">
        <v>0.97324028924504602</v>
      </c>
      <c r="Q178">
        <v>0.90189420006380505</v>
      </c>
      <c r="R178">
        <v>0.15118309808118999</v>
      </c>
      <c r="S178">
        <v>0.20396327559237201</v>
      </c>
      <c r="T178">
        <v>0.83318102119675697</v>
      </c>
      <c r="U178">
        <v>0.83318102119675697</v>
      </c>
      <c r="V178">
        <v>1.47</v>
      </c>
      <c r="W178">
        <v>0.05</v>
      </c>
      <c r="X178">
        <v>57753</v>
      </c>
      <c r="Y178">
        <v>3208</v>
      </c>
      <c r="Z178">
        <v>0.11</v>
      </c>
      <c r="AA178">
        <v>18</v>
      </c>
      <c r="AB178">
        <v>11</v>
      </c>
      <c r="AC178">
        <v>7</v>
      </c>
      <c r="AD178">
        <v>61.11</v>
      </c>
      <c r="AE178">
        <v>13</v>
      </c>
      <c r="AF178">
        <v>5</v>
      </c>
      <c r="AG178">
        <v>6</v>
      </c>
      <c r="AH178">
        <v>7</v>
      </c>
    </row>
    <row r="179" spans="1:34">
      <c r="A179" s="111">
        <v>57</v>
      </c>
      <c r="B179">
        <v>4182</v>
      </c>
      <c r="C179" s="115" t="s">
        <v>119</v>
      </c>
      <c r="D179" s="115" t="s">
        <v>88</v>
      </c>
      <c r="E179">
        <v>1620</v>
      </c>
      <c r="F179">
        <v>1632</v>
      </c>
      <c r="G179">
        <v>500</v>
      </c>
      <c r="H179" s="115" t="s">
        <v>89</v>
      </c>
      <c r="I179">
        <v>6371</v>
      </c>
      <c r="J179" s="115" t="s">
        <v>142</v>
      </c>
      <c r="K179" s="115" t="s">
        <v>133</v>
      </c>
      <c r="L179">
        <v>3765</v>
      </c>
      <c r="M179">
        <v>3780</v>
      </c>
      <c r="N179">
        <v>200</v>
      </c>
      <c r="O179" s="115" t="s">
        <v>87</v>
      </c>
      <c r="P179">
        <v>0.96687883270153896</v>
      </c>
      <c r="Q179">
        <v>0.93663463356500598</v>
      </c>
      <c r="R179">
        <v>0.115755669975579</v>
      </c>
      <c r="S179">
        <v>1.29812090101105E-2</v>
      </c>
      <c r="T179">
        <v>1.26222425172909</v>
      </c>
      <c r="U179">
        <v>1.26222425172909</v>
      </c>
      <c r="V179">
        <v>5.17</v>
      </c>
      <c r="W179">
        <v>7.94</v>
      </c>
      <c r="X179">
        <v>55936</v>
      </c>
      <c r="Y179">
        <v>4661</v>
      </c>
      <c r="Z179">
        <v>0.32</v>
      </c>
      <c r="AA179">
        <v>12</v>
      </c>
      <c r="AB179">
        <v>7</v>
      </c>
      <c r="AC179">
        <v>5</v>
      </c>
      <c r="AD179">
        <v>58.33</v>
      </c>
      <c r="AE179">
        <v>13</v>
      </c>
      <c r="AF179">
        <v>3</v>
      </c>
      <c r="AG179">
        <v>2</v>
      </c>
      <c r="AH179">
        <v>7</v>
      </c>
    </row>
    <row r="180" spans="1:34">
      <c r="A180" s="111">
        <v>281</v>
      </c>
      <c r="B180">
        <v>3099</v>
      </c>
      <c r="C180" s="115" t="s">
        <v>90</v>
      </c>
      <c r="D180" s="115" t="s">
        <v>128</v>
      </c>
      <c r="E180">
        <v>990</v>
      </c>
      <c r="F180">
        <v>981</v>
      </c>
      <c r="G180">
        <v>1000</v>
      </c>
      <c r="H180" s="115" t="s">
        <v>89</v>
      </c>
      <c r="I180">
        <v>8377</v>
      </c>
      <c r="J180" s="115" t="s">
        <v>127</v>
      </c>
      <c r="K180" s="115" t="s">
        <v>113</v>
      </c>
      <c r="L180">
        <v>1116</v>
      </c>
      <c r="M180">
        <v>1116</v>
      </c>
      <c r="N180">
        <v>900</v>
      </c>
      <c r="O180" s="115" t="s">
        <v>87</v>
      </c>
      <c r="P180">
        <v>0.91672337176015395</v>
      </c>
      <c r="Q180">
        <v>0.90226142945614496</v>
      </c>
      <c r="R180">
        <v>0.13462495205866601</v>
      </c>
      <c r="S180">
        <v>0.32336000505543899</v>
      </c>
      <c r="T180">
        <v>1.49332336807307</v>
      </c>
      <c r="U180">
        <v>1.49332336807307</v>
      </c>
      <c r="V180">
        <v>5.63</v>
      </c>
      <c r="W180">
        <v>2.33</v>
      </c>
      <c r="X180">
        <v>54617</v>
      </c>
      <c r="Y180">
        <v>3414</v>
      </c>
      <c r="Z180">
        <v>0.22</v>
      </c>
      <c r="AA180">
        <v>16</v>
      </c>
      <c r="AB180">
        <v>8</v>
      </c>
      <c r="AC180">
        <v>8</v>
      </c>
      <c r="AD180">
        <v>50</v>
      </c>
      <c r="AE180">
        <v>15</v>
      </c>
      <c r="AF180">
        <v>4</v>
      </c>
      <c r="AG180">
        <v>2</v>
      </c>
      <c r="AH180">
        <v>10</v>
      </c>
    </row>
    <row r="181" spans="1:34">
      <c r="A181" s="111">
        <v>82</v>
      </c>
      <c r="B181">
        <v>6457</v>
      </c>
      <c r="C181" s="115" t="s">
        <v>416</v>
      </c>
      <c r="D181" s="115" t="s">
        <v>133</v>
      </c>
      <c r="E181">
        <v>3320</v>
      </c>
      <c r="F181">
        <v>3300</v>
      </c>
      <c r="G181">
        <v>300</v>
      </c>
      <c r="H181" s="115" t="s">
        <v>87</v>
      </c>
      <c r="I181">
        <v>6755</v>
      </c>
      <c r="J181" s="115" t="s">
        <v>464</v>
      </c>
      <c r="K181" s="115" t="s">
        <v>118</v>
      </c>
      <c r="L181">
        <v>2052</v>
      </c>
      <c r="M181">
        <v>2038</v>
      </c>
      <c r="N181">
        <v>500</v>
      </c>
      <c r="O181" s="115" t="s">
        <v>89</v>
      </c>
      <c r="P181">
        <v>0.92851074900090003</v>
      </c>
      <c r="Q181">
        <v>0.93232455367425304</v>
      </c>
      <c r="R181">
        <v>1.0739055012918899E-2</v>
      </c>
      <c r="S181" s="20">
        <v>2.8441643167182399E-3</v>
      </c>
      <c r="T181">
        <v>-1.62514138579844</v>
      </c>
      <c r="U181">
        <v>1.62514138579844</v>
      </c>
      <c r="V181">
        <v>-4.3899999999999997</v>
      </c>
      <c r="W181">
        <v>2.93</v>
      </c>
      <c r="X181">
        <v>54333</v>
      </c>
      <c r="Y181">
        <v>3622</v>
      </c>
      <c r="Z181">
        <v>0.2</v>
      </c>
      <c r="AA181">
        <v>15</v>
      </c>
      <c r="AB181">
        <v>9</v>
      </c>
      <c r="AC181">
        <v>6</v>
      </c>
      <c r="AD181">
        <v>60</v>
      </c>
      <c r="AE181">
        <v>13</v>
      </c>
      <c r="AF181">
        <v>5</v>
      </c>
      <c r="AG181">
        <v>3</v>
      </c>
      <c r="AH181">
        <v>7</v>
      </c>
    </row>
    <row r="182" spans="1:34">
      <c r="A182" s="111">
        <v>257</v>
      </c>
      <c r="B182">
        <v>1808</v>
      </c>
      <c r="C182" s="115" t="s">
        <v>458</v>
      </c>
      <c r="D182" s="115" t="s">
        <v>108</v>
      </c>
      <c r="E182">
        <v>1383</v>
      </c>
      <c r="F182">
        <v>1401</v>
      </c>
      <c r="G182">
        <v>800</v>
      </c>
      <c r="H182" s="115" t="s">
        <v>87</v>
      </c>
      <c r="I182">
        <v>8253</v>
      </c>
      <c r="J182" s="115" t="s">
        <v>459</v>
      </c>
      <c r="K182" s="115" t="s">
        <v>388</v>
      </c>
      <c r="L182">
        <v>1814</v>
      </c>
      <c r="M182">
        <v>1808</v>
      </c>
      <c r="N182">
        <v>600</v>
      </c>
      <c r="O182" s="115" t="s">
        <v>89</v>
      </c>
      <c r="P182">
        <v>0.96250361607774004</v>
      </c>
      <c r="Q182">
        <v>0.90521348629767495</v>
      </c>
      <c r="R182" s="20">
        <v>1.7294800485008199E-2</v>
      </c>
      <c r="S182">
        <v>9.1637372031378398E-3</v>
      </c>
      <c r="T182">
        <v>-2.5311872947654499</v>
      </c>
      <c r="U182">
        <v>2.5311872947654499</v>
      </c>
      <c r="V182">
        <v>-16.079999999999998</v>
      </c>
      <c r="W182">
        <v>3.32</v>
      </c>
      <c r="X182">
        <v>53774</v>
      </c>
      <c r="Y182">
        <v>3361</v>
      </c>
      <c r="Z182">
        <v>0.13</v>
      </c>
      <c r="AA182">
        <v>16</v>
      </c>
      <c r="AB182">
        <v>8</v>
      </c>
      <c r="AC182">
        <v>8</v>
      </c>
      <c r="AD182">
        <v>50</v>
      </c>
      <c r="AE182">
        <v>11</v>
      </c>
      <c r="AF182">
        <v>6</v>
      </c>
      <c r="AG182">
        <v>5</v>
      </c>
      <c r="AH182">
        <v>5</v>
      </c>
    </row>
    <row r="183" spans="1:34">
      <c r="A183" s="111">
        <v>116</v>
      </c>
      <c r="B183">
        <v>7167</v>
      </c>
      <c r="C183" s="115" t="s">
        <v>134</v>
      </c>
      <c r="D183" s="115" t="s">
        <v>113</v>
      </c>
      <c r="E183">
        <v>281</v>
      </c>
      <c r="F183">
        <v>282</v>
      </c>
      <c r="G183">
        <v>3500</v>
      </c>
      <c r="H183" s="115" t="s">
        <v>89</v>
      </c>
      <c r="I183">
        <v>8795</v>
      </c>
      <c r="J183" s="115" t="s">
        <v>191</v>
      </c>
      <c r="K183" s="115" t="s">
        <v>144</v>
      </c>
      <c r="L183">
        <v>1254</v>
      </c>
      <c r="M183">
        <v>1243</v>
      </c>
      <c r="N183">
        <v>800</v>
      </c>
      <c r="O183" s="115" t="s">
        <v>87</v>
      </c>
      <c r="P183">
        <v>0.96604379209781099</v>
      </c>
      <c r="Q183">
        <v>0.924582669993532</v>
      </c>
      <c r="R183">
        <v>0.19308814128179799</v>
      </c>
      <c r="S183">
        <v>0.14944481852286201</v>
      </c>
      <c r="T183">
        <v>7.5973845025096895E-2</v>
      </c>
      <c r="U183">
        <v>7.5973845025096895E-2</v>
      </c>
      <c r="V183">
        <v>0.2</v>
      </c>
      <c r="W183">
        <v>0.74</v>
      </c>
      <c r="X183">
        <v>53531</v>
      </c>
      <c r="Y183">
        <v>3569</v>
      </c>
      <c r="Z183">
        <v>0.13</v>
      </c>
      <c r="AA183">
        <v>15</v>
      </c>
      <c r="AB183">
        <v>8</v>
      </c>
      <c r="AC183">
        <v>7</v>
      </c>
      <c r="AD183">
        <v>53.33</v>
      </c>
      <c r="AE183">
        <v>15</v>
      </c>
      <c r="AF183">
        <v>2</v>
      </c>
      <c r="AG183">
        <v>1</v>
      </c>
      <c r="AH183">
        <v>12</v>
      </c>
    </row>
    <row r="184" spans="1:34">
      <c r="A184" s="111">
        <v>294</v>
      </c>
      <c r="B184">
        <v>1860</v>
      </c>
      <c r="C184" s="115" t="s">
        <v>145</v>
      </c>
      <c r="D184" s="115" t="s">
        <v>108</v>
      </c>
      <c r="E184">
        <v>671</v>
      </c>
      <c r="F184">
        <v>676</v>
      </c>
      <c r="G184">
        <v>1100</v>
      </c>
      <c r="H184" s="115" t="s">
        <v>87</v>
      </c>
      <c r="I184">
        <v>6371</v>
      </c>
      <c r="J184" s="115" t="s">
        <v>142</v>
      </c>
      <c r="K184" s="115" t="s">
        <v>133</v>
      </c>
      <c r="L184">
        <v>3765</v>
      </c>
      <c r="M184">
        <v>3780</v>
      </c>
      <c r="N184">
        <v>200</v>
      </c>
      <c r="O184" s="115" t="s">
        <v>89</v>
      </c>
      <c r="P184">
        <v>0.96538376928716296</v>
      </c>
      <c r="Q184">
        <v>0.90012120530111595</v>
      </c>
      <c r="R184" s="20">
        <v>0.30150888517293001</v>
      </c>
      <c r="S184">
        <v>1.5488961002566101E-2</v>
      </c>
      <c r="T184">
        <v>-0.12812177673476899</v>
      </c>
      <c r="U184">
        <v>0.12812177673476899</v>
      </c>
      <c r="V184">
        <v>-0.36</v>
      </c>
      <c r="W184">
        <v>1.64</v>
      </c>
      <c r="X184">
        <v>53005</v>
      </c>
      <c r="Y184">
        <v>2790</v>
      </c>
      <c r="Z184">
        <v>0.12</v>
      </c>
      <c r="AA184">
        <v>19</v>
      </c>
      <c r="AB184">
        <v>10</v>
      </c>
      <c r="AC184">
        <v>9</v>
      </c>
      <c r="AD184">
        <v>52.63</v>
      </c>
      <c r="AE184">
        <v>12</v>
      </c>
      <c r="AF184">
        <v>7</v>
      </c>
      <c r="AG184">
        <v>6</v>
      </c>
      <c r="AH184">
        <v>6</v>
      </c>
    </row>
    <row r="185" spans="1:34">
      <c r="A185" s="111">
        <v>2</v>
      </c>
      <c r="B185">
        <v>1333</v>
      </c>
      <c r="C185" s="115" t="s">
        <v>449</v>
      </c>
      <c r="D185" s="115" t="s">
        <v>450</v>
      </c>
      <c r="E185">
        <v>2924</v>
      </c>
      <c r="F185">
        <v>2897</v>
      </c>
      <c r="G185">
        <v>300</v>
      </c>
      <c r="H185" s="115" t="s">
        <v>87</v>
      </c>
      <c r="I185">
        <v>9956</v>
      </c>
      <c r="J185" s="115" t="s">
        <v>424</v>
      </c>
      <c r="K185" s="115" t="s">
        <v>128</v>
      </c>
      <c r="L185">
        <v>2057</v>
      </c>
      <c r="M185">
        <v>2055</v>
      </c>
      <c r="N185">
        <v>400</v>
      </c>
      <c r="O185" s="115" t="s">
        <v>89</v>
      </c>
      <c r="P185">
        <v>0.90902853355206803</v>
      </c>
      <c r="Q185">
        <v>0.97059156281178105</v>
      </c>
      <c r="R185">
        <v>2.3679176497684801E-4</v>
      </c>
      <c r="S185">
        <v>4.2373264491950202E-3</v>
      </c>
      <c r="T185">
        <v>-1.71700903534734</v>
      </c>
      <c r="U185">
        <v>1.71700903534734</v>
      </c>
      <c r="V185">
        <v>-5.77</v>
      </c>
      <c r="W185">
        <v>5.42</v>
      </c>
      <c r="X185">
        <v>51981</v>
      </c>
      <c r="Y185">
        <v>3249</v>
      </c>
      <c r="Z185">
        <v>0.03</v>
      </c>
      <c r="AA185">
        <v>16</v>
      </c>
      <c r="AB185">
        <v>10</v>
      </c>
      <c r="AC185">
        <v>6</v>
      </c>
      <c r="AD185">
        <v>62.5</v>
      </c>
      <c r="AE185">
        <v>12</v>
      </c>
      <c r="AF185">
        <v>5</v>
      </c>
      <c r="AG185">
        <v>4</v>
      </c>
      <c r="AH185">
        <v>7</v>
      </c>
    </row>
    <row r="186" spans="1:34">
      <c r="A186" s="111">
        <v>26</v>
      </c>
      <c r="B186">
        <v>7189</v>
      </c>
      <c r="C186" s="115" t="s">
        <v>112</v>
      </c>
      <c r="D186" s="115" t="s">
        <v>113</v>
      </c>
      <c r="E186">
        <v>844</v>
      </c>
      <c r="F186">
        <v>850</v>
      </c>
      <c r="G186">
        <v>1000</v>
      </c>
      <c r="H186" s="115" t="s">
        <v>89</v>
      </c>
      <c r="I186">
        <v>7327</v>
      </c>
      <c r="J186" s="115" t="s">
        <v>200</v>
      </c>
      <c r="K186" s="115" t="s">
        <v>113</v>
      </c>
      <c r="L186">
        <v>2891</v>
      </c>
      <c r="M186">
        <v>2898</v>
      </c>
      <c r="N186">
        <v>300</v>
      </c>
      <c r="O186" s="115" t="s">
        <v>87</v>
      </c>
      <c r="P186">
        <v>0.96965964567931195</v>
      </c>
      <c r="Q186">
        <v>0.94684623099340304</v>
      </c>
      <c r="R186">
        <v>9.0226239439861494E-2</v>
      </c>
      <c r="S186">
        <v>7.2066049312057595E-2</v>
      </c>
      <c r="T186">
        <v>1.24203127331814</v>
      </c>
      <c r="U186">
        <v>1.24203127331814</v>
      </c>
      <c r="V186">
        <v>5.32</v>
      </c>
      <c r="W186">
        <v>2.23</v>
      </c>
      <c r="X186">
        <v>47900</v>
      </c>
      <c r="Y186">
        <v>11975</v>
      </c>
      <c r="Z186">
        <v>0.68</v>
      </c>
      <c r="AA186">
        <v>4</v>
      </c>
      <c r="AB186">
        <v>2</v>
      </c>
      <c r="AC186">
        <v>2</v>
      </c>
      <c r="AD186">
        <v>50</v>
      </c>
      <c r="AE186">
        <v>10</v>
      </c>
      <c r="AF186">
        <v>2</v>
      </c>
      <c r="AG186">
        <v>1</v>
      </c>
      <c r="AH186">
        <v>1</v>
      </c>
    </row>
    <row r="187" spans="1:34">
      <c r="A187" s="111">
        <v>274</v>
      </c>
      <c r="B187">
        <v>7278</v>
      </c>
      <c r="C187" s="115" t="s">
        <v>114</v>
      </c>
      <c r="D187" s="115" t="s">
        <v>115</v>
      </c>
      <c r="E187">
        <v>2389</v>
      </c>
      <c r="F187">
        <v>2377</v>
      </c>
      <c r="G187">
        <v>400</v>
      </c>
      <c r="H187" s="115" t="s">
        <v>89</v>
      </c>
      <c r="I187">
        <v>7327</v>
      </c>
      <c r="J187" s="115" t="s">
        <v>200</v>
      </c>
      <c r="K187" s="115" t="s">
        <v>113</v>
      </c>
      <c r="L187">
        <v>2891</v>
      </c>
      <c r="M187">
        <v>2898</v>
      </c>
      <c r="N187">
        <v>300</v>
      </c>
      <c r="O187" s="115" t="s">
        <v>87</v>
      </c>
      <c r="P187">
        <v>0.90306406571432896</v>
      </c>
      <c r="Q187">
        <v>0.90300491826012497</v>
      </c>
      <c r="R187">
        <v>0.21554163729793499</v>
      </c>
      <c r="S187">
        <v>3.2689083097877401E-2</v>
      </c>
      <c r="T187">
        <v>0.47312961679686899</v>
      </c>
      <c r="U187">
        <v>0.47312961679686899</v>
      </c>
      <c r="V187">
        <v>1.91</v>
      </c>
      <c r="W187">
        <v>9.36</v>
      </c>
      <c r="X187">
        <v>47830</v>
      </c>
      <c r="Y187">
        <v>47830</v>
      </c>
      <c r="Z187">
        <v>2.29</v>
      </c>
      <c r="AA187">
        <v>1</v>
      </c>
      <c r="AB187">
        <v>1</v>
      </c>
      <c r="AC187">
        <v>0</v>
      </c>
      <c r="AD187">
        <v>100</v>
      </c>
      <c r="AE187">
        <v>6</v>
      </c>
      <c r="AF187">
        <v>1</v>
      </c>
      <c r="AG187">
        <v>0</v>
      </c>
      <c r="AH187">
        <v>0</v>
      </c>
    </row>
    <row r="188" spans="1:34">
      <c r="A188" s="111">
        <v>240</v>
      </c>
      <c r="B188">
        <v>7327</v>
      </c>
      <c r="C188" s="115" t="s">
        <v>200</v>
      </c>
      <c r="D188" s="115" t="s">
        <v>113</v>
      </c>
      <c r="E188">
        <v>2891</v>
      </c>
      <c r="F188">
        <v>2898</v>
      </c>
      <c r="G188">
        <v>300</v>
      </c>
      <c r="H188" s="115" t="s">
        <v>87</v>
      </c>
      <c r="I188">
        <v>9956</v>
      </c>
      <c r="J188" s="115" t="s">
        <v>424</v>
      </c>
      <c r="K188" s="115" t="s">
        <v>128</v>
      </c>
      <c r="L188">
        <v>2057</v>
      </c>
      <c r="M188">
        <v>2055</v>
      </c>
      <c r="N188">
        <v>400</v>
      </c>
      <c r="O188" s="115" t="s">
        <v>89</v>
      </c>
      <c r="P188">
        <v>0.92846972615566703</v>
      </c>
      <c r="Q188">
        <v>0.90823761411130499</v>
      </c>
      <c r="R188">
        <v>4.6079873128793698E-2</v>
      </c>
      <c r="S188">
        <v>1.9435296207971901E-2</v>
      </c>
      <c r="T188">
        <v>-0.31403626868648898</v>
      </c>
      <c r="U188">
        <v>0.31403626868648898</v>
      </c>
      <c r="V188">
        <v>-1.36</v>
      </c>
      <c r="W188">
        <v>5.45</v>
      </c>
      <c r="X188">
        <v>47107</v>
      </c>
      <c r="Y188">
        <v>11777</v>
      </c>
      <c r="Z188">
        <v>0.69</v>
      </c>
      <c r="AA188">
        <v>4</v>
      </c>
      <c r="AB188">
        <v>3</v>
      </c>
      <c r="AC188">
        <v>1</v>
      </c>
      <c r="AD188">
        <v>75</v>
      </c>
      <c r="AE188">
        <v>7</v>
      </c>
      <c r="AF188">
        <v>2</v>
      </c>
      <c r="AG188">
        <v>1</v>
      </c>
      <c r="AH188">
        <v>1</v>
      </c>
    </row>
    <row r="189" spans="1:34">
      <c r="A189" s="111">
        <v>8</v>
      </c>
      <c r="B189">
        <v>6471</v>
      </c>
      <c r="C189" s="115" t="s">
        <v>196</v>
      </c>
      <c r="D189" s="115" t="s">
        <v>133</v>
      </c>
      <c r="E189">
        <v>1020</v>
      </c>
      <c r="F189">
        <v>1022</v>
      </c>
      <c r="G189">
        <v>1100</v>
      </c>
      <c r="H189" s="115" t="s">
        <v>89</v>
      </c>
      <c r="I189">
        <v>6473</v>
      </c>
      <c r="J189" s="115" t="s">
        <v>184</v>
      </c>
      <c r="K189" s="115" t="s">
        <v>133</v>
      </c>
      <c r="L189">
        <v>1370</v>
      </c>
      <c r="M189">
        <v>1366</v>
      </c>
      <c r="N189">
        <v>800</v>
      </c>
      <c r="O189" s="115" t="s">
        <v>87</v>
      </c>
      <c r="P189">
        <v>0.98636325871471098</v>
      </c>
      <c r="Q189">
        <v>0.95677988300517702</v>
      </c>
      <c r="R189">
        <v>2.0260262846651899E-2</v>
      </c>
      <c r="S189">
        <v>1.9612239285590902E-2</v>
      </c>
      <c r="T189">
        <v>0.14642689102251399</v>
      </c>
      <c r="U189">
        <v>0.14642689102251399</v>
      </c>
      <c r="V189">
        <v>0.27</v>
      </c>
      <c r="W189">
        <v>2.87</v>
      </c>
      <c r="X189">
        <v>46361</v>
      </c>
      <c r="Y189">
        <v>3863</v>
      </c>
      <c r="Z189">
        <v>0.19</v>
      </c>
      <c r="AA189">
        <v>12</v>
      </c>
      <c r="AB189">
        <v>8</v>
      </c>
      <c r="AC189">
        <v>4</v>
      </c>
      <c r="AD189">
        <v>66.67</v>
      </c>
      <c r="AE189">
        <v>16</v>
      </c>
      <c r="AF189">
        <v>1</v>
      </c>
      <c r="AG189">
        <v>1</v>
      </c>
      <c r="AH189">
        <v>10</v>
      </c>
    </row>
    <row r="190" spans="1:34">
      <c r="A190" s="111">
        <v>102</v>
      </c>
      <c r="B190">
        <v>4202</v>
      </c>
      <c r="C190" s="115" t="s">
        <v>121</v>
      </c>
      <c r="D190" s="115" t="s">
        <v>88</v>
      </c>
      <c r="E190">
        <v>1082</v>
      </c>
      <c r="F190">
        <v>1092</v>
      </c>
      <c r="G190">
        <v>800</v>
      </c>
      <c r="H190" s="115" t="s">
        <v>89</v>
      </c>
      <c r="I190">
        <v>7327</v>
      </c>
      <c r="J190" s="115" t="s">
        <v>200</v>
      </c>
      <c r="K190" s="115" t="s">
        <v>113</v>
      </c>
      <c r="L190">
        <v>2891</v>
      </c>
      <c r="M190">
        <v>2898</v>
      </c>
      <c r="N190">
        <v>300</v>
      </c>
      <c r="O190" s="115" t="s">
        <v>87</v>
      </c>
      <c r="P190">
        <v>0.92959314700260098</v>
      </c>
      <c r="Q190">
        <v>0.92642131644658599</v>
      </c>
      <c r="R190">
        <v>0.36082872472269401</v>
      </c>
      <c r="S190">
        <v>7.3172372871927405E-2</v>
      </c>
      <c r="T190">
        <v>1.6120135342181301</v>
      </c>
      <c r="U190">
        <v>1.6120135342181301</v>
      </c>
      <c r="V190">
        <v>8.6199999999999992</v>
      </c>
      <c r="W190">
        <v>0.48</v>
      </c>
      <c r="X190">
        <v>41676</v>
      </c>
      <c r="Y190">
        <v>13892</v>
      </c>
      <c r="Z190">
        <v>0.69</v>
      </c>
      <c r="AA190">
        <v>3</v>
      </c>
      <c r="AB190">
        <v>2</v>
      </c>
      <c r="AC190">
        <v>1</v>
      </c>
      <c r="AD190">
        <v>66.67</v>
      </c>
      <c r="AE190">
        <v>16</v>
      </c>
      <c r="AF190">
        <v>0</v>
      </c>
      <c r="AG190">
        <v>0</v>
      </c>
      <c r="AH190">
        <v>3</v>
      </c>
    </row>
    <row r="191" spans="1:34">
      <c r="A191" s="111">
        <v>245</v>
      </c>
      <c r="B191">
        <v>7846</v>
      </c>
      <c r="C191" s="115" t="s">
        <v>166</v>
      </c>
      <c r="D191" s="115" t="s">
        <v>120</v>
      </c>
      <c r="E191">
        <v>4240</v>
      </c>
      <c r="F191">
        <v>4215</v>
      </c>
      <c r="G191">
        <v>200</v>
      </c>
      <c r="H191" s="115" t="s">
        <v>87</v>
      </c>
      <c r="I191">
        <v>8795</v>
      </c>
      <c r="J191" s="115" t="s">
        <v>191</v>
      </c>
      <c r="K191" s="115" t="s">
        <v>144</v>
      </c>
      <c r="L191">
        <v>1254</v>
      </c>
      <c r="M191">
        <v>1243</v>
      </c>
      <c r="N191">
        <v>700</v>
      </c>
      <c r="O191" s="115" t="s">
        <v>89</v>
      </c>
      <c r="P191">
        <v>0.91532739134339502</v>
      </c>
      <c r="Q191">
        <v>0.90704176967438599</v>
      </c>
      <c r="R191">
        <v>0.20741304380510101</v>
      </c>
      <c r="S191">
        <v>0.35737964763542601</v>
      </c>
      <c r="T191">
        <v>-0.40550195581237403</v>
      </c>
      <c r="U191">
        <v>0.40550195581237403</v>
      </c>
      <c r="V191">
        <v>-1.31</v>
      </c>
      <c r="W191">
        <v>3.21</v>
      </c>
      <c r="X191">
        <v>39660</v>
      </c>
      <c r="Y191">
        <v>2087</v>
      </c>
      <c r="Z191">
        <v>0.24</v>
      </c>
      <c r="AA191">
        <v>19</v>
      </c>
      <c r="AB191">
        <v>10</v>
      </c>
      <c r="AC191">
        <v>9</v>
      </c>
      <c r="AD191">
        <v>52.63</v>
      </c>
      <c r="AE191">
        <v>11</v>
      </c>
      <c r="AF191">
        <v>9</v>
      </c>
      <c r="AG191">
        <v>6</v>
      </c>
      <c r="AH191">
        <v>4</v>
      </c>
    </row>
    <row r="192" spans="1:34">
      <c r="A192" s="111">
        <v>200</v>
      </c>
      <c r="B192">
        <v>3148</v>
      </c>
      <c r="C192" s="115" t="s">
        <v>390</v>
      </c>
      <c r="D192" s="115" t="s">
        <v>128</v>
      </c>
      <c r="E192">
        <v>2688</v>
      </c>
      <c r="F192">
        <v>2718</v>
      </c>
      <c r="G192">
        <v>400</v>
      </c>
      <c r="H192" s="115" t="s">
        <v>87</v>
      </c>
      <c r="I192">
        <v>8410</v>
      </c>
      <c r="J192" s="115" t="s">
        <v>393</v>
      </c>
      <c r="K192" s="115" t="s">
        <v>113</v>
      </c>
      <c r="L192">
        <v>333</v>
      </c>
      <c r="M192">
        <v>338</v>
      </c>
      <c r="N192">
        <v>3200</v>
      </c>
      <c r="O192" s="115" t="s">
        <v>89</v>
      </c>
      <c r="P192">
        <v>0.91781849943433402</v>
      </c>
      <c r="Q192">
        <v>0.91324493087201097</v>
      </c>
      <c r="R192">
        <v>0.29589961967171702</v>
      </c>
      <c r="S192">
        <v>8.4688891618867699E-3</v>
      </c>
      <c r="T192">
        <v>-1.92826002708098</v>
      </c>
      <c r="U192">
        <v>1.92826002708098</v>
      </c>
      <c r="V192">
        <v>-5.12</v>
      </c>
      <c r="W192">
        <v>0.52</v>
      </c>
      <c r="X192">
        <v>38674</v>
      </c>
      <c r="Y192">
        <v>2578</v>
      </c>
      <c r="Z192">
        <v>0.12</v>
      </c>
      <c r="AA192">
        <v>15</v>
      </c>
      <c r="AB192">
        <v>8</v>
      </c>
      <c r="AC192">
        <v>7</v>
      </c>
      <c r="AD192">
        <v>53.33</v>
      </c>
      <c r="AE192">
        <v>11</v>
      </c>
      <c r="AF192">
        <v>5</v>
      </c>
      <c r="AG192">
        <v>4</v>
      </c>
      <c r="AH192">
        <v>6</v>
      </c>
    </row>
    <row r="193" spans="1:34">
      <c r="A193" s="111">
        <v>244</v>
      </c>
      <c r="B193">
        <v>2801</v>
      </c>
      <c r="C193" s="115" t="s">
        <v>461</v>
      </c>
      <c r="D193" s="115" t="s">
        <v>130</v>
      </c>
      <c r="E193">
        <v>5480</v>
      </c>
      <c r="F193">
        <v>5530</v>
      </c>
      <c r="G193">
        <v>100</v>
      </c>
      <c r="H193" s="115" t="s">
        <v>89</v>
      </c>
      <c r="I193">
        <v>3048</v>
      </c>
      <c r="J193" s="115" t="s">
        <v>410</v>
      </c>
      <c r="K193" s="115" t="s">
        <v>128</v>
      </c>
      <c r="L193">
        <v>1207</v>
      </c>
      <c r="M193">
        <v>1199</v>
      </c>
      <c r="N193">
        <v>500</v>
      </c>
      <c r="O193" s="115" t="s">
        <v>87</v>
      </c>
      <c r="P193">
        <v>0.91435197589269401</v>
      </c>
      <c r="Q193">
        <v>0.90752613316499198</v>
      </c>
      <c r="R193">
        <v>4.5675325762789397E-2</v>
      </c>
      <c r="S193">
        <v>9.4582686808490496E-2</v>
      </c>
      <c r="T193">
        <v>0.65249190034572102</v>
      </c>
      <c r="U193">
        <v>0.65249190034572102</v>
      </c>
      <c r="V193">
        <v>1.54</v>
      </c>
      <c r="W193">
        <v>8.41</v>
      </c>
      <c r="X193">
        <v>38323</v>
      </c>
      <c r="Y193">
        <v>2017</v>
      </c>
      <c r="Z193">
        <v>0.04</v>
      </c>
      <c r="AA193">
        <v>19</v>
      </c>
      <c r="AB193">
        <v>9</v>
      </c>
      <c r="AC193">
        <v>10</v>
      </c>
      <c r="AD193">
        <v>47.37</v>
      </c>
      <c r="AE193">
        <v>11</v>
      </c>
      <c r="AF193">
        <v>7</v>
      </c>
      <c r="AG193">
        <v>7</v>
      </c>
      <c r="AH193">
        <v>5</v>
      </c>
    </row>
    <row r="194" spans="1:34">
      <c r="A194" s="111">
        <v>165</v>
      </c>
      <c r="B194">
        <v>2914</v>
      </c>
      <c r="C194" s="115" t="s">
        <v>129</v>
      </c>
      <c r="D194" s="115" t="s">
        <v>130</v>
      </c>
      <c r="E194">
        <v>2469</v>
      </c>
      <c r="F194">
        <v>2482</v>
      </c>
      <c r="G194">
        <v>400</v>
      </c>
      <c r="H194" s="115" t="s">
        <v>87</v>
      </c>
      <c r="I194">
        <v>7327</v>
      </c>
      <c r="J194" s="115" t="s">
        <v>200</v>
      </c>
      <c r="K194" s="115" t="s">
        <v>113</v>
      </c>
      <c r="L194">
        <v>2891</v>
      </c>
      <c r="M194">
        <v>2898</v>
      </c>
      <c r="N194">
        <v>300</v>
      </c>
      <c r="O194" s="115" t="s">
        <v>89</v>
      </c>
      <c r="P194">
        <v>0.93607632059241397</v>
      </c>
      <c r="Q194">
        <v>0.91698166093528799</v>
      </c>
      <c r="R194">
        <v>0.196696380667781</v>
      </c>
      <c r="S194">
        <v>9.9560563857048808E-3</v>
      </c>
      <c r="T194">
        <v>-0.94983898271765899</v>
      </c>
      <c r="U194">
        <v>0.94983898271765899</v>
      </c>
      <c r="V194">
        <v>-2.74</v>
      </c>
      <c r="W194">
        <v>14.19</v>
      </c>
      <c r="X194">
        <v>37401</v>
      </c>
      <c r="Y194">
        <v>37401</v>
      </c>
      <c r="Z194">
        <v>1.81</v>
      </c>
      <c r="AA194">
        <v>1</v>
      </c>
      <c r="AB194">
        <v>1</v>
      </c>
      <c r="AC194">
        <v>0</v>
      </c>
      <c r="AD194">
        <v>100</v>
      </c>
      <c r="AE194">
        <v>21</v>
      </c>
      <c r="AF194">
        <v>0</v>
      </c>
      <c r="AG194">
        <v>0</v>
      </c>
      <c r="AH194">
        <v>1</v>
      </c>
    </row>
    <row r="195" spans="1:34">
      <c r="A195" s="111">
        <v>161</v>
      </c>
      <c r="B195">
        <v>5233</v>
      </c>
      <c r="C195" s="115" t="s">
        <v>205</v>
      </c>
      <c r="D195" s="115" t="s">
        <v>140</v>
      </c>
      <c r="E195">
        <v>3150</v>
      </c>
      <c r="F195">
        <v>3115</v>
      </c>
      <c r="G195">
        <v>300</v>
      </c>
      <c r="H195" s="115" t="s">
        <v>87</v>
      </c>
      <c r="I195">
        <v>7181</v>
      </c>
      <c r="J195" s="115" t="s">
        <v>195</v>
      </c>
      <c r="K195" s="115" t="s">
        <v>144</v>
      </c>
      <c r="L195">
        <v>1844</v>
      </c>
      <c r="M195">
        <v>1838</v>
      </c>
      <c r="N195">
        <v>500</v>
      </c>
      <c r="O195" s="115" t="s">
        <v>89</v>
      </c>
      <c r="P195">
        <v>0.92876247044542004</v>
      </c>
      <c r="Q195">
        <v>0.91770136096467003</v>
      </c>
      <c r="R195">
        <v>4.4522595726752398E-3</v>
      </c>
      <c r="S195">
        <v>0.16781181300415399</v>
      </c>
      <c r="T195">
        <v>-1.1898588532998799</v>
      </c>
      <c r="U195">
        <v>1.1898588532998799</v>
      </c>
      <c r="V195">
        <v>-3.73</v>
      </c>
      <c r="W195">
        <v>1.66</v>
      </c>
      <c r="X195">
        <v>35297</v>
      </c>
      <c r="Y195">
        <v>2076</v>
      </c>
      <c r="Z195">
        <v>0.02</v>
      </c>
      <c r="AA195">
        <v>17</v>
      </c>
      <c r="AB195">
        <v>8</v>
      </c>
      <c r="AC195">
        <v>9</v>
      </c>
      <c r="AD195">
        <v>47.06</v>
      </c>
      <c r="AE195">
        <v>12</v>
      </c>
      <c r="AF195">
        <v>5</v>
      </c>
      <c r="AG195">
        <v>5</v>
      </c>
      <c r="AH195">
        <v>7</v>
      </c>
    </row>
    <row r="196" spans="1:34">
      <c r="A196" s="111">
        <v>260</v>
      </c>
      <c r="B196">
        <v>6371</v>
      </c>
      <c r="C196" s="115" t="s">
        <v>142</v>
      </c>
      <c r="D196" s="115" t="s">
        <v>133</v>
      </c>
      <c r="E196">
        <v>3765</v>
      </c>
      <c r="F196">
        <v>3780</v>
      </c>
      <c r="G196">
        <v>200</v>
      </c>
      <c r="H196" s="115" t="s">
        <v>89</v>
      </c>
      <c r="I196">
        <v>9072</v>
      </c>
      <c r="J196" s="115" t="s">
        <v>175</v>
      </c>
      <c r="K196" s="115" t="s">
        <v>157</v>
      </c>
      <c r="L196">
        <v>2689</v>
      </c>
      <c r="M196">
        <v>2707</v>
      </c>
      <c r="N196">
        <v>300</v>
      </c>
      <c r="O196" s="115" t="s">
        <v>87</v>
      </c>
      <c r="P196">
        <v>0.96973393727715296</v>
      </c>
      <c r="Q196">
        <v>0.90445385063944195</v>
      </c>
      <c r="R196">
        <v>3.75442134161795E-2</v>
      </c>
      <c r="S196">
        <v>6.9345383012815005E-4</v>
      </c>
      <c r="T196">
        <v>0.42436983238874798</v>
      </c>
      <c r="U196">
        <v>0.42436983238874798</v>
      </c>
      <c r="V196">
        <v>0.95</v>
      </c>
      <c r="W196">
        <v>7.42</v>
      </c>
      <c r="X196">
        <v>33707</v>
      </c>
      <c r="Y196">
        <v>2408</v>
      </c>
      <c r="Z196">
        <v>0.16</v>
      </c>
      <c r="AA196">
        <v>14</v>
      </c>
      <c r="AB196">
        <v>7</v>
      </c>
      <c r="AC196">
        <v>7</v>
      </c>
      <c r="AD196">
        <v>50</v>
      </c>
      <c r="AE196">
        <v>14</v>
      </c>
      <c r="AF196">
        <v>4</v>
      </c>
      <c r="AG196">
        <v>1</v>
      </c>
      <c r="AH196">
        <v>9</v>
      </c>
    </row>
    <row r="197" spans="1:34">
      <c r="A197" s="111">
        <v>216</v>
      </c>
      <c r="B197">
        <v>8795</v>
      </c>
      <c r="C197" s="115" t="s">
        <v>191</v>
      </c>
      <c r="D197" s="115" t="s">
        <v>144</v>
      </c>
      <c r="E197">
        <v>1254</v>
      </c>
      <c r="F197">
        <v>1243</v>
      </c>
      <c r="G197">
        <v>800</v>
      </c>
      <c r="H197" s="115" t="s">
        <v>87</v>
      </c>
      <c r="I197">
        <v>9412</v>
      </c>
      <c r="J197" s="115" t="s">
        <v>109</v>
      </c>
      <c r="K197" s="115" t="s">
        <v>110</v>
      </c>
      <c r="L197">
        <v>473</v>
      </c>
      <c r="M197">
        <v>472</v>
      </c>
      <c r="N197">
        <v>2100</v>
      </c>
      <c r="O197" s="115" t="s">
        <v>89</v>
      </c>
      <c r="P197">
        <v>0.93002903314137497</v>
      </c>
      <c r="Q197">
        <v>0.91067305525706899</v>
      </c>
      <c r="R197" s="20">
        <v>1.38009389900595E-3</v>
      </c>
      <c r="S197" s="20">
        <v>7.1064507855649495E-2</v>
      </c>
      <c r="T197">
        <v>-2.3870900232884799E-2</v>
      </c>
      <c r="U197">
        <v>2.3870900232884799E-2</v>
      </c>
      <c r="V197">
        <v>-0.13</v>
      </c>
      <c r="W197">
        <v>0.32</v>
      </c>
      <c r="X197">
        <v>32900</v>
      </c>
      <c r="Y197">
        <v>2193</v>
      </c>
      <c r="Z197">
        <v>0.09</v>
      </c>
      <c r="AA197">
        <v>15</v>
      </c>
      <c r="AB197">
        <v>9</v>
      </c>
      <c r="AC197">
        <v>6</v>
      </c>
      <c r="AD197">
        <v>60</v>
      </c>
      <c r="AE197">
        <v>12</v>
      </c>
      <c r="AF197">
        <v>6</v>
      </c>
      <c r="AG197">
        <v>5</v>
      </c>
      <c r="AH197">
        <v>4</v>
      </c>
    </row>
    <row r="198" spans="1:34">
      <c r="A198" s="111">
        <v>215</v>
      </c>
      <c r="B198">
        <v>3099</v>
      </c>
      <c r="C198" s="115" t="s">
        <v>90</v>
      </c>
      <c r="D198" s="115" t="s">
        <v>128</v>
      </c>
      <c r="E198">
        <v>990</v>
      </c>
      <c r="F198">
        <v>981</v>
      </c>
      <c r="G198">
        <v>900</v>
      </c>
      <c r="H198" s="115" t="s">
        <v>87</v>
      </c>
      <c r="I198">
        <v>6674</v>
      </c>
      <c r="J198" s="115" t="s">
        <v>457</v>
      </c>
      <c r="K198" s="115" t="s">
        <v>118</v>
      </c>
      <c r="L198">
        <v>2217</v>
      </c>
      <c r="M198">
        <v>2223</v>
      </c>
      <c r="N198">
        <v>400</v>
      </c>
      <c r="O198" s="115" t="s">
        <v>89</v>
      </c>
      <c r="P198">
        <v>0.93816437105870099</v>
      </c>
      <c r="Q198">
        <v>0.91068286026058298</v>
      </c>
      <c r="R198">
        <v>5.2420465675619698E-2</v>
      </c>
      <c r="S198">
        <v>0.114732636265948</v>
      </c>
      <c r="T198">
        <v>-0.22862298131049999</v>
      </c>
      <c r="U198">
        <v>0.22862298131049999</v>
      </c>
      <c r="V198">
        <v>-1.01</v>
      </c>
      <c r="W198">
        <v>0.71</v>
      </c>
      <c r="X198">
        <v>32513</v>
      </c>
      <c r="Y198">
        <v>1806</v>
      </c>
      <c r="Z198">
        <v>0.1</v>
      </c>
      <c r="AA198">
        <v>18</v>
      </c>
      <c r="AB198">
        <v>11</v>
      </c>
      <c r="AC198">
        <v>7</v>
      </c>
      <c r="AD198">
        <v>61.11</v>
      </c>
      <c r="AE198">
        <v>13</v>
      </c>
      <c r="AF198">
        <v>5</v>
      </c>
      <c r="AG198">
        <v>3</v>
      </c>
      <c r="AH198">
        <v>10</v>
      </c>
    </row>
    <row r="199" spans="1:34">
      <c r="A199" s="111">
        <v>236</v>
      </c>
      <c r="B199">
        <v>2914</v>
      </c>
      <c r="C199" s="115" t="s">
        <v>129</v>
      </c>
      <c r="D199" s="115" t="s">
        <v>130</v>
      </c>
      <c r="E199">
        <v>2469</v>
      </c>
      <c r="F199">
        <v>2482</v>
      </c>
      <c r="G199">
        <v>400</v>
      </c>
      <c r="H199" s="115" t="s">
        <v>87</v>
      </c>
      <c r="I199">
        <v>9505</v>
      </c>
      <c r="J199" s="115" t="s">
        <v>170</v>
      </c>
      <c r="K199" s="115" t="s">
        <v>171</v>
      </c>
      <c r="L199">
        <v>760</v>
      </c>
      <c r="M199">
        <v>777</v>
      </c>
      <c r="N199">
        <v>1300</v>
      </c>
      <c r="O199" s="115" t="s">
        <v>89</v>
      </c>
      <c r="P199">
        <v>0.91703691606453297</v>
      </c>
      <c r="Q199">
        <v>0.90868333851994398</v>
      </c>
      <c r="R199">
        <v>2.9888166100136601E-2</v>
      </c>
      <c r="S199">
        <v>0.24371057183060499</v>
      </c>
      <c r="T199">
        <v>-0.47434913457944</v>
      </c>
      <c r="U199">
        <v>0.47434913457944</v>
      </c>
      <c r="V199">
        <v>-2.3199999999999998</v>
      </c>
      <c r="W199">
        <v>1.74</v>
      </c>
      <c r="X199">
        <v>31189</v>
      </c>
      <c r="Y199">
        <v>1642</v>
      </c>
      <c r="Z199">
        <v>0.12</v>
      </c>
      <c r="AA199">
        <v>19</v>
      </c>
      <c r="AB199">
        <v>11</v>
      </c>
      <c r="AC199">
        <v>8</v>
      </c>
      <c r="AD199">
        <v>57.89</v>
      </c>
      <c r="AE199">
        <v>11</v>
      </c>
      <c r="AF199">
        <v>7</v>
      </c>
      <c r="AG199">
        <v>5</v>
      </c>
      <c r="AH199">
        <v>7</v>
      </c>
    </row>
    <row r="200" spans="1:34">
      <c r="A200" s="111">
        <v>246</v>
      </c>
      <c r="B200">
        <v>4634</v>
      </c>
      <c r="C200" s="115" t="s">
        <v>198</v>
      </c>
      <c r="D200" s="115" t="s">
        <v>88</v>
      </c>
      <c r="E200">
        <v>2653</v>
      </c>
      <c r="F200">
        <v>2639</v>
      </c>
      <c r="G200">
        <v>400</v>
      </c>
      <c r="H200" s="115" t="s">
        <v>87</v>
      </c>
      <c r="I200">
        <v>6770</v>
      </c>
      <c r="J200" s="115" t="s">
        <v>50</v>
      </c>
      <c r="K200" s="115" t="s">
        <v>118</v>
      </c>
      <c r="L200">
        <v>2395</v>
      </c>
      <c r="M200">
        <v>2380</v>
      </c>
      <c r="N200">
        <v>400</v>
      </c>
      <c r="O200" s="115" t="s">
        <v>89</v>
      </c>
      <c r="P200">
        <v>0.94617623883233803</v>
      </c>
      <c r="Q200">
        <v>0.90703094116862903</v>
      </c>
      <c r="R200">
        <v>0.174196507815087</v>
      </c>
      <c r="S200">
        <v>6.4499268688538603E-3</v>
      </c>
      <c r="T200">
        <v>-2.3236864453611998</v>
      </c>
      <c r="U200">
        <v>2.3236864453611998</v>
      </c>
      <c r="V200">
        <v>-7.59</v>
      </c>
      <c r="W200">
        <v>9.81</v>
      </c>
      <c r="X200">
        <v>30043</v>
      </c>
      <c r="Y200">
        <v>1669</v>
      </c>
      <c r="Z200">
        <v>-0.04</v>
      </c>
      <c r="AA200">
        <v>18</v>
      </c>
      <c r="AB200">
        <v>10</v>
      </c>
      <c r="AC200">
        <v>8</v>
      </c>
      <c r="AD200">
        <v>55.56</v>
      </c>
      <c r="AE200">
        <v>11</v>
      </c>
      <c r="AF200">
        <v>6</v>
      </c>
      <c r="AG200">
        <v>5</v>
      </c>
      <c r="AH200">
        <v>7</v>
      </c>
    </row>
    <row r="201" spans="1:34">
      <c r="A201" s="111">
        <v>133</v>
      </c>
      <c r="B201">
        <v>6845</v>
      </c>
      <c r="C201" s="115" t="s">
        <v>402</v>
      </c>
      <c r="D201" s="115" t="s">
        <v>118</v>
      </c>
      <c r="E201">
        <v>3185</v>
      </c>
      <c r="F201">
        <v>3200</v>
      </c>
      <c r="G201">
        <v>200</v>
      </c>
      <c r="H201" s="115" t="s">
        <v>89</v>
      </c>
      <c r="I201">
        <v>8036</v>
      </c>
      <c r="J201" s="115" t="s">
        <v>429</v>
      </c>
      <c r="K201" s="115" t="s">
        <v>135</v>
      </c>
      <c r="L201">
        <v>6830</v>
      </c>
      <c r="M201">
        <v>6760</v>
      </c>
      <c r="N201">
        <v>100</v>
      </c>
      <c r="O201" s="115" t="s">
        <v>87</v>
      </c>
      <c r="P201">
        <v>0.92291156591474699</v>
      </c>
      <c r="Q201">
        <v>0.92256239439774301</v>
      </c>
      <c r="R201">
        <v>0.33529542817027003</v>
      </c>
      <c r="S201">
        <v>0.110462068380871</v>
      </c>
      <c r="T201">
        <v>0.67987939746142201</v>
      </c>
      <c r="U201">
        <v>0.67987939746142201</v>
      </c>
      <c r="V201">
        <v>1.62</v>
      </c>
      <c r="W201">
        <v>5.33</v>
      </c>
      <c r="X201">
        <v>27865</v>
      </c>
      <c r="Y201">
        <v>1639</v>
      </c>
      <c r="Z201">
        <v>0.11</v>
      </c>
      <c r="AA201">
        <v>17</v>
      </c>
      <c r="AB201">
        <v>9</v>
      </c>
      <c r="AC201">
        <v>8</v>
      </c>
      <c r="AD201">
        <v>52.94</v>
      </c>
      <c r="AE201">
        <v>13</v>
      </c>
      <c r="AF201">
        <v>5</v>
      </c>
      <c r="AG201">
        <v>3</v>
      </c>
      <c r="AH201">
        <v>9</v>
      </c>
    </row>
    <row r="202" spans="1:34">
      <c r="A202" s="111">
        <v>238</v>
      </c>
      <c r="B202">
        <v>4182</v>
      </c>
      <c r="C202" s="115" t="s">
        <v>119</v>
      </c>
      <c r="D202" s="115" t="s">
        <v>88</v>
      </c>
      <c r="E202">
        <v>1620</v>
      </c>
      <c r="F202">
        <v>1632</v>
      </c>
      <c r="G202">
        <v>600</v>
      </c>
      <c r="H202" s="115" t="s">
        <v>89</v>
      </c>
      <c r="I202">
        <v>5110</v>
      </c>
      <c r="J202" s="115" t="s">
        <v>177</v>
      </c>
      <c r="K202" s="115" t="s">
        <v>178</v>
      </c>
      <c r="L202">
        <v>1381</v>
      </c>
      <c r="M202">
        <v>1381</v>
      </c>
      <c r="N202">
        <v>700</v>
      </c>
      <c r="O202" s="115" t="s">
        <v>87</v>
      </c>
      <c r="P202">
        <v>0.93571114217294704</v>
      </c>
      <c r="Q202">
        <v>0.90855726230464795</v>
      </c>
      <c r="R202">
        <v>1.52592576014526E-2</v>
      </c>
      <c r="S202">
        <v>9.2487569039987394E-2</v>
      </c>
      <c r="T202">
        <v>1.6944206163133499</v>
      </c>
      <c r="U202">
        <v>1.6944206163133499</v>
      </c>
      <c r="V202">
        <v>6.41</v>
      </c>
      <c r="W202">
        <v>1.28</v>
      </c>
      <c r="X202">
        <v>27694</v>
      </c>
      <c r="Y202">
        <v>1629</v>
      </c>
      <c r="Z202">
        <v>0.06</v>
      </c>
      <c r="AA202">
        <v>17</v>
      </c>
      <c r="AB202">
        <v>9</v>
      </c>
      <c r="AC202">
        <v>8</v>
      </c>
      <c r="AD202">
        <v>52.94</v>
      </c>
      <c r="AE202">
        <v>11</v>
      </c>
      <c r="AF202">
        <v>6</v>
      </c>
      <c r="AG202">
        <v>6</v>
      </c>
      <c r="AH202">
        <v>5</v>
      </c>
    </row>
    <row r="203" spans="1:34">
      <c r="A203" s="111">
        <v>164</v>
      </c>
      <c r="B203">
        <v>3099</v>
      </c>
      <c r="C203" s="115" t="s">
        <v>90</v>
      </c>
      <c r="D203" s="115" t="s">
        <v>128</v>
      </c>
      <c r="E203">
        <v>990</v>
      </c>
      <c r="F203">
        <v>981</v>
      </c>
      <c r="G203">
        <v>900</v>
      </c>
      <c r="H203" s="115" t="s">
        <v>89</v>
      </c>
      <c r="I203">
        <v>9003</v>
      </c>
      <c r="J203" s="115" t="s">
        <v>437</v>
      </c>
      <c r="K203" s="115" t="s">
        <v>157</v>
      </c>
      <c r="L203">
        <v>3035</v>
      </c>
      <c r="M203">
        <v>3040</v>
      </c>
      <c r="N203">
        <v>300</v>
      </c>
      <c r="O203" s="115" t="s">
        <v>87</v>
      </c>
      <c r="P203">
        <v>0.91296088701572298</v>
      </c>
      <c r="Q203">
        <v>0.91718548044097903</v>
      </c>
      <c r="R203">
        <v>4.1922442540339298E-2</v>
      </c>
      <c r="S203">
        <v>0.143484339538683</v>
      </c>
      <c r="T203">
        <v>1.3965603209753299</v>
      </c>
      <c r="U203">
        <v>1.3965603209753299</v>
      </c>
      <c r="V203">
        <v>7.57</v>
      </c>
      <c r="W203">
        <v>3.19</v>
      </c>
      <c r="X203">
        <v>23410</v>
      </c>
      <c r="Y203">
        <v>1672</v>
      </c>
      <c r="Z203">
        <v>0.11</v>
      </c>
      <c r="AA203">
        <v>14</v>
      </c>
      <c r="AB203">
        <v>6</v>
      </c>
      <c r="AC203">
        <v>8</v>
      </c>
      <c r="AD203">
        <v>42.86</v>
      </c>
      <c r="AE203">
        <v>14</v>
      </c>
      <c r="AF203">
        <v>3</v>
      </c>
      <c r="AG203">
        <v>1</v>
      </c>
      <c r="AH203">
        <v>10</v>
      </c>
    </row>
    <row r="204" spans="1:34">
      <c r="A204" s="111">
        <v>83</v>
      </c>
      <c r="B204">
        <v>6988</v>
      </c>
      <c r="C204" s="115" t="s">
        <v>197</v>
      </c>
      <c r="D204" s="115" t="s">
        <v>88</v>
      </c>
      <c r="E204">
        <v>6110</v>
      </c>
      <c r="F204">
        <v>6040</v>
      </c>
      <c r="G204">
        <v>100</v>
      </c>
      <c r="H204" s="115" t="s">
        <v>87</v>
      </c>
      <c r="I204">
        <v>6995</v>
      </c>
      <c r="J204" s="115" t="s">
        <v>123</v>
      </c>
      <c r="K204" s="115" t="s">
        <v>115</v>
      </c>
      <c r="L204">
        <v>2050</v>
      </c>
      <c r="M204">
        <v>2063</v>
      </c>
      <c r="N204">
        <v>300</v>
      </c>
      <c r="O204" s="115" t="s">
        <v>89</v>
      </c>
      <c r="P204">
        <v>0.95750964840526798</v>
      </c>
      <c r="Q204">
        <v>0.93224527213247699</v>
      </c>
      <c r="R204">
        <v>0.23697602318831201</v>
      </c>
      <c r="S204">
        <v>2.10644671566316E-2</v>
      </c>
      <c r="T204">
        <v>-9.1325057498602605E-2</v>
      </c>
      <c r="U204">
        <v>9.1325057498602605E-2</v>
      </c>
      <c r="V204">
        <v>-0.24</v>
      </c>
      <c r="W204">
        <v>2.4700000000000002</v>
      </c>
      <c r="X204">
        <v>22867</v>
      </c>
      <c r="Y204">
        <v>2287</v>
      </c>
      <c r="Z204">
        <v>0.11</v>
      </c>
      <c r="AA204">
        <v>10</v>
      </c>
      <c r="AB204">
        <v>7</v>
      </c>
      <c r="AC204">
        <v>3</v>
      </c>
      <c r="AD204">
        <v>70</v>
      </c>
      <c r="AE204">
        <v>13</v>
      </c>
      <c r="AF204">
        <v>2</v>
      </c>
      <c r="AG204">
        <v>2</v>
      </c>
      <c r="AH204">
        <v>6</v>
      </c>
    </row>
    <row r="205" spans="1:34">
      <c r="A205" s="111">
        <v>264</v>
      </c>
      <c r="B205">
        <v>3861</v>
      </c>
      <c r="C205" s="115" t="s">
        <v>92</v>
      </c>
      <c r="D205" s="115" t="s">
        <v>111</v>
      </c>
      <c r="E205">
        <v>596</v>
      </c>
      <c r="F205">
        <v>591</v>
      </c>
      <c r="G205">
        <v>1100</v>
      </c>
      <c r="H205" s="115" t="s">
        <v>89</v>
      </c>
      <c r="I205">
        <v>4114</v>
      </c>
      <c r="J205" s="115" t="s">
        <v>427</v>
      </c>
      <c r="K205" s="115" t="s">
        <v>88</v>
      </c>
      <c r="L205">
        <v>6680</v>
      </c>
      <c r="M205">
        <v>6690</v>
      </c>
      <c r="N205">
        <v>100</v>
      </c>
      <c r="O205" s="115" t="s">
        <v>87</v>
      </c>
      <c r="P205">
        <v>0.95089861103790296</v>
      </c>
      <c r="Q205">
        <v>0.90411004682354401</v>
      </c>
      <c r="R205">
        <v>0.12691027970697999</v>
      </c>
      <c r="S205">
        <v>0.10030440526395799</v>
      </c>
      <c r="T205">
        <v>1.18413571603377</v>
      </c>
      <c r="U205">
        <v>1.18413571603377</v>
      </c>
      <c r="V205">
        <v>5.26</v>
      </c>
      <c r="W205">
        <v>2.83</v>
      </c>
      <c r="X205">
        <v>21346</v>
      </c>
      <c r="Y205">
        <v>1123</v>
      </c>
      <c r="Z205">
        <v>0.15</v>
      </c>
      <c r="AA205">
        <v>19</v>
      </c>
      <c r="AB205">
        <v>10</v>
      </c>
      <c r="AC205">
        <v>9</v>
      </c>
      <c r="AD205">
        <v>52.63</v>
      </c>
      <c r="AE205">
        <v>12</v>
      </c>
      <c r="AF205">
        <v>7</v>
      </c>
      <c r="AG205">
        <v>6</v>
      </c>
      <c r="AH205">
        <v>6</v>
      </c>
    </row>
    <row r="206" spans="1:34">
      <c r="A206" s="111">
        <v>71</v>
      </c>
      <c r="B206">
        <v>6481</v>
      </c>
      <c r="C206" s="115" t="s">
        <v>466</v>
      </c>
      <c r="D206" s="115" t="s">
        <v>133</v>
      </c>
      <c r="E206">
        <v>2921</v>
      </c>
      <c r="F206">
        <v>2884</v>
      </c>
      <c r="G206">
        <v>200</v>
      </c>
      <c r="H206" s="115" t="s">
        <v>87</v>
      </c>
      <c r="I206">
        <v>6856</v>
      </c>
      <c r="J206" s="115" t="s">
        <v>462</v>
      </c>
      <c r="K206" s="115" t="s">
        <v>118</v>
      </c>
      <c r="L206">
        <v>7200</v>
      </c>
      <c r="M206">
        <v>7120</v>
      </c>
      <c r="N206">
        <v>100</v>
      </c>
      <c r="O206" s="115" t="s">
        <v>89</v>
      </c>
      <c r="P206">
        <v>0.94766086044498499</v>
      </c>
      <c r="Q206">
        <v>0.93476246261984697</v>
      </c>
      <c r="R206" s="20">
        <v>7.3584890122187593E-2</v>
      </c>
      <c r="S206">
        <v>3.9087362345328596E-3</v>
      </c>
      <c r="T206">
        <v>-1.9794513159745699</v>
      </c>
      <c r="U206">
        <v>1.9794513159745699</v>
      </c>
      <c r="V206">
        <v>-8.66</v>
      </c>
      <c r="W206">
        <v>18.989999999999998</v>
      </c>
      <c r="X206">
        <v>19908</v>
      </c>
      <c r="Y206">
        <v>1810</v>
      </c>
      <c r="Z206">
        <v>-0.11</v>
      </c>
      <c r="AA206">
        <v>11</v>
      </c>
      <c r="AB206">
        <v>6</v>
      </c>
      <c r="AC206">
        <v>5</v>
      </c>
      <c r="AD206">
        <v>54.55</v>
      </c>
      <c r="AE206">
        <v>12</v>
      </c>
      <c r="AF206">
        <v>5</v>
      </c>
      <c r="AG206">
        <v>3</v>
      </c>
      <c r="AH206">
        <v>3</v>
      </c>
    </row>
    <row r="207" spans="1:34">
      <c r="A207" s="111">
        <v>80</v>
      </c>
      <c r="B207">
        <v>4118</v>
      </c>
      <c r="C207" s="115" t="s">
        <v>91</v>
      </c>
      <c r="D207" s="115" t="s">
        <v>88</v>
      </c>
      <c r="E207">
        <v>3595</v>
      </c>
      <c r="F207">
        <v>3580</v>
      </c>
      <c r="G207">
        <v>300</v>
      </c>
      <c r="H207" s="115" t="s">
        <v>87</v>
      </c>
      <c r="I207">
        <v>5233</v>
      </c>
      <c r="J207" s="115" t="s">
        <v>205</v>
      </c>
      <c r="K207" s="115" t="s">
        <v>140</v>
      </c>
      <c r="L207">
        <v>3150</v>
      </c>
      <c r="M207">
        <v>3115</v>
      </c>
      <c r="N207">
        <v>300</v>
      </c>
      <c r="O207" s="115" t="s">
        <v>89</v>
      </c>
      <c r="P207">
        <v>0.92630170745728302</v>
      </c>
      <c r="Q207">
        <v>0.93267958297999298</v>
      </c>
      <c r="R207">
        <v>2.01601752042679E-2</v>
      </c>
      <c r="S207">
        <v>2.1872671741061799E-2</v>
      </c>
      <c r="T207">
        <v>-0.93812176149201898</v>
      </c>
      <c r="U207">
        <v>0.93812176149201898</v>
      </c>
      <c r="V207">
        <v>-3.41</v>
      </c>
      <c r="W207">
        <v>12.99</v>
      </c>
      <c r="X207">
        <v>16729</v>
      </c>
      <c r="Y207">
        <v>1673</v>
      </c>
      <c r="Z207">
        <v>0.15</v>
      </c>
      <c r="AA207">
        <v>10</v>
      </c>
      <c r="AB207">
        <v>6</v>
      </c>
      <c r="AC207">
        <v>4</v>
      </c>
      <c r="AD207">
        <v>60</v>
      </c>
      <c r="AE207">
        <v>11</v>
      </c>
      <c r="AF207">
        <v>4</v>
      </c>
      <c r="AG207">
        <v>2</v>
      </c>
      <c r="AH207">
        <v>4</v>
      </c>
    </row>
    <row r="208" spans="1:34">
      <c r="A208" s="111">
        <v>153</v>
      </c>
      <c r="B208">
        <v>5110</v>
      </c>
      <c r="C208" s="115" t="s">
        <v>177</v>
      </c>
      <c r="D208" s="115" t="s">
        <v>178</v>
      </c>
      <c r="E208">
        <v>1381</v>
      </c>
      <c r="F208">
        <v>1381</v>
      </c>
      <c r="G208">
        <v>800</v>
      </c>
      <c r="H208" s="115" t="s">
        <v>87</v>
      </c>
      <c r="I208">
        <v>5802</v>
      </c>
      <c r="J208" s="115" t="s">
        <v>181</v>
      </c>
      <c r="K208" s="115" t="s">
        <v>182</v>
      </c>
      <c r="L208">
        <v>1526.5</v>
      </c>
      <c r="M208">
        <v>1526.5</v>
      </c>
      <c r="N208">
        <v>700</v>
      </c>
      <c r="O208" s="115" t="s">
        <v>89</v>
      </c>
      <c r="P208">
        <v>0.95277335713641098</v>
      </c>
      <c r="Q208">
        <v>0.91890114745446205</v>
      </c>
      <c r="R208">
        <v>0.101879290991712</v>
      </c>
      <c r="S208">
        <v>0.16620454785184299</v>
      </c>
      <c r="T208">
        <v>-1.3873162675884401</v>
      </c>
      <c r="U208">
        <v>1.3873162675884401</v>
      </c>
      <c r="V208">
        <v>-3.58</v>
      </c>
      <c r="W208">
        <v>3.39</v>
      </c>
      <c r="X208">
        <v>16618</v>
      </c>
      <c r="Y208">
        <v>1187</v>
      </c>
      <c r="Z208">
        <v>0.03</v>
      </c>
      <c r="AA208">
        <v>14</v>
      </c>
      <c r="AB208">
        <v>10</v>
      </c>
      <c r="AC208">
        <v>4</v>
      </c>
      <c r="AD208">
        <v>71.430000000000007</v>
      </c>
      <c r="AE208">
        <v>16</v>
      </c>
      <c r="AF208">
        <v>2</v>
      </c>
      <c r="AG208">
        <v>2</v>
      </c>
      <c r="AH208">
        <v>10</v>
      </c>
    </row>
    <row r="209" spans="1:34">
      <c r="A209" s="111">
        <v>99</v>
      </c>
      <c r="B209">
        <v>6371</v>
      </c>
      <c r="C209" s="115" t="s">
        <v>142</v>
      </c>
      <c r="D209" s="115" t="s">
        <v>133</v>
      </c>
      <c r="E209">
        <v>3765</v>
      </c>
      <c r="F209">
        <v>3780</v>
      </c>
      <c r="G209">
        <v>200</v>
      </c>
      <c r="H209" s="115" t="s">
        <v>89</v>
      </c>
      <c r="I209">
        <v>6472</v>
      </c>
      <c r="J209" s="115" t="s">
        <v>189</v>
      </c>
      <c r="K209" s="115" t="s">
        <v>133</v>
      </c>
      <c r="L209">
        <v>322</v>
      </c>
      <c r="M209">
        <v>327</v>
      </c>
      <c r="N209">
        <v>2300</v>
      </c>
      <c r="O209" s="115" t="s">
        <v>87</v>
      </c>
      <c r="P209">
        <v>0.94052289247899401</v>
      </c>
      <c r="Q209">
        <v>0.92687864716336599</v>
      </c>
      <c r="R209">
        <v>3.9852904310268403E-2</v>
      </c>
      <c r="S209">
        <v>1.22393872782129E-2</v>
      </c>
      <c r="T209">
        <v>0.88883267014048695</v>
      </c>
      <c r="U209">
        <v>0.88883267014048695</v>
      </c>
      <c r="V209">
        <v>3.42</v>
      </c>
      <c r="W209">
        <v>0.52</v>
      </c>
      <c r="X209">
        <v>15705</v>
      </c>
      <c r="Y209">
        <v>982</v>
      </c>
      <c r="Z209">
        <v>0.1</v>
      </c>
      <c r="AA209">
        <v>16</v>
      </c>
      <c r="AB209">
        <v>10</v>
      </c>
      <c r="AC209">
        <v>6</v>
      </c>
      <c r="AD209">
        <v>62.5</v>
      </c>
      <c r="AE209">
        <v>16</v>
      </c>
      <c r="AF209">
        <v>3</v>
      </c>
      <c r="AG209">
        <v>3</v>
      </c>
      <c r="AH209">
        <v>10</v>
      </c>
    </row>
    <row r="210" spans="1:34">
      <c r="A210" s="111">
        <v>217</v>
      </c>
      <c r="B210">
        <v>5706</v>
      </c>
      <c r="C210" s="115" t="s">
        <v>435</v>
      </c>
      <c r="D210" s="115" t="s">
        <v>182</v>
      </c>
      <c r="E210">
        <v>2719</v>
      </c>
      <c r="F210">
        <v>2684</v>
      </c>
      <c r="G210">
        <v>200</v>
      </c>
      <c r="H210" s="115" t="s">
        <v>89</v>
      </c>
      <c r="I210">
        <v>6103</v>
      </c>
      <c r="J210" s="115" t="s">
        <v>436</v>
      </c>
      <c r="K210" s="115" t="s">
        <v>133</v>
      </c>
      <c r="L210">
        <v>6040</v>
      </c>
      <c r="M210">
        <v>5990</v>
      </c>
      <c r="N210">
        <v>100</v>
      </c>
      <c r="O210" s="115" t="s">
        <v>87</v>
      </c>
      <c r="P210">
        <v>0.94223783892565205</v>
      </c>
      <c r="Q210">
        <v>0.910623359471052</v>
      </c>
      <c r="R210">
        <v>0.12240595178314</v>
      </c>
      <c r="S210">
        <v>3.0901641925621401E-3</v>
      </c>
      <c r="T210">
        <v>0.17988616403375901</v>
      </c>
      <c r="U210">
        <v>0.17988616403375901</v>
      </c>
      <c r="V210">
        <v>0.82</v>
      </c>
      <c r="W210">
        <v>10.38</v>
      </c>
      <c r="X210">
        <v>13268</v>
      </c>
      <c r="Y210">
        <v>1895</v>
      </c>
      <c r="Z210">
        <v>-0.05</v>
      </c>
      <c r="AA210">
        <v>7</v>
      </c>
      <c r="AB210">
        <v>3</v>
      </c>
      <c r="AC210">
        <v>4</v>
      </c>
      <c r="AD210">
        <v>42.86</v>
      </c>
      <c r="AE210">
        <v>10</v>
      </c>
      <c r="AF210">
        <v>2</v>
      </c>
      <c r="AG210">
        <v>3</v>
      </c>
      <c r="AH210">
        <v>2</v>
      </c>
    </row>
    <row r="211" spans="1:34">
      <c r="A211" s="111">
        <v>113</v>
      </c>
      <c r="B211">
        <v>7189</v>
      </c>
      <c r="C211" s="115" t="s">
        <v>112</v>
      </c>
      <c r="D211" s="115" t="s">
        <v>113</v>
      </c>
      <c r="E211">
        <v>844</v>
      </c>
      <c r="F211">
        <v>850</v>
      </c>
      <c r="G211">
        <v>1200</v>
      </c>
      <c r="H211" s="115" t="s">
        <v>89</v>
      </c>
      <c r="I211">
        <v>9505</v>
      </c>
      <c r="J211" s="115" t="s">
        <v>170</v>
      </c>
      <c r="K211" s="115" t="s">
        <v>171</v>
      </c>
      <c r="L211">
        <v>760</v>
      </c>
      <c r="M211">
        <v>777</v>
      </c>
      <c r="N211">
        <v>1300</v>
      </c>
      <c r="O211" s="115" t="s">
        <v>87</v>
      </c>
      <c r="P211">
        <v>0.94191211212937898</v>
      </c>
      <c r="Q211">
        <v>0.92513198359205695</v>
      </c>
      <c r="R211">
        <v>0.31463953424483798</v>
      </c>
      <c r="S211">
        <v>0.115033551054921</v>
      </c>
      <c r="T211">
        <v>1.74919513259987</v>
      </c>
      <c r="U211">
        <v>1.74919513259987</v>
      </c>
      <c r="V211">
        <v>5.82</v>
      </c>
      <c r="W211">
        <v>0.97</v>
      </c>
      <c r="X211">
        <v>11359</v>
      </c>
      <c r="Y211">
        <v>668</v>
      </c>
      <c r="Z211">
        <v>0</v>
      </c>
      <c r="AA211">
        <v>17</v>
      </c>
      <c r="AB211">
        <v>7</v>
      </c>
      <c r="AC211">
        <v>10</v>
      </c>
      <c r="AD211">
        <v>41.18</v>
      </c>
      <c r="AE211">
        <v>12</v>
      </c>
      <c r="AF211">
        <v>6</v>
      </c>
      <c r="AG211">
        <v>6</v>
      </c>
      <c r="AH211">
        <v>5</v>
      </c>
    </row>
    <row r="212" spans="1:34">
      <c r="A212" s="111">
        <v>250</v>
      </c>
      <c r="B212">
        <v>7202</v>
      </c>
      <c r="C212" s="115" t="s">
        <v>187</v>
      </c>
      <c r="D212" s="115" t="s">
        <v>115</v>
      </c>
      <c r="E212">
        <v>1290</v>
      </c>
      <c r="F212">
        <v>1298</v>
      </c>
      <c r="G212">
        <v>700</v>
      </c>
      <c r="H212" s="115" t="s">
        <v>87</v>
      </c>
      <c r="I212">
        <v>7327</v>
      </c>
      <c r="J212" s="115" t="s">
        <v>200</v>
      </c>
      <c r="K212" s="115" t="s">
        <v>113</v>
      </c>
      <c r="L212">
        <v>2891</v>
      </c>
      <c r="M212">
        <v>2898</v>
      </c>
      <c r="N212">
        <v>300</v>
      </c>
      <c r="O212" s="115" t="s">
        <v>89</v>
      </c>
      <c r="P212">
        <v>0.93487311305706799</v>
      </c>
      <c r="Q212">
        <v>0.90673593410058695</v>
      </c>
      <c r="R212">
        <v>0.322053037797015</v>
      </c>
      <c r="S212">
        <v>0.14062561128738801</v>
      </c>
      <c r="T212">
        <v>-7.1276038100598293E-2</v>
      </c>
      <c r="U212">
        <v>7.1276038100598293E-2</v>
      </c>
      <c r="V212">
        <v>-0.18</v>
      </c>
      <c r="W212">
        <v>4.51</v>
      </c>
      <c r="X212">
        <v>10491</v>
      </c>
      <c r="Y212">
        <v>5246</v>
      </c>
      <c r="Z212">
        <v>0.45</v>
      </c>
      <c r="AA212">
        <v>2</v>
      </c>
      <c r="AB212">
        <v>1</v>
      </c>
      <c r="AC212">
        <v>1</v>
      </c>
      <c r="AD212">
        <v>50</v>
      </c>
      <c r="AE212">
        <v>13</v>
      </c>
      <c r="AF212">
        <v>1</v>
      </c>
      <c r="AG212">
        <v>0</v>
      </c>
      <c r="AH212">
        <v>1</v>
      </c>
    </row>
    <row r="213" spans="1:34">
      <c r="A213" s="111">
        <v>87</v>
      </c>
      <c r="B213">
        <v>5991</v>
      </c>
      <c r="C213" s="115" t="s">
        <v>149</v>
      </c>
      <c r="D213" s="115" t="s">
        <v>150</v>
      </c>
      <c r="E213">
        <v>953</v>
      </c>
      <c r="F213">
        <v>957</v>
      </c>
      <c r="G213">
        <v>1100</v>
      </c>
      <c r="H213" s="115" t="s">
        <v>89</v>
      </c>
      <c r="I213">
        <v>7202</v>
      </c>
      <c r="J213" s="115" t="s">
        <v>187</v>
      </c>
      <c r="K213" s="115" t="s">
        <v>115</v>
      </c>
      <c r="L213">
        <v>1290</v>
      </c>
      <c r="M213">
        <v>1298</v>
      </c>
      <c r="N213">
        <v>800</v>
      </c>
      <c r="O213" s="115" t="s">
        <v>87</v>
      </c>
      <c r="P213">
        <v>0.93762697299231201</v>
      </c>
      <c r="Q213">
        <v>0.93091227562581602</v>
      </c>
      <c r="R213">
        <v>0.17423371756591899</v>
      </c>
      <c r="S213" s="20">
        <v>7.4767341573023505E-2</v>
      </c>
      <c r="T213">
        <v>1.6267760850631601</v>
      </c>
      <c r="U213">
        <v>1.6267760850631601</v>
      </c>
      <c r="V213">
        <v>6.27</v>
      </c>
      <c r="W213">
        <v>1.38</v>
      </c>
      <c r="X213">
        <v>7179</v>
      </c>
      <c r="Y213">
        <v>479</v>
      </c>
      <c r="Z213">
        <v>0.05</v>
      </c>
      <c r="AA213">
        <v>15</v>
      </c>
      <c r="AB213">
        <v>6</v>
      </c>
      <c r="AC213">
        <v>9</v>
      </c>
      <c r="AD213">
        <v>40</v>
      </c>
      <c r="AE213">
        <v>15</v>
      </c>
      <c r="AF213">
        <v>2</v>
      </c>
      <c r="AG213">
        <v>0</v>
      </c>
      <c r="AH213">
        <v>13</v>
      </c>
    </row>
    <row r="214" spans="1:34">
      <c r="A214" s="111">
        <v>134</v>
      </c>
      <c r="B214">
        <v>7327</v>
      </c>
      <c r="C214" s="115" t="s">
        <v>200</v>
      </c>
      <c r="D214" s="115" t="s">
        <v>113</v>
      </c>
      <c r="E214">
        <v>2891</v>
      </c>
      <c r="F214">
        <v>2898</v>
      </c>
      <c r="G214">
        <v>300</v>
      </c>
      <c r="H214" s="115" t="s">
        <v>89</v>
      </c>
      <c r="I214">
        <v>8086</v>
      </c>
      <c r="J214" s="115" t="s">
        <v>392</v>
      </c>
      <c r="K214" s="115" t="s">
        <v>126</v>
      </c>
      <c r="L214">
        <v>1286</v>
      </c>
      <c r="M214">
        <v>1287</v>
      </c>
      <c r="N214">
        <v>700</v>
      </c>
      <c r="O214" s="115" t="s">
        <v>87</v>
      </c>
      <c r="P214">
        <v>0.90262019229210599</v>
      </c>
      <c r="Q214">
        <v>0.92195358417550199</v>
      </c>
      <c r="R214">
        <v>9.4207487824903596E-2</v>
      </c>
      <c r="S214">
        <v>3.7329018284707201E-2</v>
      </c>
      <c r="T214">
        <v>0.59806551346564996</v>
      </c>
      <c r="U214">
        <v>0.59806551346564996</v>
      </c>
      <c r="V214">
        <v>1.63</v>
      </c>
      <c r="W214">
        <v>3.62</v>
      </c>
      <c r="X214">
        <v>5015</v>
      </c>
      <c r="Y214">
        <v>5015</v>
      </c>
      <c r="Z214">
        <v>0.24</v>
      </c>
      <c r="AA214">
        <v>1</v>
      </c>
      <c r="AB214">
        <v>1</v>
      </c>
      <c r="AC214">
        <v>0</v>
      </c>
      <c r="AD214">
        <v>100</v>
      </c>
      <c r="AE214">
        <v>18</v>
      </c>
      <c r="AF214">
        <v>0</v>
      </c>
      <c r="AG214">
        <v>0</v>
      </c>
      <c r="AH214">
        <v>1</v>
      </c>
    </row>
    <row r="215" spans="1:34">
      <c r="A215" s="111">
        <v>159</v>
      </c>
      <c r="B215">
        <v>5233</v>
      </c>
      <c r="C215" s="115" t="s">
        <v>205</v>
      </c>
      <c r="D215" s="115" t="s">
        <v>140</v>
      </c>
      <c r="E215">
        <v>3150</v>
      </c>
      <c r="F215">
        <v>3115</v>
      </c>
      <c r="G215">
        <v>300</v>
      </c>
      <c r="H215" s="115" t="s">
        <v>87</v>
      </c>
      <c r="I215">
        <v>7327</v>
      </c>
      <c r="J215" s="115" t="s">
        <v>200</v>
      </c>
      <c r="K215" s="115" t="s">
        <v>113</v>
      </c>
      <c r="L215">
        <v>2891</v>
      </c>
      <c r="M215">
        <v>2898</v>
      </c>
      <c r="N215">
        <v>300</v>
      </c>
      <c r="O215" s="115" t="s">
        <v>89</v>
      </c>
      <c r="P215">
        <v>0.93200396797311702</v>
      </c>
      <c r="Q215">
        <v>0.91783149616276605</v>
      </c>
      <c r="R215" s="20">
        <v>4.6075018408633803E-2</v>
      </c>
      <c r="S215">
        <v>6.9691455681186495E-2</v>
      </c>
      <c r="T215">
        <v>-0.43241850513629498</v>
      </c>
      <c r="U215">
        <v>0.43241850513629498</v>
      </c>
      <c r="V215">
        <v>-1.25</v>
      </c>
      <c r="W215">
        <v>6.97</v>
      </c>
      <c r="X215">
        <v>4195</v>
      </c>
      <c r="Y215">
        <v>2098</v>
      </c>
      <c r="Z215">
        <v>-0.01</v>
      </c>
      <c r="AA215">
        <v>2</v>
      </c>
      <c r="AB215">
        <v>1</v>
      </c>
      <c r="AC215">
        <v>1</v>
      </c>
      <c r="AD215">
        <v>50</v>
      </c>
      <c r="AE215">
        <v>10</v>
      </c>
      <c r="AF215">
        <v>1</v>
      </c>
      <c r="AG215">
        <v>1</v>
      </c>
      <c r="AH215">
        <v>0</v>
      </c>
    </row>
    <row r="216" spans="1:34">
      <c r="A216" s="111">
        <v>73</v>
      </c>
      <c r="B216">
        <v>1801</v>
      </c>
      <c r="C216" s="115" t="s">
        <v>406</v>
      </c>
      <c r="D216" s="115" t="s">
        <v>108</v>
      </c>
      <c r="E216">
        <v>4135</v>
      </c>
      <c r="F216">
        <v>4165</v>
      </c>
      <c r="G216">
        <v>200</v>
      </c>
      <c r="H216" s="115" t="s">
        <v>87</v>
      </c>
      <c r="I216">
        <v>8086</v>
      </c>
      <c r="J216" s="115" t="s">
        <v>392</v>
      </c>
      <c r="K216" s="115" t="s">
        <v>126</v>
      </c>
      <c r="L216">
        <v>1286</v>
      </c>
      <c r="M216">
        <v>1287</v>
      </c>
      <c r="N216">
        <v>600</v>
      </c>
      <c r="O216" s="115" t="s">
        <v>89</v>
      </c>
      <c r="P216">
        <v>0.92155170720875301</v>
      </c>
      <c r="Q216">
        <v>0.93390054037498105</v>
      </c>
      <c r="R216">
        <v>1.9699692249320401E-4</v>
      </c>
      <c r="S216">
        <v>3.8496917615873101E-2</v>
      </c>
      <c r="T216">
        <v>-0.78012180385768504</v>
      </c>
      <c r="U216">
        <v>0.78012180385768504</v>
      </c>
      <c r="V216">
        <v>-2.72</v>
      </c>
      <c r="W216">
        <v>7.3</v>
      </c>
      <c r="X216">
        <v>4032</v>
      </c>
      <c r="Y216">
        <v>224</v>
      </c>
      <c r="Z216">
        <v>0.12</v>
      </c>
      <c r="AA216">
        <v>18</v>
      </c>
      <c r="AB216">
        <v>10</v>
      </c>
      <c r="AC216">
        <v>8</v>
      </c>
      <c r="AD216">
        <v>55.56</v>
      </c>
      <c r="AE216">
        <v>11</v>
      </c>
      <c r="AF216">
        <v>7</v>
      </c>
      <c r="AG216">
        <v>5</v>
      </c>
      <c r="AH216">
        <v>6</v>
      </c>
    </row>
    <row r="217" spans="1:34">
      <c r="A217" s="111">
        <v>78</v>
      </c>
      <c r="B217">
        <v>3861</v>
      </c>
      <c r="C217" s="115" t="s">
        <v>92</v>
      </c>
      <c r="D217" s="115" t="s">
        <v>111</v>
      </c>
      <c r="E217">
        <v>596</v>
      </c>
      <c r="F217">
        <v>591</v>
      </c>
      <c r="G217">
        <v>1800</v>
      </c>
      <c r="H217" s="115" t="s">
        <v>87</v>
      </c>
      <c r="I217">
        <v>5703</v>
      </c>
      <c r="J217" s="115" t="s">
        <v>400</v>
      </c>
      <c r="K217" s="115" t="s">
        <v>182</v>
      </c>
      <c r="L217">
        <v>225</v>
      </c>
      <c r="M217">
        <v>227</v>
      </c>
      <c r="N217">
        <v>4700</v>
      </c>
      <c r="O217" s="115" t="s">
        <v>89</v>
      </c>
      <c r="P217">
        <v>0.97197016423604898</v>
      </c>
      <c r="Q217">
        <v>0.93296707614800101</v>
      </c>
      <c r="R217">
        <v>3.0834329084493999E-2</v>
      </c>
      <c r="S217">
        <v>0.14188197557867099</v>
      </c>
      <c r="T217">
        <v>-0.98032709659746398</v>
      </c>
      <c r="U217">
        <v>0.98032709659746398</v>
      </c>
      <c r="V217">
        <v>-2.29</v>
      </c>
      <c r="W217">
        <v>0.28999999999999998</v>
      </c>
      <c r="X217">
        <v>2389</v>
      </c>
      <c r="Y217">
        <v>100</v>
      </c>
      <c r="Z217">
        <v>0.02</v>
      </c>
      <c r="AA217">
        <v>24</v>
      </c>
      <c r="AB217">
        <v>12</v>
      </c>
      <c r="AC217">
        <v>12</v>
      </c>
      <c r="AD217">
        <v>50</v>
      </c>
      <c r="AE217">
        <v>12</v>
      </c>
      <c r="AF217">
        <v>9</v>
      </c>
      <c r="AG217">
        <v>7</v>
      </c>
      <c r="AH217">
        <v>8</v>
      </c>
    </row>
    <row r="218" spans="1:34">
      <c r="A218" s="111">
        <v>249</v>
      </c>
      <c r="B218">
        <v>5334</v>
      </c>
      <c r="C218" s="115" t="s">
        <v>395</v>
      </c>
      <c r="D218" s="115" t="s">
        <v>140</v>
      </c>
      <c r="E218">
        <v>2150</v>
      </c>
      <c r="F218">
        <v>2155</v>
      </c>
      <c r="G218">
        <v>500</v>
      </c>
      <c r="H218" s="115" t="s">
        <v>87</v>
      </c>
      <c r="I218">
        <v>5802</v>
      </c>
      <c r="J218" s="115" t="s">
        <v>181</v>
      </c>
      <c r="K218" s="115" t="s">
        <v>182</v>
      </c>
      <c r="L218">
        <v>1526.5</v>
      </c>
      <c r="M218">
        <v>1526.5</v>
      </c>
      <c r="N218">
        <v>700</v>
      </c>
      <c r="O218" s="115" t="s">
        <v>89</v>
      </c>
      <c r="P218">
        <v>0.96779030050029302</v>
      </c>
      <c r="Q218">
        <v>0.90675465036626202</v>
      </c>
      <c r="R218">
        <v>0.24496750242924001</v>
      </c>
      <c r="S218">
        <v>3.84793095904198E-2</v>
      </c>
      <c r="T218">
        <v>-1.69430330322849</v>
      </c>
      <c r="U218">
        <v>1.69430330322849</v>
      </c>
      <c r="V218">
        <v>-4.83</v>
      </c>
      <c r="W218">
        <v>0.83</v>
      </c>
      <c r="X218">
        <v>-1578</v>
      </c>
      <c r="Y218">
        <v>-93</v>
      </c>
      <c r="Z218">
        <v>-0.08</v>
      </c>
      <c r="AA218">
        <v>17</v>
      </c>
      <c r="AB218">
        <v>7</v>
      </c>
      <c r="AC218">
        <v>10</v>
      </c>
      <c r="AD218">
        <v>41.18</v>
      </c>
      <c r="AE218">
        <v>12</v>
      </c>
      <c r="AF218">
        <v>5</v>
      </c>
      <c r="AG218">
        <v>5</v>
      </c>
      <c r="AH218">
        <v>7</v>
      </c>
    </row>
    <row r="219" spans="1:34">
      <c r="A219" s="111">
        <v>46</v>
      </c>
      <c r="B219">
        <v>4062</v>
      </c>
      <c r="C219" s="115" t="s">
        <v>440</v>
      </c>
      <c r="D219" s="115" t="s">
        <v>118</v>
      </c>
      <c r="E219">
        <v>2487</v>
      </c>
      <c r="F219">
        <v>2454</v>
      </c>
      <c r="G219">
        <v>400</v>
      </c>
      <c r="H219" s="115" t="s">
        <v>87</v>
      </c>
      <c r="I219">
        <v>6920</v>
      </c>
      <c r="J219" s="115" t="s">
        <v>117</v>
      </c>
      <c r="K219" s="115" t="s">
        <v>118</v>
      </c>
      <c r="L219">
        <v>8640</v>
      </c>
      <c r="M219">
        <v>8660</v>
      </c>
      <c r="N219">
        <v>100</v>
      </c>
      <c r="O219" s="115" t="s">
        <v>89</v>
      </c>
      <c r="P219">
        <v>0.94877205292643096</v>
      </c>
      <c r="Q219">
        <v>0.93929869639061103</v>
      </c>
      <c r="R219">
        <v>6.6452604233513297E-3</v>
      </c>
      <c r="S219">
        <v>7.4000781531702406E-2</v>
      </c>
      <c r="T219">
        <v>-1.43005724486684</v>
      </c>
      <c r="U219">
        <v>1.43005724486684</v>
      </c>
      <c r="V219">
        <v>-15.36</v>
      </c>
      <c r="W219">
        <v>13.35</v>
      </c>
      <c r="X219">
        <v>-4708</v>
      </c>
      <c r="Y219">
        <v>-262</v>
      </c>
      <c r="Z219">
        <v>-0.02</v>
      </c>
      <c r="AA219">
        <v>18</v>
      </c>
      <c r="AB219">
        <v>9</v>
      </c>
      <c r="AC219">
        <v>9</v>
      </c>
      <c r="AD219">
        <v>50</v>
      </c>
      <c r="AE219">
        <v>10</v>
      </c>
      <c r="AF219">
        <v>8</v>
      </c>
      <c r="AG219">
        <v>7</v>
      </c>
      <c r="AH219">
        <v>3</v>
      </c>
    </row>
    <row r="220" spans="1:34">
      <c r="A220" s="111">
        <v>55</v>
      </c>
      <c r="B220">
        <v>6752</v>
      </c>
      <c r="C220" s="115" t="s">
        <v>139</v>
      </c>
      <c r="D220" s="115" t="s">
        <v>118</v>
      </c>
      <c r="E220">
        <v>998.1</v>
      </c>
      <c r="F220">
        <v>1005</v>
      </c>
      <c r="G220">
        <v>1000</v>
      </c>
      <c r="H220" s="115" t="s">
        <v>89</v>
      </c>
      <c r="I220">
        <v>8002</v>
      </c>
      <c r="J220" s="115" t="s">
        <v>57</v>
      </c>
      <c r="K220" s="115" t="s">
        <v>135</v>
      </c>
      <c r="L220">
        <v>794.1</v>
      </c>
      <c r="M220">
        <v>797.4</v>
      </c>
      <c r="N220">
        <v>1300</v>
      </c>
      <c r="O220" s="115" t="s">
        <v>87</v>
      </c>
      <c r="P220">
        <v>0.93311385907718003</v>
      </c>
      <c r="Q220">
        <v>0.93707493383899598</v>
      </c>
      <c r="R220">
        <v>0.13955621551011399</v>
      </c>
      <c r="S220">
        <v>2.8857511081666399E-3</v>
      </c>
      <c r="T220">
        <v>0.97658879440528101</v>
      </c>
      <c r="U220">
        <v>0.97658879440528101</v>
      </c>
      <c r="V220">
        <v>2.4700000000000002</v>
      </c>
      <c r="W220">
        <v>3.15</v>
      </c>
      <c r="X220">
        <v>-4844</v>
      </c>
      <c r="Y220">
        <v>-231</v>
      </c>
      <c r="Z220">
        <v>-0.02</v>
      </c>
      <c r="AA220">
        <v>21</v>
      </c>
      <c r="AB220">
        <v>11</v>
      </c>
      <c r="AC220">
        <v>10</v>
      </c>
      <c r="AD220">
        <v>52.38</v>
      </c>
      <c r="AE220">
        <v>15</v>
      </c>
      <c r="AF220">
        <v>5</v>
      </c>
      <c r="AG220">
        <v>4</v>
      </c>
      <c r="AH220">
        <v>12</v>
      </c>
    </row>
    <row r="221" spans="1:34">
      <c r="A221" s="111">
        <v>21</v>
      </c>
      <c r="B221">
        <v>1860</v>
      </c>
      <c r="C221" s="115" t="s">
        <v>145</v>
      </c>
      <c r="D221" s="115" t="s">
        <v>108</v>
      </c>
      <c r="E221">
        <v>671</v>
      </c>
      <c r="F221">
        <v>676</v>
      </c>
      <c r="G221">
        <v>1400</v>
      </c>
      <c r="H221" s="115" t="s">
        <v>87</v>
      </c>
      <c r="I221">
        <v>4182</v>
      </c>
      <c r="J221" s="115" t="s">
        <v>119</v>
      </c>
      <c r="K221" s="115" t="s">
        <v>88</v>
      </c>
      <c r="L221">
        <v>1620</v>
      </c>
      <c r="M221">
        <v>1632</v>
      </c>
      <c r="N221">
        <v>600</v>
      </c>
      <c r="O221" s="115" t="s">
        <v>89</v>
      </c>
      <c r="P221">
        <v>0.96187704351697301</v>
      </c>
      <c r="Q221">
        <v>0.94840935292035999</v>
      </c>
      <c r="R221" s="20">
        <v>0.21583332138970701</v>
      </c>
      <c r="S221">
        <v>4.0043991837484697E-4</v>
      </c>
      <c r="T221">
        <v>-1.5079567751198699</v>
      </c>
      <c r="U221">
        <v>1.5079567751198699</v>
      </c>
      <c r="V221">
        <v>-5.97</v>
      </c>
      <c r="W221">
        <v>3.35</v>
      </c>
      <c r="X221">
        <v>-6671</v>
      </c>
      <c r="Y221">
        <v>-445</v>
      </c>
      <c r="Z221">
        <v>0.03</v>
      </c>
      <c r="AA221">
        <v>15</v>
      </c>
      <c r="AB221">
        <v>7</v>
      </c>
      <c r="AC221">
        <v>8</v>
      </c>
      <c r="AD221">
        <v>46.67</v>
      </c>
      <c r="AE221">
        <v>10</v>
      </c>
      <c r="AF221">
        <v>5</v>
      </c>
      <c r="AG221">
        <v>5</v>
      </c>
      <c r="AH221">
        <v>5</v>
      </c>
    </row>
    <row r="222" spans="1:34">
      <c r="A222" s="111">
        <v>188</v>
      </c>
      <c r="B222">
        <v>2222</v>
      </c>
      <c r="C222" s="115" t="s">
        <v>431</v>
      </c>
      <c r="D222" s="115" t="s">
        <v>130</v>
      </c>
      <c r="E222">
        <v>7720</v>
      </c>
      <c r="F222">
        <v>7750</v>
      </c>
      <c r="G222">
        <v>100</v>
      </c>
      <c r="H222" s="115" t="s">
        <v>89</v>
      </c>
      <c r="I222">
        <v>4516</v>
      </c>
      <c r="J222" s="115" t="s">
        <v>432</v>
      </c>
      <c r="K222" s="115" t="s">
        <v>194</v>
      </c>
      <c r="L222">
        <v>9940</v>
      </c>
      <c r="M222">
        <v>9460</v>
      </c>
      <c r="N222">
        <v>100</v>
      </c>
      <c r="O222" s="115" t="s">
        <v>87</v>
      </c>
      <c r="P222">
        <v>0.91703223886614704</v>
      </c>
      <c r="Q222">
        <v>0.91489318686101495</v>
      </c>
      <c r="R222" s="20">
        <v>7.7379230638111398E-5</v>
      </c>
      <c r="S222">
        <v>9.16875563716332E-2</v>
      </c>
      <c r="T222">
        <v>1.59962233990397</v>
      </c>
      <c r="U222">
        <v>1.59962233990397</v>
      </c>
      <c r="V222">
        <v>4.33</v>
      </c>
      <c r="W222">
        <v>18.079999999999998</v>
      </c>
      <c r="X222">
        <v>-6765</v>
      </c>
      <c r="Y222">
        <v>-966</v>
      </c>
      <c r="Z222">
        <v>-0.1</v>
      </c>
      <c r="AA222">
        <v>7</v>
      </c>
      <c r="AB222">
        <v>4</v>
      </c>
      <c r="AC222">
        <v>3</v>
      </c>
      <c r="AD222">
        <v>57.14</v>
      </c>
      <c r="AE222">
        <v>7</v>
      </c>
      <c r="AF222">
        <v>3</v>
      </c>
      <c r="AG222">
        <v>3</v>
      </c>
      <c r="AH222">
        <v>1</v>
      </c>
    </row>
    <row r="223" spans="1:34">
      <c r="A223" s="111">
        <v>293</v>
      </c>
      <c r="B223">
        <v>1944</v>
      </c>
      <c r="C223" s="115" t="s">
        <v>185</v>
      </c>
      <c r="D223" s="115" t="s">
        <v>108</v>
      </c>
      <c r="E223">
        <v>1670</v>
      </c>
      <c r="F223">
        <v>1683</v>
      </c>
      <c r="G223">
        <v>600</v>
      </c>
      <c r="H223" s="115" t="s">
        <v>87</v>
      </c>
      <c r="I223">
        <v>7167</v>
      </c>
      <c r="J223" s="115" t="s">
        <v>134</v>
      </c>
      <c r="K223" s="115" t="s">
        <v>113</v>
      </c>
      <c r="L223">
        <v>281</v>
      </c>
      <c r="M223">
        <v>282</v>
      </c>
      <c r="N223">
        <v>3600</v>
      </c>
      <c r="O223" s="115" t="s">
        <v>89</v>
      </c>
      <c r="P223">
        <v>0.927567411634176</v>
      </c>
      <c r="Q223">
        <v>0.90043142416547395</v>
      </c>
      <c r="R223">
        <v>1.14882614541365E-3</v>
      </c>
      <c r="S223">
        <v>0.201846859531775</v>
      </c>
      <c r="T223">
        <v>-0.67710824882611098</v>
      </c>
      <c r="U223">
        <v>0.67710824882611098</v>
      </c>
      <c r="V223">
        <v>-3.1</v>
      </c>
      <c r="W223">
        <v>0.53</v>
      </c>
      <c r="X223">
        <v>-6844</v>
      </c>
      <c r="Y223">
        <v>-456</v>
      </c>
      <c r="Z223">
        <v>-0.05</v>
      </c>
      <c r="AA223">
        <v>15</v>
      </c>
      <c r="AB223">
        <v>8</v>
      </c>
      <c r="AC223">
        <v>7</v>
      </c>
      <c r="AD223">
        <v>53.33</v>
      </c>
      <c r="AE223">
        <v>14</v>
      </c>
      <c r="AF223">
        <v>4</v>
      </c>
      <c r="AG223">
        <v>2</v>
      </c>
      <c r="AH223">
        <v>9</v>
      </c>
    </row>
    <row r="224" spans="1:34">
      <c r="A224" s="111">
        <v>195</v>
      </c>
      <c r="B224">
        <v>6473</v>
      </c>
      <c r="C224" s="115" t="s">
        <v>184</v>
      </c>
      <c r="D224" s="115" t="s">
        <v>133</v>
      </c>
      <c r="E224">
        <v>1370</v>
      </c>
      <c r="F224">
        <v>1366</v>
      </c>
      <c r="G224">
        <v>400</v>
      </c>
      <c r="H224" s="115" t="s">
        <v>87</v>
      </c>
      <c r="I224">
        <v>6988</v>
      </c>
      <c r="J224" s="115" t="s">
        <v>197</v>
      </c>
      <c r="K224" s="115" t="s">
        <v>88</v>
      </c>
      <c r="L224">
        <v>6110</v>
      </c>
      <c r="M224">
        <v>6040</v>
      </c>
      <c r="N224">
        <v>100</v>
      </c>
      <c r="O224" s="115" t="s">
        <v>89</v>
      </c>
      <c r="P224">
        <v>0.96821764526186305</v>
      </c>
      <c r="Q224">
        <v>0.91358237527420005</v>
      </c>
      <c r="R224">
        <v>0.106530422871942</v>
      </c>
      <c r="S224">
        <v>1.89243062581534E-2</v>
      </c>
      <c r="T224">
        <v>-1.50011754528102</v>
      </c>
      <c r="U224">
        <v>1.50011754528102</v>
      </c>
      <c r="V224">
        <v>-3.04</v>
      </c>
      <c r="W224">
        <v>9.5399999999999991</v>
      </c>
      <c r="X224">
        <v>-8814</v>
      </c>
      <c r="Y224">
        <v>-630</v>
      </c>
      <c r="Z224">
        <v>-0.16</v>
      </c>
      <c r="AA224">
        <v>14</v>
      </c>
      <c r="AB224">
        <v>6</v>
      </c>
      <c r="AC224">
        <v>8</v>
      </c>
      <c r="AD224">
        <v>42.86</v>
      </c>
      <c r="AE224">
        <v>14</v>
      </c>
      <c r="AF224">
        <v>4</v>
      </c>
      <c r="AG224">
        <v>1</v>
      </c>
      <c r="AH224">
        <v>9</v>
      </c>
    </row>
    <row r="225" spans="1:34">
      <c r="A225" s="111">
        <v>28</v>
      </c>
      <c r="B225">
        <v>5802</v>
      </c>
      <c r="C225" s="115" t="s">
        <v>181</v>
      </c>
      <c r="D225" s="115" t="s">
        <v>182</v>
      </c>
      <c r="E225">
        <v>1526.5</v>
      </c>
      <c r="F225">
        <v>1526.5</v>
      </c>
      <c r="G225">
        <v>500</v>
      </c>
      <c r="H225" s="115" t="s">
        <v>87</v>
      </c>
      <c r="I225">
        <v>7259</v>
      </c>
      <c r="J225" s="115" t="s">
        <v>55</v>
      </c>
      <c r="K225" s="115" t="s">
        <v>115</v>
      </c>
      <c r="L225">
        <v>4125</v>
      </c>
      <c r="M225">
        <v>4090</v>
      </c>
      <c r="N225">
        <v>200</v>
      </c>
      <c r="O225" s="115" t="s">
        <v>89</v>
      </c>
      <c r="P225">
        <v>0.95849542108442698</v>
      </c>
      <c r="Q225">
        <v>0.94637974089961496</v>
      </c>
      <c r="R225" s="20">
        <v>0.30164893732497899</v>
      </c>
      <c r="S225">
        <v>8.4670789815433599E-3</v>
      </c>
      <c r="T225">
        <v>-0.99256375104361405</v>
      </c>
      <c r="U225">
        <v>0.99256375104361405</v>
      </c>
      <c r="V225">
        <v>-4.08</v>
      </c>
      <c r="W225">
        <v>6.69</v>
      </c>
      <c r="X225">
        <v>-10074</v>
      </c>
      <c r="Y225">
        <v>-775</v>
      </c>
      <c r="Z225">
        <v>-0.03</v>
      </c>
      <c r="AA225">
        <v>13</v>
      </c>
      <c r="AB225">
        <v>7</v>
      </c>
      <c r="AC225">
        <v>6</v>
      </c>
      <c r="AD225">
        <v>53.85</v>
      </c>
      <c r="AE225">
        <v>16</v>
      </c>
      <c r="AF225">
        <v>3</v>
      </c>
      <c r="AG225">
        <v>1</v>
      </c>
      <c r="AH225">
        <v>9</v>
      </c>
    </row>
    <row r="226" spans="1:34">
      <c r="A226" s="111">
        <v>288</v>
      </c>
      <c r="B226">
        <v>6371</v>
      </c>
      <c r="C226" s="115" t="s">
        <v>142</v>
      </c>
      <c r="D226" s="115" t="s">
        <v>133</v>
      </c>
      <c r="E226">
        <v>3765</v>
      </c>
      <c r="F226">
        <v>3780</v>
      </c>
      <c r="G226">
        <v>300</v>
      </c>
      <c r="H226" s="115" t="s">
        <v>87</v>
      </c>
      <c r="I226">
        <v>9810</v>
      </c>
      <c r="J226" s="115" t="s">
        <v>176</v>
      </c>
      <c r="K226" s="115" t="s">
        <v>135</v>
      </c>
      <c r="L226">
        <v>4950</v>
      </c>
      <c r="M226">
        <v>4995</v>
      </c>
      <c r="N226">
        <v>200</v>
      </c>
      <c r="O226" s="115" t="s">
        <v>89</v>
      </c>
      <c r="P226">
        <v>0.93334600481677699</v>
      </c>
      <c r="Q226">
        <v>0.90127078187217102</v>
      </c>
      <c r="R226">
        <v>0.17918000122212999</v>
      </c>
      <c r="S226">
        <v>3.5594990176469302E-3</v>
      </c>
      <c r="T226">
        <v>-2.0918957902305602</v>
      </c>
      <c r="U226">
        <v>2.0918957902305602</v>
      </c>
      <c r="V226">
        <v>-5.0199999999999996</v>
      </c>
      <c r="W226">
        <v>13.51</v>
      </c>
      <c r="X226">
        <v>-13050</v>
      </c>
      <c r="Y226">
        <v>-4350</v>
      </c>
      <c r="Z226">
        <v>0.3</v>
      </c>
      <c r="AA226">
        <v>3</v>
      </c>
      <c r="AB226">
        <v>2</v>
      </c>
      <c r="AC226">
        <v>1</v>
      </c>
      <c r="AD226">
        <v>66.67</v>
      </c>
      <c r="AE226">
        <v>13</v>
      </c>
      <c r="AF226">
        <v>1</v>
      </c>
      <c r="AG226">
        <v>1</v>
      </c>
      <c r="AH226">
        <v>1</v>
      </c>
    </row>
    <row r="227" spans="1:34">
      <c r="A227" s="111">
        <v>95</v>
      </c>
      <c r="B227">
        <v>4183</v>
      </c>
      <c r="C227" s="115" t="s">
        <v>394</v>
      </c>
      <c r="D227" s="115" t="s">
        <v>88</v>
      </c>
      <c r="E227">
        <v>2609</v>
      </c>
      <c r="F227">
        <v>2633</v>
      </c>
      <c r="G227">
        <v>400</v>
      </c>
      <c r="H227" s="115" t="s">
        <v>89</v>
      </c>
      <c r="I227">
        <v>6301</v>
      </c>
      <c r="J227" s="115" t="s">
        <v>143</v>
      </c>
      <c r="K227" s="115" t="s">
        <v>133</v>
      </c>
      <c r="L227">
        <v>2550</v>
      </c>
      <c r="M227">
        <v>2552</v>
      </c>
      <c r="N227">
        <v>400</v>
      </c>
      <c r="O227" s="115" t="s">
        <v>87</v>
      </c>
      <c r="P227">
        <v>0.96855113495479195</v>
      </c>
      <c r="Q227">
        <v>0.92716574458351897</v>
      </c>
      <c r="R227">
        <v>4.35790755199865E-2</v>
      </c>
      <c r="S227">
        <v>2.43237760700396E-3</v>
      </c>
      <c r="T227">
        <v>1.30965663676773</v>
      </c>
      <c r="U227">
        <v>1.30965663676773</v>
      </c>
      <c r="V227">
        <v>2.2400000000000002</v>
      </c>
      <c r="W227">
        <v>3.08</v>
      </c>
      <c r="X227">
        <v>-14105</v>
      </c>
      <c r="Y227">
        <v>-1567</v>
      </c>
      <c r="Z227">
        <v>-0.03</v>
      </c>
      <c r="AA227">
        <v>9</v>
      </c>
      <c r="AB227">
        <v>5</v>
      </c>
      <c r="AC227">
        <v>4</v>
      </c>
      <c r="AD227">
        <v>55.56</v>
      </c>
      <c r="AE227">
        <v>15</v>
      </c>
      <c r="AF227">
        <v>1</v>
      </c>
      <c r="AG227">
        <v>1</v>
      </c>
      <c r="AH227">
        <v>7</v>
      </c>
    </row>
    <row r="228" spans="1:34">
      <c r="A228" s="111">
        <v>135</v>
      </c>
      <c r="B228">
        <v>1942</v>
      </c>
      <c r="C228" s="115" t="s">
        <v>107</v>
      </c>
      <c r="D228" s="115" t="s">
        <v>108</v>
      </c>
      <c r="E228">
        <v>1061</v>
      </c>
      <c r="F228">
        <v>1060</v>
      </c>
      <c r="G228">
        <v>1000</v>
      </c>
      <c r="H228" s="115" t="s">
        <v>89</v>
      </c>
      <c r="I228">
        <v>1959</v>
      </c>
      <c r="J228" s="115" t="s">
        <v>204</v>
      </c>
      <c r="K228" s="115" t="s">
        <v>108</v>
      </c>
      <c r="L228">
        <v>3510</v>
      </c>
      <c r="M228">
        <v>3570</v>
      </c>
      <c r="N228">
        <v>300</v>
      </c>
      <c r="O228" s="115" t="s">
        <v>87</v>
      </c>
      <c r="P228">
        <v>0.91415137729161799</v>
      </c>
      <c r="Q228">
        <v>0.92178320857826401</v>
      </c>
      <c r="R228">
        <v>0.23395585964648799</v>
      </c>
      <c r="S228">
        <v>1.30476526235303E-2</v>
      </c>
      <c r="T228">
        <v>2.3639368481897001</v>
      </c>
      <c r="U228">
        <v>2.3639368481897001</v>
      </c>
      <c r="V228">
        <v>5.38</v>
      </c>
      <c r="W228">
        <v>1.03</v>
      </c>
      <c r="X228">
        <v>-14484</v>
      </c>
      <c r="Y228">
        <v>-1035</v>
      </c>
      <c r="Z228">
        <v>-0.04</v>
      </c>
      <c r="AA228">
        <v>14</v>
      </c>
      <c r="AB228">
        <v>6</v>
      </c>
      <c r="AC228">
        <v>8</v>
      </c>
      <c r="AD228">
        <v>42.86</v>
      </c>
      <c r="AE228">
        <v>15</v>
      </c>
      <c r="AF228">
        <v>4</v>
      </c>
      <c r="AG228">
        <v>4</v>
      </c>
      <c r="AH228">
        <v>6</v>
      </c>
    </row>
    <row r="229" spans="1:34">
      <c r="A229" s="111">
        <v>42</v>
      </c>
      <c r="B229">
        <v>8306</v>
      </c>
      <c r="C229" s="115" t="s">
        <v>207</v>
      </c>
      <c r="D229" s="115" t="s">
        <v>113</v>
      </c>
      <c r="E229">
        <v>571.4</v>
      </c>
      <c r="F229">
        <v>571.9</v>
      </c>
      <c r="G229">
        <v>1900</v>
      </c>
      <c r="H229" s="115" t="s">
        <v>89</v>
      </c>
      <c r="I229">
        <v>8411</v>
      </c>
      <c r="J229" s="115" t="s">
        <v>160</v>
      </c>
      <c r="K229" s="115" t="s">
        <v>113</v>
      </c>
      <c r="L229">
        <v>168.5</v>
      </c>
      <c r="M229">
        <v>168.8</v>
      </c>
      <c r="N229">
        <v>6400</v>
      </c>
      <c r="O229" s="115" t="s">
        <v>87</v>
      </c>
      <c r="P229">
        <v>0.98364026214773603</v>
      </c>
      <c r="Q229">
        <v>0.94050765941471703</v>
      </c>
      <c r="R229">
        <v>0.16196256191481201</v>
      </c>
      <c r="S229">
        <v>0.23841656413312701</v>
      </c>
      <c r="T229">
        <v>1.0562039849404099</v>
      </c>
      <c r="U229">
        <v>1.0562039849404099</v>
      </c>
      <c r="V229">
        <v>1.73</v>
      </c>
      <c r="W229">
        <v>0.57999999999999996</v>
      </c>
      <c r="X229">
        <v>-15387</v>
      </c>
      <c r="Y229">
        <v>-905</v>
      </c>
      <c r="Z229">
        <v>-0.04</v>
      </c>
      <c r="AA229">
        <v>17</v>
      </c>
      <c r="AB229">
        <v>7</v>
      </c>
      <c r="AC229">
        <v>10</v>
      </c>
      <c r="AD229">
        <v>41.18</v>
      </c>
      <c r="AE229">
        <v>17</v>
      </c>
      <c r="AF229">
        <v>2</v>
      </c>
      <c r="AG229">
        <v>0</v>
      </c>
      <c r="AH229">
        <v>15</v>
      </c>
    </row>
    <row r="230" spans="1:34">
      <c r="A230" s="111">
        <v>131</v>
      </c>
      <c r="B230">
        <v>6201</v>
      </c>
      <c r="C230" s="115" t="s">
        <v>433</v>
      </c>
      <c r="D230" s="115" t="s">
        <v>115</v>
      </c>
      <c r="E230">
        <v>6320</v>
      </c>
      <c r="F230">
        <v>6370</v>
      </c>
      <c r="G230">
        <v>100</v>
      </c>
      <c r="H230" s="115" t="s">
        <v>89</v>
      </c>
      <c r="I230">
        <v>6506</v>
      </c>
      <c r="J230" s="115" t="s">
        <v>164</v>
      </c>
      <c r="K230" s="115" t="s">
        <v>118</v>
      </c>
      <c r="L230">
        <v>4020</v>
      </c>
      <c r="M230">
        <v>3985</v>
      </c>
      <c r="N230">
        <v>200</v>
      </c>
      <c r="O230" s="115" t="s">
        <v>87</v>
      </c>
      <c r="P230">
        <v>0.939279799194496</v>
      </c>
      <c r="Q230">
        <v>0.92288139195567398</v>
      </c>
      <c r="R230">
        <v>3.9381890310288797E-2</v>
      </c>
      <c r="S230">
        <v>3.4367293234044902E-3</v>
      </c>
      <c r="T230">
        <v>0.21013407857859701</v>
      </c>
      <c r="U230">
        <v>0.21013407857859701</v>
      </c>
      <c r="V230">
        <v>0.56000000000000005</v>
      </c>
      <c r="W230">
        <v>25.12</v>
      </c>
      <c r="X230">
        <v>-15466</v>
      </c>
      <c r="Y230">
        <v>-2209</v>
      </c>
      <c r="Z230">
        <v>-0.65</v>
      </c>
      <c r="AA230">
        <v>7</v>
      </c>
      <c r="AB230">
        <v>3</v>
      </c>
      <c r="AC230">
        <v>4</v>
      </c>
      <c r="AD230">
        <v>42.86</v>
      </c>
      <c r="AE230">
        <v>5</v>
      </c>
      <c r="AF230">
        <v>3</v>
      </c>
      <c r="AG230">
        <v>4</v>
      </c>
      <c r="AH230">
        <v>0</v>
      </c>
    </row>
    <row r="231" spans="1:34">
      <c r="A231" s="111">
        <v>110</v>
      </c>
      <c r="B231">
        <v>1928</v>
      </c>
      <c r="C231" s="115" t="s">
        <v>396</v>
      </c>
      <c r="D231" s="115" t="s">
        <v>108</v>
      </c>
      <c r="E231">
        <v>2379.5</v>
      </c>
      <c r="F231">
        <v>2380.5</v>
      </c>
      <c r="G231">
        <v>400</v>
      </c>
      <c r="H231" s="115" t="s">
        <v>87</v>
      </c>
      <c r="I231">
        <v>4613</v>
      </c>
      <c r="J231" s="115" t="s">
        <v>428</v>
      </c>
      <c r="K231" s="115" t="s">
        <v>88</v>
      </c>
      <c r="L231">
        <v>2774</v>
      </c>
      <c r="M231">
        <v>2786</v>
      </c>
      <c r="N231">
        <v>300</v>
      </c>
      <c r="O231" s="115" t="s">
        <v>89</v>
      </c>
      <c r="P231">
        <v>0.97349499348540003</v>
      </c>
      <c r="Q231">
        <v>0.92550265281882804</v>
      </c>
      <c r="R231">
        <v>7.2930393741917898E-3</v>
      </c>
      <c r="S231">
        <v>5.1560367194015598E-2</v>
      </c>
      <c r="T231">
        <v>-0.87728898383942</v>
      </c>
      <c r="U231">
        <v>0.87728898383942</v>
      </c>
      <c r="V231">
        <v>-1.7</v>
      </c>
      <c r="W231">
        <v>13.93</v>
      </c>
      <c r="X231">
        <v>-16022</v>
      </c>
      <c r="Y231">
        <v>-1232</v>
      </c>
      <c r="Z231">
        <v>-0.04</v>
      </c>
      <c r="AA231">
        <v>13</v>
      </c>
      <c r="AB231">
        <v>7</v>
      </c>
      <c r="AC231">
        <v>6</v>
      </c>
      <c r="AD231">
        <v>53.85</v>
      </c>
      <c r="AE231">
        <v>13</v>
      </c>
      <c r="AF231">
        <v>5</v>
      </c>
      <c r="AG231">
        <v>3</v>
      </c>
      <c r="AH231">
        <v>5</v>
      </c>
    </row>
    <row r="232" spans="1:34">
      <c r="A232" s="111">
        <v>105</v>
      </c>
      <c r="B232">
        <v>1944</v>
      </c>
      <c r="C232" s="115" t="s">
        <v>185</v>
      </c>
      <c r="D232" s="115" t="s">
        <v>108</v>
      </c>
      <c r="E232">
        <v>1670</v>
      </c>
      <c r="F232">
        <v>1683</v>
      </c>
      <c r="G232">
        <v>600</v>
      </c>
      <c r="H232" s="115" t="s">
        <v>87</v>
      </c>
      <c r="I232">
        <v>8377</v>
      </c>
      <c r="J232" s="115" t="s">
        <v>127</v>
      </c>
      <c r="K232" s="115" t="s">
        <v>113</v>
      </c>
      <c r="L232">
        <v>1116</v>
      </c>
      <c r="M232">
        <v>1116</v>
      </c>
      <c r="N232">
        <v>900</v>
      </c>
      <c r="O232" s="115" t="s">
        <v>89</v>
      </c>
      <c r="P232">
        <v>0.923339689825595</v>
      </c>
      <c r="Q232">
        <v>0.92594342769460203</v>
      </c>
      <c r="R232">
        <v>6.8048863329293304E-3</v>
      </c>
      <c r="S232">
        <v>1.27668911868596E-2</v>
      </c>
      <c r="T232">
        <v>-0.88364661037390801</v>
      </c>
      <c r="U232">
        <v>0.88364661037390801</v>
      </c>
      <c r="V232">
        <v>-2.66</v>
      </c>
      <c r="W232">
        <v>0.53</v>
      </c>
      <c r="X232">
        <v>-16948</v>
      </c>
      <c r="Y232">
        <v>-997</v>
      </c>
      <c r="Z232">
        <v>-0.01</v>
      </c>
      <c r="AA232">
        <v>17</v>
      </c>
      <c r="AB232">
        <v>8</v>
      </c>
      <c r="AC232">
        <v>9</v>
      </c>
      <c r="AD232">
        <v>47.06</v>
      </c>
      <c r="AE232">
        <v>14</v>
      </c>
      <c r="AF232">
        <v>4</v>
      </c>
      <c r="AG232">
        <v>3</v>
      </c>
      <c r="AH232">
        <v>10</v>
      </c>
    </row>
    <row r="233" spans="1:34">
      <c r="A233" s="111">
        <v>140</v>
      </c>
      <c r="B233">
        <v>6472</v>
      </c>
      <c r="C233" s="115" t="s">
        <v>189</v>
      </c>
      <c r="D233" s="115" t="s">
        <v>133</v>
      </c>
      <c r="E233">
        <v>322</v>
      </c>
      <c r="F233">
        <v>327</v>
      </c>
      <c r="G233">
        <v>3200</v>
      </c>
      <c r="H233" s="115" t="s">
        <v>87</v>
      </c>
      <c r="I233">
        <v>8002</v>
      </c>
      <c r="J233" s="115" t="s">
        <v>57</v>
      </c>
      <c r="K233" s="115" t="s">
        <v>135</v>
      </c>
      <c r="L233">
        <v>794.1</v>
      </c>
      <c r="M233">
        <v>797.4</v>
      </c>
      <c r="N233">
        <v>1300</v>
      </c>
      <c r="O233" s="115" t="s">
        <v>89</v>
      </c>
      <c r="P233">
        <v>0.92481825014641905</v>
      </c>
      <c r="Q233">
        <v>0.92124623147664997</v>
      </c>
      <c r="R233" s="20">
        <v>0.122994451703132</v>
      </c>
      <c r="S233">
        <v>9.45475721715309E-3</v>
      </c>
      <c r="T233">
        <v>-1.1750836853647</v>
      </c>
      <c r="U233">
        <v>1.1750836853647</v>
      </c>
      <c r="V233">
        <v>-4.57</v>
      </c>
      <c r="W233">
        <v>0.94</v>
      </c>
      <c r="X233">
        <v>-17617</v>
      </c>
      <c r="Y233">
        <v>-927</v>
      </c>
      <c r="Z233">
        <v>-0.04</v>
      </c>
      <c r="AA233">
        <v>19</v>
      </c>
      <c r="AB233">
        <v>10</v>
      </c>
      <c r="AC233">
        <v>9</v>
      </c>
      <c r="AD233">
        <v>52.63</v>
      </c>
      <c r="AE233">
        <v>14</v>
      </c>
      <c r="AF233">
        <v>7</v>
      </c>
      <c r="AG233">
        <v>3</v>
      </c>
      <c r="AH233">
        <v>9</v>
      </c>
    </row>
    <row r="234" spans="1:34">
      <c r="A234" s="111">
        <v>222</v>
      </c>
      <c r="B234">
        <v>4182</v>
      </c>
      <c r="C234" s="115" t="s">
        <v>119</v>
      </c>
      <c r="D234" s="115" t="s">
        <v>88</v>
      </c>
      <c r="E234">
        <v>1620</v>
      </c>
      <c r="F234">
        <v>1632</v>
      </c>
      <c r="G234">
        <v>600</v>
      </c>
      <c r="H234" s="115" t="s">
        <v>89</v>
      </c>
      <c r="I234">
        <v>6472</v>
      </c>
      <c r="J234" s="115" t="s">
        <v>189</v>
      </c>
      <c r="K234" s="115" t="s">
        <v>133</v>
      </c>
      <c r="L234">
        <v>322</v>
      </c>
      <c r="M234">
        <v>327</v>
      </c>
      <c r="N234">
        <v>3000</v>
      </c>
      <c r="O234" s="115" t="s">
        <v>87</v>
      </c>
      <c r="P234">
        <v>0.94714478659324197</v>
      </c>
      <c r="Q234">
        <v>0.91016680239300196</v>
      </c>
      <c r="R234">
        <v>2.7409364947685502E-2</v>
      </c>
      <c r="S234">
        <v>6.6171231723845897E-2</v>
      </c>
      <c r="T234">
        <v>3.11539562738598</v>
      </c>
      <c r="U234">
        <v>3.11539562738598</v>
      </c>
      <c r="V234">
        <v>8.5299999999999994</v>
      </c>
      <c r="W234">
        <v>0.18</v>
      </c>
      <c r="X234">
        <v>-19437</v>
      </c>
      <c r="Y234">
        <v>-1080</v>
      </c>
      <c r="Z234">
        <v>-0.04</v>
      </c>
      <c r="AA234">
        <v>18</v>
      </c>
      <c r="AB234">
        <v>9</v>
      </c>
      <c r="AC234">
        <v>9</v>
      </c>
      <c r="AD234">
        <v>50</v>
      </c>
      <c r="AE234">
        <v>13</v>
      </c>
      <c r="AF234">
        <v>6</v>
      </c>
      <c r="AG234">
        <v>5</v>
      </c>
      <c r="AH234">
        <v>7</v>
      </c>
    </row>
    <row r="235" spans="1:34">
      <c r="A235" s="111">
        <v>142</v>
      </c>
      <c r="B235">
        <v>4005</v>
      </c>
      <c r="C235" s="115" t="s">
        <v>153</v>
      </c>
      <c r="D235" s="115" t="s">
        <v>88</v>
      </c>
      <c r="E235">
        <v>503</v>
      </c>
      <c r="F235">
        <v>500</v>
      </c>
      <c r="G235">
        <v>2200</v>
      </c>
      <c r="H235" s="115" t="s">
        <v>87</v>
      </c>
      <c r="I235">
        <v>8411</v>
      </c>
      <c r="J235" s="115" t="s">
        <v>160</v>
      </c>
      <c r="K235" s="115" t="s">
        <v>113</v>
      </c>
      <c r="L235">
        <v>168.5</v>
      </c>
      <c r="M235">
        <v>168.8</v>
      </c>
      <c r="N235">
        <v>6500</v>
      </c>
      <c r="O235" s="115" t="s">
        <v>89</v>
      </c>
      <c r="P235">
        <v>0.91509864159173604</v>
      </c>
      <c r="Q235">
        <v>0.920682956977946</v>
      </c>
      <c r="R235">
        <v>6.5115127385526701E-3</v>
      </c>
      <c r="S235">
        <v>1.9408402291938898E-2</v>
      </c>
      <c r="T235">
        <v>-0.88364776014521196</v>
      </c>
      <c r="U235">
        <v>0.88364776014521196</v>
      </c>
      <c r="V235">
        <v>-1.33</v>
      </c>
      <c r="W235">
        <v>0.25</v>
      </c>
      <c r="X235">
        <v>-19548</v>
      </c>
      <c r="Y235">
        <v>-1222</v>
      </c>
      <c r="Z235">
        <v>-0.08</v>
      </c>
      <c r="AA235">
        <v>16</v>
      </c>
      <c r="AB235">
        <v>8</v>
      </c>
      <c r="AC235">
        <v>8</v>
      </c>
      <c r="AD235">
        <v>50</v>
      </c>
      <c r="AE235">
        <v>12</v>
      </c>
      <c r="AF235">
        <v>5</v>
      </c>
      <c r="AG235">
        <v>5</v>
      </c>
      <c r="AH235">
        <v>6</v>
      </c>
    </row>
    <row r="236" spans="1:34">
      <c r="A236" s="111">
        <v>22</v>
      </c>
      <c r="B236">
        <v>7167</v>
      </c>
      <c r="C236" s="115" t="s">
        <v>134</v>
      </c>
      <c r="D236" s="115" t="s">
        <v>113</v>
      </c>
      <c r="E236">
        <v>281</v>
      </c>
      <c r="F236">
        <v>282</v>
      </c>
      <c r="G236">
        <v>3000</v>
      </c>
      <c r="H236" s="115" t="s">
        <v>87</v>
      </c>
      <c r="I236">
        <v>8309</v>
      </c>
      <c r="J236" s="115" t="s">
        <v>52</v>
      </c>
      <c r="K236" s="115" t="s">
        <v>113</v>
      </c>
      <c r="L236">
        <v>4202</v>
      </c>
      <c r="M236">
        <v>4210</v>
      </c>
      <c r="N236">
        <v>200</v>
      </c>
      <c r="O236" s="115" t="s">
        <v>89</v>
      </c>
      <c r="P236">
        <v>0.96290028071905598</v>
      </c>
      <c r="Q236">
        <v>0.94828279156781203</v>
      </c>
      <c r="R236">
        <v>0.120881470992533</v>
      </c>
      <c r="S236">
        <v>1.0806388687202E-2</v>
      </c>
      <c r="T236">
        <v>-1.5251435725381099</v>
      </c>
      <c r="U236">
        <v>1.5251435725381099</v>
      </c>
      <c r="V236">
        <v>-2.8</v>
      </c>
      <c r="W236">
        <v>0.48</v>
      </c>
      <c r="X236">
        <v>-21468</v>
      </c>
      <c r="Y236">
        <v>-1651</v>
      </c>
      <c r="Z236">
        <v>-0.08</v>
      </c>
      <c r="AA236">
        <v>13</v>
      </c>
      <c r="AB236">
        <v>6</v>
      </c>
      <c r="AC236">
        <v>7</v>
      </c>
      <c r="AD236">
        <v>46.15</v>
      </c>
      <c r="AE236">
        <v>15</v>
      </c>
      <c r="AF236">
        <v>2</v>
      </c>
      <c r="AG236">
        <v>1</v>
      </c>
      <c r="AH236">
        <v>10</v>
      </c>
    </row>
    <row r="237" spans="1:34">
      <c r="A237" s="111">
        <v>172</v>
      </c>
      <c r="B237">
        <v>5991</v>
      </c>
      <c r="C237" s="115" t="s">
        <v>149</v>
      </c>
      <c r="D237" s="115" t="s">
        <v>150</v>
      </c>
      <c r="E237">
        <v>953</v>
      </c>
      <c r="F237">
        <v>957</v>
      </c>
      <c r="G237">
        <v>1000</v>
      </c>
      <c r="H237" s="115" t="s">
        <v>89</v>
      </c>
      <c r="I237">
        <v>7267</v>
      </c>
      <c r="J237" s="115" t="s">
        <v>154</v>
      </c>
      <c r="K237" s="115" t="s">
        <v>115</v>
      </c>
      <c r="L237">
        <v>3089</v>
      </c>
      <c r="M237">
        <v>3103</v>
      </c>
      <c r="N237">
        <v>300</v>
      </c>
      <c r="O237" s="115" t="s">
        <v>87</v>
      </c>
      <c r="P237">
        <v>0.97605985599892298</v>
      </c>
      <c r="Q237">
        <v>0.91619272148074604</v>
      </c>
      <c r="R237" s="20">
        <v>8.2674802301513903E-2</v>
      </c>
      <c r="S237">
        <v>4.4008796547197103E-2</v>
      </c>
      <c r="T237">
        <v>1.45249841279194</v>
      </c>
      <c r="U237">
        <v>1.45249841279194</v>
      </c>
      <c r="V237">
        <v>3.61</v>
      </c>
      <c r="W237">
        <v>2.8</v>
      </c>
      <c r="X237">
        <v>-24390</v>
      </c>
      <c r="Y237">
        <v>-1876</v>
      </c>
      <c r="Z237">
        <v>-0.06</v>
      </c>
      <c r="AA237">
        <v>13</v>
      </c>
      <c r="AB237">
        <v>8</v>
      </c>
      <c r="AC237">
        <v>5</v>
      </c>
      <c r="AD237">
        <v>61.54</v>
      </c>
      <c r="AE237">
        <v>16</v>
      </c>
      <c r="AF237">
        <v>1</v>
      </c>
      <c r="AG237">
        <v>1</v>
      </c>
      <c r="AH237">
        <v>11</v>
      </c>
    </row>
    <row r="238" spans="1:34">
      <c r="A238" s="111">
        <v>268</v>
      </c>
      <c r="B238">
        <v>6301</v>
      </c>
      <c r="C238" s="115" t="s">
        <v>143</v>
      </c>
      <c r="D238" s="115" t="s">
        <v>133</v>
      </c>
      <c r="E238">
        <v>2550</v>
      </c>
      <c r="F238">
        <v>2552</v>
      </c>
      <c r="G238">
        <v>300</v>
      </c>
      <c r="H238" s="115" t="s">
        <v>87</v>
      </c>
      <c r="I238">
        <v>8316</v>
      </c>
      <c r="J238" s="115" t="s">
        <v>192</v>
      </c>
      <c r="K238" s="115" t="s">
        <v>113</v>
      </c>
      <c r="L238">
        <v>3963</v>
      </c>
      <c r="M238">
        <v>3969</v>
      </c>
      <c r="N238">
        <v>200</v>
      </c>
      <c r="O238" s="115" t="s">
        <v>89</v>
      </c>
      <c r="P238">
        <v>0.97995870240818606</v>
      </c>
      <c r="Q238">
        <v>0.90377232446099098</v>
      </c>
      <c r="R238">
        <v>0.27516926442992501</v>
      </c>
      <c r="S238">
        <v>1.05342613644857E-2</v>
      </c>
      <c r="T238">
        <v>-1.2644187771326401</v>
      </c>
      <c r="U238">
        <v>1.2644187771326401</v>
      </c>
      <c r="V238">
        <v>-1.99</v>
      </c>
      <c r="W238">
        <v>3.55</v>
      </c>
      <c r="X238">
        <v>-28084</v>
      </c>
      <c r="Y238">
        <v>-3510</v>
      </c>
      <c r="Z238">
        <v>-0.16</v>
      </c>
      <c r="AA238">
        <v>8</v>
      </c>
      <c r="AB238">
        <v>4</v>
      </c>
      <c r="AC238">
        <v>4</v>
      </c>
      <c r="AD238">
        <v>50</v>
      </c>
      <c r="AE238">
        <v>12</v>
      </c>
      <c r="AF238">
        <v>3</v>
      </c>
      <c r="AG238">
        <v>3</v>
      </c>
      <c r="AH238">
        <v>2</v>
      </c>
    </row>
    <row r="239" spans="1:34">
      <c r="A239" s="111">
        <v>183</v>
      </c>
      <c r="B239">
        <v>6371</v>
      </c>
      <c r="C239" s="115" t="s">
        <v>142</v>
      </c>
      <c r="D239" s="115" t="s">
        <v>133</v>
      </c>
      <c r="E239">
        <v>3765</v>
      </c>
      <c r="F239">
        <v>3780</v>
      </c>
      <c r="G239">
        <v>200</v>
      </c>
      <c r="H239" s="115" t="s">
        <v>87</v>
      </c>
      <c r="I239">
        <v>7272</v>
      </c>
      <c r="J239" s="115" t="s">
        <v>391</v>
      </c>
      <c r="K239" s="115" t="s">
        <v>115</v>
      </c>
      <c r="L239">
        <v>2247</v>
      </c>
      <c r="M239">
        <v>2250</v>
      </c>
      <c r="N239">
        <v>300</v>
      </c>
      <c r="O239" s="115" t="s">
        <v>89</v>
      </c>
      <c r="P239">
        <v>0.94331147207380295</v>
      </c>
      <c r="Q239">
        <v>0.91517617867824597</v>
      </c>
      <c r="R239">
        <v>0.157895222691077</v>
      </c>
      <c r="S239">
        <v>6.3222527129588096E-3</v>
      </c>
      <c r="T239">
        <v>-1.4083908449937299</v>
      </c>
      <c r="U239">
        <v>1.4083908449937299</v>
      </c>
      <c r="V239">
        <v>-5.6</v>
      </c>
      <c r="W239">
        <v>10.71</v>
      </c>
      <c r="X239">
        <v>-28954</v>
      </c>
      <c r="Y239">
        <v>-2632</v>
      </c>
      <c r="Z239">
        <v>-0.13</v>
      </c>
      <c r="AA239">
        <v>11</v>
      </c>
      <c r="AB239">
        <v>6</v>
      </c>
      <c r="AC239">
        <v>5</v>
      </c>
      <c r="AD239">
        <v>54.55</v>
      </c>
      <c r="AE239">
        <v>13</v>
      </c>
      <c r="AF239">
        <v>3</v>
      </c>
      <c r="AG239">
        <v>3</v>
      </c>
      <c r="AH239">
        <v>5</v>
      </c>
    </row>
    <row r="240" spans="1:34">
      <c r="A240" s="111">
        <v>210</v>
      </c>
      <c r="B240">
        <v>1973</v>
      </c>
      <c r="C240" s="115" t="s">
        <v>409</v>
      </c>
      <c r="D240" s="115" t="s">
        <v>110</v>
      </c>
      <c r="E240">
        <v>3475</v>
      </c>
      <c r="F240">
        <v>3510</v>
      </c>
      <c r="G240">
        <v>300</v>
      </c>
      <c r="H240" s="115" t="s">
        <v>89</v>
      </c>
      <c r="I240">
        <v>6951</v>
      </c>
      <c r="J240" s="115" t="s">
        <v>434</v>
      </c>
      <c r="K240" s="115" t="s">
        <v>118</v>
      </c>
      <c r="L240">
        <v>2914</v>
      </c>
      <c r="M240">
        <v>2849</v>
      </c>
      <c r="N240">
        <v>400</v>
      </c>
      <c r="O240" s="115" t="s">
        <v>87</v>
      </c>
      <c r="P240">
        <v>0.91326262545930603</v>
      </c>
      <c r="Q240">
        <v>0.91136045112922104</v>
      </c>
      <c r="R240" s="20">
        <v>3.2417319136584001E-2</v>
      </c>
      <c r="S240">
        <v>5.5225166525961801E-3</v>
      </c>
      <c r="T240">
        <v>2.0982685619832302</v>
      </c>
      <c r="U240">
        <v>2.0982685619832302</v>
      </c>
      <c r="V240">
        <v>6.65</v>
      </c>
      <c r="W240">
        <v>8.2200000000000006</v>
      </c>
      <c r="X240">
        <v>-33445</v>
      </c>
      <c r="Y240">
        <v>-1967</v>
      </c>
      <c r="Z240">
        <v>-0.08</v>
      </c>
      <c r="AA240">
        <v>17</v>
      </c>
      <c r="AB240">
        <v>9</v>
      </c>
      <c r="AC240">
        <v>8</v>
      </c>
      <c r="AD240">
        <v>52.94</v>
      </c>
      <c r="AE240">
        <v>11</v>
      </c>
      <c r="AF240">
        <v>6</v>
      </c>
      <c r="AG240">
        <v>8</v>
      </c>
      <c r="AH240">
        <v>3</v>
      </c>
    </row>
    <row r="241" spans="1:34">
      <c r="A241" s="111">
        <v>212</v>
      </c>
      <c r="B241">
        <v>7186</v>
      </c>
      <c r="C241" s="115" t="s">
        <v>51</v>
      </c>
      <c r="D241" s="115" t="s">
        <v>113</v>
      </c>
      <c r="E241">
        <v>440</v>
      </c>
      <c r="F241">
        <v>445</v>
      </c>
      <c r="G241">
        <v>2400</v>
      </c>
      <c r="H241" s="115" t="s">
        <v>89</v>
      </c>
      <c r="I241">
        <v>8359</v>
      </c>
      <c r="J241" s="115" t="s">
        <v>155</v>
      </c>
      <c r="K241" s="115" t="s">
        <v>113</v>
      </c>
      <c r="L241">
        <v>461</v>
      </c>
      <c r="M241">
        <v>463</v>
      </c>
      <c r="N241">
        <v>2300</v>
      </c>
      <c r="O241" s="115" t="s">
        <v>87</v>
      </c>
      <c r="P241">
        <v>0.96989245464961404</v>
      </c>
      <c r="Q241">
        <v>0.91081722263335696</v>
      </c>
      <c r="R241">
        <v>9.4168088714393E-2</v>
      </c>
      <c r="S241">
        <v>5.7028772073795898E-2</v>
      </c>
      <c r="T241">
        <v>1.11566161983086</v>
      </c>
      <c r="U241">
        <v>1.11566161983086</v>
      </c>
      <c r="V241">
        <v>2.08</v>
      </c>
      <c r="W241">
        <v>0.28999999999999998</v>
      </c>
      <c r="X241">
        <v>-35049</v>
      </c>
      <c r="Y241">
        <v>-1752</v>
      </c>
      <c r="Z241">
        <v>-0.1</v>
      </c>
      <c r="AA241">
        <v>20</v>
      </c>
      <c r="AB241">
        <v>10</v>
      </c>
      <c r="AC241">
        <v>10</v>
      </c>
      <c r="AD241">
        <v>50</v>
      </c>
      <c r="AE241">
        <v>15</v>
      </c>
      <c r="AF241">
        <v>5</v>
      </c>
      <c r="AG241">
        <v>4</v>
      </c>
      <c r="AH241">
        <v>11</v>
      </c>
    </row>
    <row r="242" spans="1:34">
      <c r="A242" s="111">
        <v>36</v>
      </c>
      <c r="B242">
        <v>5901</v>
      </c>
      <c r="C242" s="115" t="s">
        <v>430</v>
      </c>
      <c r="D242" s="115" t="s">
        <v>150</v>
      </c>
      <c r="E242">
        <v>1876</v>
      </c>
      <c r="F242">
        <v>1866</v>
      </c>
      <c r="G242">
        <v>500</v>
      </c>
      <c r="H242" s="115" t="s">
        <v>87</v>
      </c>
      <c r="I242">
        <v>7181</v>
      </c>
      <c r="J242" s="115" t="s">
        <v>195</v>
      </c>
      <c r="K242" s="115" t="s">
        <v>144</v>
      </c>
      <c r="L242">
        <v>1844</v>
      </c>
      <c r="M242">
        <v>1838</v>
      </c>
      <c r="N242">
        <v>500</v>
      </c>
      <c r="O242" s="115" t="s">
        <v>89</v>
      </c>
      <c r="P242">
        <v>0.91668125307702997</v>
      </c>
      <c r="Q242">
        <v>0.94231905273344896</v>
      </c>
      <c r="R242">
        <v>6.6561072575811106E-2</v>
      </c>
      <c r="S242">
        <v>0.11275943556524801</v>
      </c>
      <c r="T242">
        <v>-0.38862116169663802</v>
      </c>
      <c r="U242">
        <v>0.38862116169663802</v>
      </c>
      <c r="V242">
        <v>-1.33</v>
      </c>
      <c r="W242">
        <v>1.5</v>
      </c>
      <c r="X242">
        <v>-37153</v>
      </c>
      <c r="Y242">
        <v>-2185</v>
      </c>
      <c r="Z242">
        <v>-0.22</v>
      </c>
      <c r="AA242">
        <v>17</v>
      </c>
      <c r="AB242">
        <v>5</v>
      </c>
      <c r="AC242">
        <v>12</v>
      </c>
      <c r="AD242">
        <v>29.41</v>
      </c>
      <c r="AE242">
        <v>13</v>
      </c>
      <c r="AF242">
        <v>5</v>
      </c>
      <c r="AG242">
        <v>5</v>
      </c>
      <c r="AH242">
        <v>7</v>
      </c>
    </row>
    <row r="243" spans="1:34">
      <c r="A243" s="111">
        <v>7</v>
      </c>
      <c r="B243">
        <v>6857</v>
      </c>
      <c r="C243" s="115" t="s">
        <v>163</v>
      </c>
      <c r="D243" s="115" t="s">
        <v>118</v>
      </c>
      <c r="E243">
        <v>5330</v>
      </c>
      <c r="F243">
        <v>5200</v>
      </c>
      <c r="G243">
        <v>200</v>
      </c>
      <c r="H243" s="115" t="s">
        <v>87</v>
      </c>
      <c r="I243">
        <v>6920</v>
      </c>
      <c r="J243" s="115" t="s">
        <v>117</v>
      </c>
      <c r="K243" s="115" t="s">
        <v>118</v>
      </c>
      <c r="L243">
        <v>8640</v>
      </c>
      <c r="M243">
        <v>8660</v>
      </c>
      <c r="N243">
        <v>100</v>
      </c>
      <c r="O243" s="115" t="s">
        <v>89</v>
      </c>
      <c r="P243">
        <v>0.93567128656621701</v>
      </c>
      <c r="Q243">
        <v>0.96270340880977101</v>
      </c>
      <c r="R243" s="20">
        <v>1.32531822753729E-2</v>
      </c>
      <c r="S243">
        <v>6.0526450167332997E-2</v>
      </c>
      <c r="T243">
        <v>-1.99831131387302</v>
      </c>
      <c r="U243">
        <v>1.99831131387302</v>
      </c>
      <c r="V243">
        <v>-16.350000000000001</v>
      </c>
      <c r="W243">
        <v>20.09</v>
      </c>
      <c r="X243">
        <v>-39854</v>
      </c>
      <c r="Y243">
        <v>-3321</v>
      </c>
      <c r="Z243">
        <v>-0.23</v>
      </c>
      <c r="AA243">
        <v>12</v>
      </c>
      <c r="AB243">
        <v>6</v>
      </c>
      <c r="AC243">
        <v>6</v>
      </c>
      <c r="AD243">
        <v>50</v>
      </c>
      <c r="AE243">
        <v>11</v>
      </c>
      <c r="AF243">
        <v>5</v>
      </c>
      <c r="AG243">
        <v>5</v>
      </c>
      <c r="AH243">
        <v>2</v>
      </c>
    </row>
    <row r="244" spans="1:34">
      <c r="A244" s="111">
        <v>30</v>
      </c>
      <c r="B244">
        <v>7453</v>
      </c>
      <c r="C244" s="115" t="s">
        <v>138</v>
      </c>
      <c r="D244" s="115" t="s">
        <v>128</v>
      </c>
      <c r="E244">
        <v>2395</v>
      </c>
      <c r="F244">
        <v>2362</v>
      </c>
      <c r="G244">
        <v>400</v>
      </c>
      <c r="H244" s="115" t="s">
        <v>89</v>
      </c>
      <c r="I244">
        <v>8267</v>
      </c>
      <c r="J244" s="115" t="s">
        <v>399</v>
      </c>
      <c r="K244" s="115" t="s">
        <v>128</v>
      </c>
      <c r="L244">
        <v>2237</v>
      </c>
      <c r="M244">
        <v>2235</v>
      </c>
      <c r="N244">
        <v>400</v>
      </c>
      <c r="O244" s="115" t="s">
        <v>87</v>
      </c>
      <c r="P244">
        <v>0.96219747465259298</v>
      </c>
      <c r="Q244">
        <v>0.94551021472982799</v>
      </c>
      <c r="R244" s="20">
        <v>3.5462413307113902E-2</v>
      </c>
      <c r="S244">
        <v>2.20990873052976E-2</v>
      </c>
      <c r="T244">
        <v>0.60081615446983005</v>
      </c>
      <c r="U244">
        <v>0.60081615446983005</v>
      </c>
      <c r="V244">
        <v>3</v>
      </c>
      <c r="W244">
        <v>5.38</v>
      </c>
      <c r="X244">
        <v>-41525</v>
      </c>
      <c r="Y244">
        <v>-2186</v>
      </c>
      <c r="Z244">
        <v>-0.04</v>
      </c>
      <c r="AA244">
        <v>19</v>
      </c>
      <c r="AB244">
        <v>8</v>
      </c>
      <c r="AC244">
        <v>11</v>
      </c>
      <c r="AD244">
        <v>42.11</v>
      </c>
      <c r="AE244">
        <v>12</v>
      </c>
      <c r="AF244">
        <v>5</v>
      </c>
      <c r="AG244">
        <v>3</v>
      </c>
      <c r="AH244">
        <v>11</v>
      </c>
    </row>
    <row r="245" spans="1:34">
      <c r="A245" s="111">
        <v>61</v>
      </c>
      <c r="B245">
        <v>5703</v>
      </c>
      <c r="C245" s="115" t="s">
        <v>400</v>
      </c>
      <c r="D245" s="115" t="s">
        <v>182</v>
      </c>
      <c r="E245">
        <v>225</v>
      </c>
      <c r="F245">
        <v>227</v>
      </c>
      <c r="G245">
        <v>3900</v>
      </c>
      <c r="H245" s="115" t="s">
        <v>89</v>
      </c>
      <c r="I245">
        <v>7751</v>
      </c>
      <c r="J245" s="115" t="s">
        <v>193</v>
      </c>
      <c r="K245" s="115" t="s">
        <v>118</v>
      </c>
      <c r="L245">
        <v>2970</v>
      </c>
      <c r="M245">
        <v>2986.5</v>
      </c>
      <c r="N245">
        <v>300</v>
      </c>
      <c r="O245" s="115" t="s">
        <v>87</v>
      </c>
      <c r="P245">
        <v>0.91158199864138301</v>
      </c>
      <c r="Q245">
        <v>0.93606688517653602</v>
      </c>
      <c r="R245">
        <v>0.13339021854953201</v>
      </c>
      <c r="S245">
        <v>5.3767390192784601E-3</v>
      </c>
      <c r="T245">
        <v>1.6656426045507999</v>
      </c>
      <c r="U245">
        <v>1.6656426045507999</v>
      </c>
      <c r="V245">
        <v>8.5299999999999994</v>
      </c>
      <c r="W245">
        <v>1.19</v>
      </c>
      <c r="X245">
        <v>-45226</v>
      </c>
      <c r="Y245">
        <v>-2154</v>
      </c>
      <c r="Z245">
        <v>-0.12</v>
      </c>
      <c r="AA245">
        <v>21</v>
      </c>
      <c r="AB245">
        <v>12</v>
      </c>
      <c r="AC245">
        <v>9</v>
      </c>
      <c r="AD245">
        <v>57.14</v>
      </c>
      <c r="AE245">
        <v>13</v>
      </c>
      <c r="AF245">
        <v>4</v>
      </c>
      <c r="AG245">
        <v>6</v>
      </c>
      <c r="AH245">
        <v>11</v>
      </c>
    </row>
    <row r="246" spans="1:34">
      <c r="A246" s="111">
        <v>290</v>
      </c>
      <c r="B246">
        <v>4182</v>
      </c>
      <c r="C246" s="115" t="s">
        <v>119</v>
      </c>
      <c r="D246" s="115" t="s">
        <v>88</v>
      </c>
      <c r="E246">
        <v>1620</v>
      </c>
      <c r="F246">
        <v>1632</v>
      </c>
      <c r="G246">
        <v>600</v>
      </c>
      <c r="H246" s="115" t="s">
        <v>89</v>
      </c>
      <c r="I246">
        <v>7167</v>
      </c>
      <c r="J246" s="115" t="s">
        <v>134</v>
      </c>
      <c r="K246" s="115" t="s">
        <v>113</v>
      </c>
      <c r="L246">
        <v>281</v>
      </c>
      <c r="M246">
        <v>282</v>
      </c>
      <c r="N246">
        <v>3500</v>
      </c>
      <c r="O246" s="115" t="s">
        <v>87</v>
      </c>
      <c r="P246">
        <v>0.96189804995277395</v>
      </c>
      <c r="Q246">
        <v>0.90120458179574303</v>
      </c>
      <c r="R246">
        <v>4.4294937022347998E-2</v>
      </c>
      <c r="S246">
        <v>0.24875437592737701</v>
      </c>
      <c r="T246">
        <v>1.5677023789359701</v>
      </c>
      <c r="U246">
        <v>1.5677023789359701</v>
      </c>
      <c r="V246">
        <v>6.06</v>
      </c>
      <c r="W246">
        <v>0.8</v>
      </c>
      <c r="X246">
        <v>-47333</v>
      </c>
      <c r="Y246">
        <v>-2784</v>
      </c>
      <c r="Z246">
        <v>-0.19</v>
      </c>
      <c r="AA246">
        <v>17</v>
      </c>
      <c r="AB246">
        <v>10</v>
      </c>
      <c r="AC246">
        <v>7</v>
      </c>
      <c r="AD246">
        <v>58.82</v>
      </c>
      <c r="AE246">
        <v>15</v>
      </c>
      <c r="AF246">
        <v>3</v>
      </c>
      <c r="AG246">
        <v>4</v>
      </c>
      <c r="AH246">
        <v>10</v>
      </c>
    </row>
    <row r="247" spans="1:34">
      <c r="A247" s="111">
        <v>86</v>
      </c>
      <c r="B247">
        <v>3861</v>
      </c>
      <c r="C247" s="115" t="s">
        <v>92</v>
      </c>
      <c r="D247" s="115" t="s">
        <v>111</v>
      </c>
      <c r="E247">
        <v>596</v>
      </c>
      <c r="F247">
        <v>591</v>
      </c>
      <c r="G247">
        <v>1600</v>
      </c>
      <c r="H247" s="115" t="s">
        <v>89</v>
      </c>
      <c r="I247">
        <v>5233</v>
      </c>
      <c r="J247" s="115" t="s">
        <v>205</v>
      </c>
      <c r="K247" s="115" t="s">
        <v>140</v>
      </c>
      <c r="L247">
        <v>3150</v>
      </c>
      <c r="M247">
        <v>3115</v>
      </c>
      <c r="N247">
        <v>300</v>
      </c>
      <c r="O247" s="115" t="s">
        <v>87</v>
      </c>
      <c r="P247">
        <v>0.92768184034901802</v>
      </c>
      <c r="Q247">
        <v>0.93109152851951904</v>
      </c>
      <c r="R247">
        <v>0.14131327076007699</v>
      </c>
      <c r="S247">
        <v>6.5894386374052497E-2</v>
      </c>
      <c r="T247">
        <v>1.0293761317166099</v>
      </c>
      <c r="U247">
        <v>1.0293761317166099</v>
      </c>
      <c r="V247">
        <v>3.43</v>
      </c>
      <c r="W247">
        <v>1.19</v>
      </c>
      <c r="X247">
        <v>-50284</v>
      </c>
      <c r="Y247">
        <v>-2286</v>
      </c>
      <c r="Z247">
        <v>-0.04</v>
      </c>
      <c r="AA247">
        <v>22</v>
      </c>
      <c r="AB247">
        <v>10</v>
      </c>
      <c r="AC247">
        <v>12</v>
      </c>
      <c r="AD247">
        <v>45.45</v>
      </c>
      <c r="AE247">
        <v>13</v>
      </c>
      <c r="AF247">
        <v>5</v>
      </c>
      <c r="AG247">
        <v>8</v>
      </c>
      <c r="AH247">
        <v>9</v>
      </c>
    </row>
    <row r="248" spans="1:34">
      <c r="A248" s="111">
        <v>117</v>
      </c>
      <c r="B248">
        <v>8002</v>
      </c>
      <c r="C248" s="115" t="s">
        <v>57</v>
      </c>
      <c r="D248" s="115" t="s">
        <v>135</v>
      </c>
      <c r="E248">
        <v>794.1</v>
      </c>
      <c r="F248">
        <v>797.4</v>
      </c>
      <c r="G248">
        <v>1300</v>
      </c>
      <c r="H248" s="115" t="s">
        <v>89</v>
      </c>
      <c r="I248">
        <v>8411</v>
      </c>
      <c r="J248" s="115" t="s">
        <v>160</v>
      </c>
      <c r="K248" s="115" t="s">
        <v>113</v>
      </c>
      <c r="L248">
        <v>168.5</v>
      </c>
      <c r="M248">
        <v>168.8</v>
      </c>
      <c r="N248">
        <v>6100</v>
      </c>
      <c r="O248" s="115" t="s">
        <v>87</v>
      </c>
      <c r="P248">
        <v>0.92079357206647405</v>
      </c>
      <c r="Q248">
        <v>0.92455406286390596</v>
      </c>
      <c r="R248">
        <v>0.373895895270068</v>
      </c>
      <c r="S248">
        <v>1.39047955342792E-2</v>
      </c>
      <c r="T248">
        <v>2.0731109766295899</v>
      </c>
      <c r="U248">
        <v>2.0731109766295899</v>
      </c>
      <c r="V248">
        <v>5.96</v>
      </c>
      <c r="W248">
        <v>0.67</v>
      </c>
      <c r="X248">
        <v>-50608</v>
      </c>
      <c r="Y248">
        <v>-3615</v>
      </c>
      <c r="Z248">
        <v>-0.17</v>
      </c>
      <c r="AA248">
        <v>14</v>
      </c>
      <c r="AB248">
        <v>8</v>
      </c>
      <c r="AC248">
        <v>6</v>
      </c>
      <c r="AD248">
        <v>57.14</v>
      </c>
      <c r="AE248">
        <v>16</v>
      </c>
      <c r="AF248">
        <v>2</v>
      </c>
      <c r="AG248">
        <v>2</v>
      </c>
      <c r="AH248">
        <v>10</v>
      </c>
    </row>
    <row r="249" spans="1:34">
      <c r="A249" s="111">
        <v>107</v>
      </c>
      <c r="B249">
        <v>6457</v>
      </c>
      <c r="C249" s="115" t="s">
        <v>416</v>
      </c>
      <c r="D249" s="115" t="s">
        <v>133</v>
      </c>
      <c r="E249">
        <v>3320</v>
      </c>
      <c r="F249">
        <v>3300</v>
      </c>
      <c r="G249">
        <v>200</v>
      </c>
      <c r="H249" s="115" t="s">
        <v>89</v>
      </c>
      <c r="I249">
        <v>7203</v>
      </c>
      <c r="J249" s="115" t="s">
        <v>454</v>
      </c>
      <c r="K249" s="115" t="s">
        <v>115</v>
      </c>
      <c r="L249">
        <v>7696</v>
      </c>
      <c r="M249">
        <v>7716</v>
      </c>
      <c r="N249">
        <v>100</v>
      </c>
      <c r="O249" s="115" t="s">
        <v>87</v>
      </c>
      <c r="P249">
        <v>0.96344090372298097</v>
      </c>
      <c r="Q249">
        <v>0.92574576412674503</v>
      </c>
      <c r="R249">
        <v>7.0387512674668307E-2</v>
      </c>
      <c r="S249">
        <v>6.4843281737000394E-2</v>
      </c>
      <c r="T249">
        <v>1.15085518998404</v>
      </c>
      <c r="U249">
        <v>1.15085518998404</v>
      </c>
      <c r="V249">
        <v>2.12</v>
      </c>
      <c r="W249">
        <v>14.46</v>
      </c>
      <c r="X249">
        <v>-61118</v>
      </c>
      <c r="Y249">
        <v>-12224</v>
      </c>
      <c r="Z249">
        <v>-0.8</v>
      </c>
      <c r="AA249">
        <v>5</v>
      </c>
      <c r="AB249">
        <v>2</v>
      </c>
      <c r="AC249">
        <v>3</v>
      </c>
      <c r="AD249">
        <v>40</v>
      </c>
      <c r="AE249">
        <v>14</v>
      </c>
      <c r="AF249">
        <v>2</v>
      </c>
      <c r="AG249">
        <v>3</v>
      </c>
      <c r="AH249">
        <v>0</v>
      </c>
    </row>
    <row r="250" spans="1:34">
      <c r="A250" s="111">
        <v>124</v>
      </c>
      <c r="B250">
        <v>4182</v>
      </c>
      <c r="C250" s="115" t="s">
        <v>119</v>
      </c>
      <c r="D250" s="115" t="s">
        <v>88</v>
      </c>
      <c r="E250">
        <v>1620</v>
      </c>
      <c r="F250">
        <v>1632</v>
      </c>
      <c r="G250">
        <v>600</v>
      </c>
      <c r="H250" s="115" t="s">
        <v>89</v>
      </c>
      <c r="I250">
        <v>7267</v>
      </c>
      <c r="J250" s="115" t="s">
        <v>154</v>
      </c>
      <c r="K250" s="115" t="s">
        <v>115</v>
      </c>
      <c r="L250">
        <v>3089</v>
      </c>
      <c r="M250">
        <v>3103</v>
      </c>
      <c r="N250">
        <v>300</v>
      </c>
      <c r="O250" s="115" t="s">
        <v>87</v>
      </c>
      <c r="P250">
        <v>0.95550574456261295</v>
      </c>
      <c r="Q250">
        <v>0.92382927023945405</v>
      </c>
      <c r="R250">
        <v>0.29945852693825198</v>
      </c>
      <c r="S250">
        <v>3.2017992310708399E-2</v>
      </c>
      <c r="T250">
        <v>1.0117954263453</v>
      </c>
      <c r="U250">
        <v>1.0117954263453</v>
      </c>
      <c r="V250">
        <v>3.36</v>
      </c>
      <c r="W250">
        <v>5.19</v>
      </c>
      <c r="X250">
        <v>-72187</v>
      </c>
      <c r="Y250">
        <v>-4812</v>
      </c>
      <c r="Z250">
        <v>-0.33</v>
      </c>
      <c r="AA250">
        <v>15</v>
      </c>
      <c r="AB250">
        <v>9</v>
      </c>
      <c r="AC250">
        <v>6</v>
      </c>
      <c r="AD250">
        <v>60</v>
      </c>
      <c r="AE250">
        <v>14</v>
      </c>
      <c r="AF250">
        <v>4</v>
      </c>
      <c r="AG250">
        <v>4</v>
      </c>
      <c r="AH250">
        <v>7</v>
      </c>
    </row>
    <row r="251" spans="1:34">
      <c r="A251" s="111">
        <v>192</v>
      </c>
      <c r="B251">
        <v>3148</v>
      </c>
      <c r="C251" s="115" t="s">
        <v>390</v>
      </c>
      <c r="D251" s="115" t="s">
        <v>128</v>
      </c>
      <c r="E251">
        <v>2688</v>
      </c>
      <c r="F251">
        <v>2718</v>
      </c>
      <c r="G251">
        <v>400</v>
      </c>
      <c r="H251" s="115" t="s">
        <v>87</v>
      </c>
      <c r="I251">
        <v>8267</v>
      </c>
      <c r="J251" s="115" t="s">
        <v>399</v>
      </c>
      <c r="K251" s="115" t="s">
        <v>128</v>
      </c>
      <c r="L251">
        <v>2237</v>
      </c>
      <c r="M251">
        <v>2235</v>
      </c>
      <c r="N251">
        <v>500</v>
      </c>
      <c r="O251" s="115" t="s">
        <v>89</v>
      </c>
      <c r="P251">
        <v>0.973374040813488</v>
      </c>
      <c r="Q251">
        <v>0.91439424958612503</v>
      </c>
      <c r="R251">
        <v>2.4697646522380198E-2</v>
      </c>
      <c r="S251">
        <v>0.13438585915936599</v>
      </c>
      <c r="T251">
        <v>-0.90439252991351404</v>
      </c>
      <c r="U251">
        <v>0.90439252991351404</v>
      </c>
      <c r="V251">
        <v>-1.72</v>
      </c>
      <c r="W251">
        <v>2.79</v>
      </c>
      <c r="X251">
        <v>-72915</v>
      </c>
      <c r="Y251">
        <v>-4861</v>
      </c>
      <c r="Z251">
        <v>-0.27</v>
      </c>
      <c r="AA251">
        <v>15</v>
      </c>
      <c r="AB251">
        <v>6</v>
      </c>
      <c r="AC251">
        <v>9</v>
      </c>
      <c r="AD251">
        <v>40</v>
      </c>
      <c r="AE251">
        <v>15</v>
      </c>
      <c r="AF251">
        <v>2</v>
      </c>
      <c r="AG251">
        <v>2</v>
      </c>
      <c r="AH251">
        <v>11</v>
      </c>
    </row>
    <row r="252" spans="1:34">
      <c r="A252" s="111">
        <v>43</v>
      </c>
      <c r="B252">
        <v>1860</v>
      </c>
      <c r="C252" s="115" t="s">
        <v>145</v>
      </c>
      <c r="D252" s="115" t="s">
        <v>108</v>
      </c>
      <c r="E252">
        <v>671</v>
      </c>
      <c r="F252">
        <v>676</v>
      </c>
      <c r="G252">
        <v>1600</v>
      </c>
      <c r="H252" s="115" t="s">
        <v>87</v>
      </c>
      <c r="I252">
        <v>5802</v>
      </c>
      <c r="J252" s="115" t="s">
        <v>181</v>
      </c>
      <c r="K252" s="115" t="s">
        <v>182</v>
      </c>
      <c r="L252">
        <v>1526.5</v>
      </c>
      <c r="M252">
        <v>1526.5</v>
      </c>
      <c r="N252">
        <v>700</v>
      </c>
      <c r="O252" s="115" t="s">
        <v>89</v>
      </c>
      <c r="P252">
        <v>0.96714223990293402</v>
      </c>
      <c r="Q252">
        <v>0.94034505016461301</v>
      </c>
      <c r="R252">
        <v>0.22686531667012799</v>
      </c>
      <c r="S252">
        <v>6.76303894398871E-3</v>
      </c>
      <c r="T252">
        <v>-1.0720349115191501</v>
      </c>
      <c r="U252">
        <v>1.0720349115191501</v>
      </c>
      <c r="V252">
        <v>-2.57</v>
      </c>
      <c r="W252">
        <v>1.22</v>
      </c>
      <c r="X252">
        <v>-73660</v>
      </c>
      <c r="Y252">
        <v>-4333</v>
      </c>
      <c r="Z252">
        <v>-0.2</v>
      </c>
      <c r="AA252">
        <v>17</v>
      </c>
      <c r="AB252">
        <v>7</v>
      </c>
      <c r="AC252">
        <v>10</v>
      </c>
      <c r="AD252">
        <v>41.18</v>
      </c>
      <c r="AE252">
        <v>13</v>
      </c>
      <c r="AF252">
        <v>6</v>
      </c>
      <c r="AG252">
        <v>4</v>
      </c>
      <c r="AH252">
        <v>7</v>
      </c>
    </row>
    <row r="253" spans="1:34">
      <c r="A253" s="111">
        <v>106</v>
      </c>
      <c r="B253">
        <v>6752</v>
      </c>
      <c r="C253" s="115" t="s">
        <v>139</v>
      </c>
      <c r="D253" s="115" t="s">
        <v>118</v>
      </c>
      <c r="E253">
        <v>998.1</v>
      </c>
      <c r="F253">
        <v>1005</v>
      </c>
      <c r="G253">
        <v>1000</v>
      </c>
      <c r="H253" s="115" t="s">
        <v>89</v>
      </c>
      <c r="I253">
        <v>8795</v>
      </c>
      <c r="J253" s="115" t="s">
        <v>191</v>
      </c>
      <c r="K253" s="115" t="s">
        <v>144</v>
      </c>
      <c r="L253">
        <v>1254</v>
      </c>
      <c r="M253">
        <v>1243</v>
      </c>
      <c r="N253">
        <v>800</v>
      </c>
      <c r="O253" s="115" t="s">
        <v>87</v>
      </c>
      <c r="P253">
        <v>0.94773701064215599</v>
      </c>
      <c r="Q253">
        <v>0.92588596722780303</v>
      </c>
      <c r="R253">
        <v>1.0419572922233E-2</v>
      </c>
      <c r="S253">
        <v>0.12121826636838</v>
      </c>
      <c r="T253">
        <v>1.5127360978358499</v>
      </c>
      <c r="U253">
        <v>1.5127360978358499</v>
      </c>
      <c r="V253">
        <v>4.3899999999999997</v>
      </c>
      <c r="W253">
        <v>1.07</v>
      </c>
      <c r="X253">
        <v>-86216</v>
      </c>
      <c r="Y253">
        <v>-5388</v>
      </c>
      <c r="Z253">
        <v>-0.22</v>
      </c>
      <c r="AA253">
        <v>16</v>
      </c>
      <c r="AB253">
        <v>6</v>
      </c>
      <c r="AC253">
        <v>10</v>
      </c>
      <c r="AD253">
        <v>37.5</v>
      </c>
      <c r="AE253">
        <v>14</v>
      </c>
      <c r="AF253">
        <v>4</v>
      </c>
      <c r="AG253">
        <v>5</v>
      </c>
      <c r="AH253">
        <v>7</v>
      </c>
    </row>
    <row r="254" spans="1:34">
      <c r="A254" s="111">
        <v>282</v>
      </c>
      <c r="B254">
        <v>8309</v>
      </c>
      <c r="C254" s="115" t="s">
        <v>52</v>
      </c>
      <c r="D254" s="115" t="s">
        <v>113</v>
      </c>
      <c r="E254">
        <v>4202</v>
      </c>
      <c r="F254">
        <v>4210</v>
      </c>
      <c r="G254">
        <v>200</v>
      </c>
      <c r="H254" s="115" t="s">
        <v>89</v>
      </c>
      <c r="I254">
        <v>8385</v>
      </c>
      <c r="J254" s="115" t="s">
        <v>156</v>
      </c>
      <c r="K254" s="115" t="s">
        <v>113</v>
      </c>
      <c r="L254">
        <v>592</v>
      </c>
      <c r="M254">
        <v>596</v>
      </c>
      <c r="N254">
        <v>1400</v>
      </c>
      <c r="O254" s="115" t="s">
        <v>87</v>
      </c>
      <c r="P254">
        <v>0.93284604468225596</v>
      </c>
      <c r="Q254">
        <v>0.90222972262129397</v>
      </c>
      <c r="R254">
        <v>1.43535113971712E-2</v>
      </c>
      <c r="S254">
        <v>7.8470591585235394E-2</v>
      </c>
      <c r="T254">
        <v>0.98645151935745701</v>
      </c>
      <c r="U254">
        <v>0.98645151935745701</v>
      </c>
      <c r="V254">
        <v>2.2400000000000002</v>
      </c>
      <c r="W254">
        <v>0.9</v>
      </c>
      <c r="X254">
        <v>-87890</v>
      </c>
      <c r="Y254">
        <v>-4883</v>
      </c>
      <c r="Z254">
        <v>-0.26</v>
      </c>
      <c r="AA254">
        <v>18</v>
      </c>
      <c r="AB254">
        <v>8</v>
      </c>
      <c r="AC254">
        <v>10</v>
      </c>
      <c r="AD254">
        <v>44.44</v>
      </c>
      <c r="AE254">
        <v>16</v>
      </c>
      <c r="AF254">
        <v>2</v>
      </c>
      <c r="AG254">
        <v>3</v>
      </c>
      <c r="AH254">
        <v>13</v>
      </c>
    </row>
    <row r="255" spans="1:34">
      <c r="A255" s="111">
        <v>234</v>
      </c>
      <c r="B255">
        <v>1333</v>
      </c>
      <c r="C255" s="115" t="s">
        <v>449</v>
      </c>
      <c r="D255" s="115" t="s">
        <v>450</v>
      </c>
      <c r="E255">
        <v>2924</v>
      </c>
      <c r="F255">
        <v>2897</v>
      </c>
      <c r="G255">
        <v>300</v>
      </c>
      <c r="H255" s="115" t="s">
        <v>87</v>
      </c>
      <c r="I255">
        <v>7189</v>
      </c>
      <c r="J255" s="115" t="s">
        <v>112</v>
      </c>
      <c r="K255" s="115" t="s">
        <v>113</v>
      </c>
      <c r="L255">
        <v>844</v>
      </c>
      <c r="M255">
        <v>850</v>
      </c>
      <c r="N255">
        <v>1000</v>
      </c>
      <c r="O255" s="115" t="s">
        <v>89</v>
      </c>
      <c r="P255">
        <v>0.91055398587508996</v>
      </c>
      <c r="Q255">
        <v>0.90878362694230597</v>
      </c>
      <c r="R255">
        <v>8.5814522627153595E-4</v>
      </c>
      <c r="S255">
        <v>5.2525890356114803E-2</v>
      </c>
      <c r="T255">
        <v>-1.2481852605696999</v>
      </c>
      <c r="U255">
        <v>1.2481852605696999</v>
      </c>
      <c r="V255">
        <v>-10.71</v>
      </c>
      <c r="W255">
        <v>2.2000000000000002</v>
      </c>
      <c r="X255">
        <v>-93534</v>
      </c>
      <c r="Y255">
        <v>-3597</v>
      </c>
      <c r="Z255">
        <v>-0.2</v>
      </c>
      <c r="AA255">
        <v>26</v>
      </c>
      <c r="AB255">
        <v>11</v>
      </c>
      <c r="AC255">
        <v>15</v>
      </c>
      <c r="AD255">
        <v>42.31</v>
      </c>
      <c r="AE255">
        <v>10</v>
      </c>
      <c r="AF255">
        <v>11</v>
      </c>
      <c r="AG255">
        <v>9</v>
      </c>
      <c r="AH255">
        <v>6</v>
      </c>
    </row>
    <row r="256" spans="1:34">
      <c r="A256" s="111">
        <v>262</v>
      </c>
      <c r="B256">
        <v>1820</v>
      </c>
      <c r="C256" s="115" t="s">
        <v>161</v>
      </c>
      <c r="D256" s="115" t="s">
        <v>108</v>
      </c>
      <c r="E256">
        <v>2356</v>
      </c>
      <c r="F256">
        <v>2367</v>
      </c>
      <c r="G256">
        <v>400</v>
      </c>
      <c r="H256" s="115" t="s">
        <v>89</v>
      </c>
      <c r="I256">
        <v>5233</v>
      </c>
      <c r="J256" s="115" t="s">
        <v>205</v>
      </c>
      <c r="K256" s="115" t="s">
        <v>140</v>
      </c>
      <c r="L256">
        <v>3150</v>
      </c>
      <c r="M256">
        <v>3115</v>
      </c>
      <c r="N256">
        <v>300</v>
      </c>
      <c r="O256" s="115" t="s">
        <v>87</v>
      </c>
      <c r="P256">
        <v>0.94899422347069395</v>
      </c>
      <c r="Q256">
        <v>0.90436919054021003</v>
      </c>
      <c r="R256">
        <v>4.1015897655956701E-2</v>
      </c>
      <c r="S256">
        <v>0.16388436450073701</v>
      </c>
      <c r="T256">
        <v>2.1979971267632599</v>
      </c>
      <c r="U256">
        <v>2.1979971267632599</v>
      </c>
      <c r="V256">
        <v>7.73</v>
      </c>
      <c r="W256">
        <v>1.32</v>
      </c>
      <c r="X256">
        <v>-99124</v>
      </c>
      <c r="Y256">
        <v>-8260</v>
      </c>
      <c r="Z256">
        <v>-0.38</v>
      </c>
      <c r="AA256">
        <v>12</v>
      </c>
      <c r="AB256">
        <v>6</v>
      </c>
      <c r="AC256">
        <v>6</v>
      </c>
      <c r="AD256">
        <v>50</v>
      </c>
      <c r="AE256">
        <v>13</v>
      </c>
      <c r="AF256">
        <v>3</v>
      </c>
      <c r="AG256">
        <v>3</v>
      </c>
      <c r="AH256">
        <v>6</v>
      </c>
    </row>
    <row r="257" spans="1:34">
      <c r="A257" s="111">
        <v>207</v>
      </c>
      <c r="B257">
        <v>5334</v>
      </c>
      <c r="C257" s="115" t="s">
        <v>395</v>
      </c>
      <c r="D257" s="115" t="s">
        <v>140</v>
      </c>
      <c r="E257">
        <v>2150</v>
      </c>
      <c r="F257">
        <v>2155</v>
      </c>
      <c r="G257">
        <v>400</v>
      </c>
      <c r="H257" s="115" t="s">
        <v>89</v>
      </c>
      <c r="I257">
        <v>6923</v>
      </c>
      <c r="J257" s="115" t="s">
        <v>146</v>
      </c>
      <c r="K257" s="115" t="s">
        <v>118</v>
      </c>
      <c r="L257">
        <v>2974</v>
      </c>
      <c r="M257">
        <v>2974</v>
      </c>
      <c r="N257">
        <v>300</v>
      </c>
      <c r="O257" s="115" t="s">
        <v>87</v>
      </c>
      <c r="P257">
        <v>0.96185131303029903</v>
      </c>
      <c r="Q257">
        <v>0.91244023159364696</v>
      </c>
      <c r="R257" s="20">
        <v>0.11490760863654501</v>
      </c>
      <c r="S257">
        <v>9.5431247833940094E-2</v>
      </c>
      <c r="T257">
        <v>0.19215689390572699</v>
      </c>
      <c r="U257">
        <v>0.19215689390572699</v>
      </c>
      <c r="V257">
        <v>0.55000000000000004</v>
      </c>
      <c r="W257">
        <v>3.38</v>
      </c>
      <c r="X257">
        <v>-100321</v>
      </c>
      <c r="Y257">
        <v>-7717</v>
      </c>
      <c r="Z257">
        <v>-0.36</v>
      </c>
      <c r="AA257">
        <v>13</v>
      </c>
      <c r="AB257">
        <v>7</v>
      </c>
      <c r="AC257">
        <v>6</v>
      </c>
      <c r="AD257">
        <v>53.85</v>
      </c>
      <c r="AE257">
        <v>13</v>
      </c>
      <c r="AF257">
        <v>3</v>
      </c>
      <c r="AG257">
        <v>3</v>
      </c>
      <c r="AH257">
        <v>7</v>
      </c>
    </row>
    <row r="258" spans="1:34">
      <c r="A258" s="111">
        <v>91</v>
      </c>
      <c r="B258">
        <v>5401</v>
      </c>
      <c r="C258" s="115" t="s">
        <v>456</v>
      </c>
      <c r="D258" s="115" t="s">
        <v>125</v>
      </c>
      <c r="E258">
        <v>1584</v>
      </c>
      <c r="F258">
        <v>1590.5</v>
      </c>
      <c r="G258">
        <v>500</v>
      </c>
      <c r="H258" s="115" t="s">
        <v>87</v>
      </c>
      <c r="I258">
        <v>8058</v>
      </c>
      <c r="J258" s="115" t="s">
        <v>467</v>
      </c>
      <c r="K258" s="115" t="s">
        <v>135</v>
      </c>
      <c r="L258">
        <v>2818</v>
      </c>
      <c r="M258">
        <v>2834</v>
      </c>
      <c r="N258">
        <v>300</v>
      </c>
      <c r="O258" s="115" t="s">
        <v>89</v>
      </c>
      <c r="P258">
        <v>0.91156346173015501</v>
      </c>
      <c r="Q258">
        <v>0.929123796654584</v>
      </c>
      <c r="R258">
        <v>0.23089501678853</v>
      </c>
      <c r="S258">
        <v>0.15278173083546201</v>
      </c>
      <c r="T258">
        <v>-0.45477430873737701</v>
      </c>
      <c r="U258">
        <v>0.45477430873737701</v>
      </c>
      <c r="V258">
        <v>-0.67</v>
      </c>
      <c r="W258">
        <v>6.46</v>
      </c>
      <c r="X258">
        <v>-100739</v>
      </c>
      <c r="Y258">
        <v>-7196</v>
      </c>
      <c r="Z258">
        <v>-0.39</v>
      </c>
      <c r="AA258">
        <v>14</v>
      </c>
      <c r="AB258">
        <v>5</v>
      </c>
      <c r="AC258">
        <v>9</v>
      </c>
      <c r="AD258">
        <v>35.71</v>
      </c>
      <c r="AE258">
        <v>15</v>
      </c>
      <c r="AF258">
        <v>4</v>
      </c>
      <c r="AG258">
        <v>2</v>
      </c>
      <c r="AH258">
        <v>8</v>
      </c>
    </row>
    <row r="259" spans="1:34">
      <c r="A259" s="111">
        <v>176</v>
      </c>
      <c r="B259">
        <v>4202</v>
      </c>
      <c r="C259" s="115" t="s">
        <v>121</v>
      </c>
      <c r="D259" s="115" t="s">
        <v>88</v>
      </c>
      <c r="E259">
        <v>1082</v>
      </c>
      <c r="F259">
        <v>1092</v>
      </c>
      <c r="G259">
        <v>700</v>
      </c>
      <c r="H259" s="115" t="s">
        <v>89</v>
      </c>
      <c r="I259">
        <v>6371</v>
      </c>
      <c r="J259" s="115" t="s">
        <v>142</v>
      </c>
      <c r="K259" s="115" t="s">
        <v>133</v>
      </c>
      <c r="L259">
        <v>3765</v>
      </c>
      <c r="M259">
        <v>3780</v>
      </c>
      <c r="N259">
        <v>200</v>
      </c>
      <c r="O259" s="115" t="s">
        <v>87</v>
      </c>
      <c r="P259">
        <v>0.95543192667702204</v>
      </c>
      <c r="Q259">
        <v>0.91582766758536205</v>
      </c>
      <c r="R259" s="20">
        <v>0.18546290629493001</v>
      </c>
      <c r="S259">
        <v>0.221074428110624</v>
      </c>
      <c r="T259">
        <v>1.90859623424669</v>
      </c>
      <c r="U259">
        <v>1.90859623424669</v>
      </c>
      <c r="V259">
        <v>7.98</v>
      </c>
      <c r="W259">
        <v>1.1100000000000001</v>
      </c>
      <c r="X259">
        <v>-103992</v>
      </c>
      <c r="Y259">
        <v>-6933</v>
      </c>
      <c r="Z259">
        <v>-0.47</v>
      </c>
      <c r="AA259">
        <v>15</v>
      </c>
      <c r="AB259">
        <v>5</v>
      </c>
      <c r="AC259">
        <v>10</v>
      </c>
      <c r="AD259">
        <v>33.33</v>
      </c>
      <c r="AE259">
        <v>14</v>
      </c>
      <c r="AF259">
        <v>3</v>
      </c>
      <c r="AG259">
        <v>5</v>
      </c>
      <c r="AH259">
        <v>7</v>
      </c>
    </row>
    <row r="260" spans="1:34">
      <c r="A260" s="111">
        <v>269</v>
      </c>
      <c r="B260">
        <v>5803</v>
      </c>
      <c r="C260" s="115" t="s">
        <v>54</v>
      </c>
      <c r="D260" s="115" t="s">
        <v>182</v>
      </c>
      <c r="E260">
        <v>450</v>
      </c>
      <c r="F260">
        <v>452</v>
      </c>
      <c r="G260">
        <v>2000</v>
      </c>
      <c r="H260" s="115" t="s">
        <v>87</v>
      </c>
      <c r="I260">
        <v>7272</v>
      </c>
      <c r="J260" s="115" t="s">
        <v>391</v>
      </c>
      <c r="K260" s="115" t="s">
        <v>115</v>
      </c>
      <c r="L260">
        <v>2247</v>
      </c>
      <c r="M260">
        <v>2250</v>
      </c>
      <c r="N260">
        <v>400</v>
      </c>
      <c r="O260" s="115" t="s">
        <v>89</v>
      </c>
      <c r="P260">
        <v>0.94783917412054397</v>
      </c>
      <c r="Q260">
        <v>0.90346898881650795</v>
      </c>
      <c r="R260">
        <v>0.124477129978806</v>
      </c>
      <c r="S260">
        <v>0.103904439081921</v>
      </c>
      <c r="T260">
        <v>-0.51442865619718503</v>
      </c>
      <c r="U260">
        <v>0.51442865619718503</v>
      </c>
      <c r="V260">
        <v>-3.02</v>
      </c>
      <c r="W260">
        <v>0.44</v>
      </c>
      <c r="X260">
        <v>-106056</v>
      </c>
      <c r="Y260">
        <v>-6628</v>
      </c>
      <c r="Z260">
        <v>-0.43</v>
      </c>
      <c r="AA260">
        <v>16</v>
      </c>
      <c r="AB260">
        <v>10</v>
      </c>
      <c r="AC260">
        <v>6</v>
      </c>
      <c r="AD260">
        <v>62.5</v>
      </c>
      <c r="AE260">
        <v>12</v>
      </c>
      <c r="AF260">
        <v>6</v>
      </c>
      <c r="AG260">
        <v>5</v>
      </c>
      <c r="AH260">
        <v>5</v>
      </c>
    </row>
    <row r="261" spans="1:34">
      <c r="A261" s="111">
        <v>94</v>
      </c>
      <c r="B261">
        <v>8410</v>
      </c>
      <c r="C261" s="115" t="s">
        <v>393</v>
      </c>
      <c r="D261" s="115" t="s">
        <v>113</v>
      </c>
      <c r="E261">
        <v>333</v>
      </c>
      <c r="F261">
        <v>338</v>
      </c>
      <c r="G261">
        <v>3200</v>
      </c>
      <c r="H261" s="115" t="s">
        <v>89</v>
      </c>
      <c r="I261">
        <v>9412</v>
      </c>
      <c r="J261" s="115" t="s">
        <v>109</v>
      </c>
      <c r="K261" s="115" t="s">
        <v>110</v>
      </c>
      <c r="L261">
        <v>473</v>
      </c>
      <c r="M261">
        <v>472</v>
      </c>
      <c r="N261">
        <v>2300</v>
      </c>
      <c r="O261" s="115" t="s">
        <v>87</v>
      </c>
      <c r="P261">
        <v>0.94067777400395503</v>
      </c>
      <c r="Q261">
        <v>0.92726374225258901</v>
      </c>
      <c r="R261">
        <v>9.57203204950166E-4</v>
      </c>
      <c r="S261">
        <v>1.4393589369109E-4</v>
      </c>
      <c r="T261">
        <v>1.7555238105122599</v>
      </c>
      <c r="U261">
        <v>1.7555238105122599</v>
      </c>
      <c r="V261">
        <v>4.79</v>
      </c>
      <c r="W261">
        <v>0.37</v>
      </c>
      <c r="X261">
        <v>-107772</v>
      </c>
      <c r="Y261">
        <v>-5672</v>
      </c>
      <c r="Z261">
        <v>-0.27</v>
      </c>
      <c r="AA261">
        <v>19</v>
      </c>
      <c r="AB261">
        <v>8</v>
      </c>
      <c r="AC261">
        <v>11</v>
      </c>
      <c r="AD261">
        <v>42.11</v>
      </c>
      <c r="AE261">
        <v>14</v>
      </c>
      <c r="AF261">
        <v>5</v>
      </c>
      <c r="AG261">
        <v>3</v>
      </c>
      <c r="AH261">
        <v>11</v>
      </c>
    </row>
    <row r="262" spans="1:34">
      <c r="A262" s="111">
        <v>267</v>
      </c>
      <c r="B262">
        <v>3291</v>
      </c>
      <c r="C262" s="115" t="s">
        <v>147</v>
      </c>
      <c r="D262" s="115" t="s">
        <v>148</v>
      </c>
      <c r="E262">
        <v>1890</v>
      </c>
      <c r="F262">
        <v>1932</v>
      </c>
      <c r="G262">
        <v>500</v>
      </c>
      <c r="H262" s="115" t="s">
        <v>89</v>
      </c>
      <c r="I262">
        <v>7202</v>
      </c>
      <c r="J262" s="115" t="s">
        <v>187</v>
      </c>
      <c r="K262" s="115" t="s">
        <v>115</v>
      </c>
      <c r="L262">
        <v>1290</v>
      </c>
      <c r="M262">
        <v>1298</v>
      </c>
      <c r="N262">
        <v>700</v>
      </c>
      <c r="O262" s="115" t="s">
        <v>87</v>
      </c>
      <c r="P262">
        <v>0.92472033731565595</v>
      </c>
      <c r="Q262">
        <v>0.90379815752165304</v>
      </c>
      <c r="R262" s="20">
        <v>5.1994014302230102E-3</v>
      </c>
      <c r="S262">
        <v>2.3833271312230099E-2</v>
      </c>
      <c r="T262">
        <v>1.2162700917976299</v>
      </c>
      <c r="U262">
        <v>1.2162700917976299</v>
      </c>
      <c r="V262">
        <v>2.56</v>
      </c>
      <c r="W262">
        <v>5.94</v>
      </c>
      <c r="X262">
        <v>-108849</v>
      </c>
      <c r="Y262">
        <v>-6403</v>
      </c>
      <c r="Z262">
        <v>-0.31</v>
      </c>
      <c r="AA262">
        <v>17</v>
      </c>
      <c r="AB262">
        <v>9</v>
      </c>
      <c r="AC262">
        <v>8</v>
      </c>
      <c r="AD262">
        <v>52.94</v>
      </c>
      <c r="AE262">
        <v>12</v>
      </c>
      <c r="AF262">
        <v>3</v>
      </c>
      <c r="AG262">
        <v>6</v>
      </c>
      <c r="AH262">
        <v>8</v>
      </c>
    </row>
    <row r="263" spans="1:34">
      <c r="A263" s="111">
        <v>276</v>
      </c>
      <c r="B263">
        <v>4204</v>
      </c>
      <c r="C263" s="115" t="s">
        <v>438</v>
      </c>
      <c r="D263" s="115" t="s">
        <v>88</v>
      </c>
      <c r="E263">
        <v>1889</v>
      </c>
      <c r="F263">
        <v>1889</v>
      </c>
      <c r="G263">
        <v>500</v>
      </c>
      <c r="H263" s="115" t="s">
        <v>87</v>
      </c>
      <c r="I263">
        <v>5947</v>
      </c>
      <c r="J263" s="115" t="s">
        <v>439</v>
      </c>
      <c r="K263" s="115" t="s">
        <v>150</v>
      </c>
      <c r="L263">
        <v>8520</v>
      </c>
      <c r="M263">
        <v>8540</v>
      </c>
      <c r="N263">
        <v>100</v>
      </c>
      <c r="O263" s="115" t="s">
        <v>89</v>
      </c>
      <c r="P263">
        <v>0.94689066390544097</v>
      </c>
      <c r="Q263">
        <v>0.90262003194090501</v>
      </c>
      <c r="R263">
        <v>0.34261612621071502</v>
      </c>
      <c r="S263">
        <v>8.9511931445982202E-3</v>
      </c>
      <c r="T263">
        <v>-1.4781750323670499</v>
      </c>
      <c r="U263">
        <v>1.4781750323670499</v>
      </c>
      <c r="V263">
        <v>-4.1900000000000004</v>
      </c>
      <c r="W263">
        <v>10.6</v>
      </c>
      <c r="X263">
        <v>-110401</v>
      </c>
      <c r="Y263">
        <v>-7886</v>
      </c>
      <c r="Z263">
        <v>-0.25</v>
      </c>
      <c r="AA263">
        <v>14</v>
      </c>
      <c r="AB263">
        <v>7</v>
      </c>
      <c r="AC263">
        <v>7</v>
      </c>
      <c r="AD263">
        <v>50</v>
      </c>
      <c r="AE263">
        <v>16</v>
      </c>
      <c r="AF263">
        <v>4</v>
      </c>
      <c r="AG263">
        <v>2</v>
      </c>
      <c r="AH263">
        <v>8</v>
      </c>
    </row>
    <row r="264" spans="1:34">
      <c r="A264" s="111">
        <v>182</v>
      </c>
      <c r="B264">
        <v>6702</v>
      </c>
      <c r="C264" s="115" t="s">
        <v>465</v>
      </c>
      <c r="D264" s="115" t="s">
        <v>118</v>
      </c>
      <c r="E264">
        <v>9828</v>
      </c>
      <c r="F264">
        <v>10015</v>
      </c>
      <c r="G264">
        <v>100</v>
      </c>
      <c r="H264" s="115" t="s">
        <v>89</v>
      </c>
      <c r="I264">
        <v>6845</v>
      </c>
      <c r="J264" s="115" t="s">
        <v>402</v>
      </c>
      <c r="K264" s="115" t="s">
        <v>118</v>
      </c>
      <c r="L264">
        <v>3185</v>
      </c>
      <c r="M264">
        <v>3200</v>
      </c>
      <c r="N264">
        <v>300</v>
      </c>
      <c r="O264" s="115" t="s">
        <v>87</v>
      </c>
      <c r="P264">
        <v>0.92479594098093199</v>
      </c>
      <c r="Q264">
        <v>0.91521292522129405</v>
      </c>
      <c r="R264">
        <v>3.3868425431304798E-2</v>
      </c>
      <c r="S264">
        <v>1.2109493766588901E-2</v>
      </c>
      <c r="T264">
        <v>0.86513343576766599</v>
      </c>
      <c r="U264">
        <v>0.86513343576766599</v>
      </c>
      <c r="V264">
        <v>2.39</v>
      </c>
      <c r="W264">
        <v>4.1399999999999997</v>
      </c>
      <c r="X264">
        <v>-115725</v>
      </c>
      <c r="Y264">
        <v>-9644</v>
      </c>
      <c r="Z264">
        <v>-0.71</v>
      </c>
      <c r="AA264">
        <v>12</v>
      </c>
      <c r="AB264">
        <v>5</v>
      </c>
      <c r="AC264">
        <v>7</v>
      </c>
      <c r="AD264">
        <v>41.67</v>
      </c>
      <c r="AE264">
        <v>13</v>
      </c>
      <c r="AF264">
        <v>4</v>
      </c>
      <c r="AG264">
        <v>3</v>
      </c>
      <c r="AH264">
        <v>5</v>
      </c>
    </row>
    <row r="265" spans="1:34">
      <c r="A265" s="111">
        <v>286</v>
      </c>
      <c r="B265">
        <v>4182</v>
      </c>
      <c r="C265" s="115" t="s">
        <v>119</v>
      </c>
      <c r="D265" s="115" t="s">
        <v>88</v>
      </c>
      <c r="E265">
        <v>1620</v>
      </c>
      <c r="F265">
        <v>1632</v>
      </c>
      <c r="G265">
        <v>600</v>
      </c>
      <c r="H265" s="115" t="s">
        <v>89</v>
      </c>
      <c r="I265">
        <v>8410</v>
      </c>
      <c r="J265" s="115" t="s">
        <v>393</v>
      </c>
      <c r="K265" s="115" t="s">
        <v>113</v>
      </c>
      <c r="L265">
        <v>333</v>
      </c>
      <c r="M265">
        <v>338</v>
      </c>
      <c r="N265">
        <v>2900</v>
      </c>
      <c r="O265" s="115" t="s">
        <v>87</v>
      </c>
      <c r="P265">
        <v>0.96828623298833305</v>
      </c>
      <c r="Q265">
        <v>0.90158708302854196</v>
      </c>
      <c r="R265">
        <v>1.8303674663308701E-4</v>
      </c>
      <c r="S265">
        <v>8.8886622810991703E-3</v>
      </c>
      <c r="T265">
        <v>0.316911667494302</v>
      </c>
      <c r="U265">
        <v>0.316911667494302</v>
      </c>
      <c r="V265">
        <v>1.51</v>
      </c>
      <c r="W265">
        <v>0.1</v>
      </c>
      <c r="X265">
        <v>-116513</v>
      </c>
      <c r="Y265">
        <v>-7282</v>
      </c>
      <c r="Z265">
        <v>-0.39</v>
      </c>
      <c r="AA265">
        <v>16</v>
      </c>
      <c r="AB265">
        <v>7</v>
      </c>
      <c r="AC265">
        <v>9</v>
      </c>
      <c r="AD265">
        <v>43.75</v>
      </c>
      <c r="AE265">
        <v>11</v>
      </c>
      <c r="AF265">
        <v>6</v>
      </c>
      <c r="AG265">
        <v>6</v>
      </c>
      <c r="AH265">
        <v>4</v>
      </c>
    </row>
    <row r="266" spans="1:34">
      <c r="A266" s="111">
        <v>137</v>
      </c>
      <c r="B266">
        <v>6135</v>
      </c>
      <c r="C266" s="115" t="s">
        <v>405</v>
      </c>
      <c r="D266" s="115" t="s">
        <v>133</v>
      </c>
      <c r="E266">
        <v>5250</v>
      </c>
      <c r="F266">
        <v>5220</v>
      </c>
      <c r="G266">
        <v>200</v>
      </c>
      <c r="H266" s="115" t="s">
        <v>89</v>
      </c>
      <c r="I266">
        <v>6481</v>
      </c>
      <c r="J266" s="115" t="s">
        <v>466</v>
      </c>
      <c r="K266" s="115" t="s">
        <v>133</v>
      </c>
      <c r="L266">
        <v>2921</v>
      </c>
      <c r="M266">
        <v>2884</v>
      </c>
      <c r="N266">
        <v>400</v>
      </c>
      <c r="O266" s="115" t="s">
        <v>87</v>
      </c>
      <c r="P266">
        <v>0.94192822264269205</v>
      </c>
      <c r="Q266">
        <v>0.92167409151817703</v>
      </c>
      <c r="R266">
        <v>0.30129898637481101</v>
      </c>
      <c r="S266">
        <v>1.9644265047790099E-2</v>
      </c>
      <c r="T266">
        <v>2.1674092180040399</v>
      </c>
      <c r="U266">
        <v>2.1674092180040399</v>
      </c>
      <c r="V266">
        <v>5.87</v>
      </c>
      <c r="W266">
        <v>10.5</v>
      </c>
      <c r="X266">
        <v>-117250</v>
      </c>
      <c r="Y266">
        <v>-9019</v>
      </c>
      <c r="Z266">
        <v>-0.45</v>
      </c>
      <c r="AA266">
        <v>13</v>
      </c>
      <c r="AB266">
        <v>6</v>
      </c>
      <c r="AC266">
        <v>7</v>
      </c>
      <c r="AD266">
        <v>46.15</v>
      </c>
      <c r="AE266">
        <v>11</v>
      </c>
      <c r="AF266">
        <v>5</v>
      </c>
      <c r="AG266">
        <v>5</v>
      </c>
      <c r="AH266">
        <v>3</v>
      </c>
    </row>
    <row r="267" spans="1:34">
      <c r="A267" s="111">
        <v>230</v>
      </c>
      <c r="B267">
        <v>1911</v>
      </c>
      <c r="C267" s="115" t="s">
        <v>137</v>
      </c>
      <c r="D267" s="115" t="s">
        <v>108</v>
      </c>
      <c r="E267">
        <v>1562</v>
      </c>
      <c r="F267">
        <v>1571</v>
      </c>
      <c r="G267">
        <v>700</v>
      </c>
      <c r="H267" s="115" t="s">
        <v>89</v>
      </c>
      <c r="I267">
        <v>4634</v>
      </c>
      <c r="J267" s="115" t="s">
        <v>198</v>
      </c>
      <c r="K267" s="115" t="s">
        <v>88</v>
      </c>
      <c r="L267">
        <v>2653</v>
      </c>
      <c r="M267">
        <v>2639</v>
      </c>
      <c r="N267">
        <v>400</v>
      </c>
      <c r="O267" s="115" t="s">
        <v>87</v>
      </c>
      <c r="P267">
        <v>0.98301595089988503</v>
      </c>
      <c r="Q267">
        <v>0.909505530992049</v>
      </c>
      <c r="R267">
        <v>2.2469099390576802E-3</v>
      </c>
      <c r="S267">
        <v>0.36165612544355102</v>
      </c>
      <c r="T267">
        <v>0.76678494451856705</v>
      </c>
      <c r="U267">
        <v>0.76678494451856705</v>
      </c>
      <c r="V267">
        <v>1.39</v>
      </c>
      <c r="W267">
        <v>4.18</v>
      </c>
      <c r="X267">
        <v>-117674</v>
      </c>
      <c r="Y267">
        <v>-7355</v>
      </c>
      <c r="Z267">
        <v>-0.43</v>
      </c>
      <c r="AA267">
        <v>16</v>
      </c>
      <c r="AB267">
        <v>6</v>
      </c>
      <c r="AC267">
        <v>10</v>
      </c>
      <c r="AD267">
        <v>37.5</v>
      </c>
      <c r="AE267">
        <v>15</v>
      </c>
      <c r="AF267">
        <v>2</v>
      </c>
      <c r="AG267">
        <v>2</v>
      </c>
      <c r="AH267">
        <v>12</v>
      </c>
    </row>
    <row r="268" spans="1:34">
      <c r="A268" s="111">
        <v>120</v>
      </c>
      <c r="B268">
        <v>4062</v>
      </c>
      <c r="C268" s="115" t="s">
        <v>440</v>
      </c>
      <c r="D268" s="115" t="s">
        <v>118</v>
      </c>
      <c r="E268">
        <v>2487</v>
      </c>
      <c r="F268">
        <v>2454</v>
      </c>
      <c r="G268">
        <v>300</v>
      </c>
      <c r="H268" s="115" t="s">
        <v>87</v>
      </c>
      <c r="I268">
        <v>6951</v>
      </c>
      <c r="J268" s="115" t="s">
        <v>434</v>
      </c>
      <c r="K268" s="115" t="s">
        <v>118</v>
      </c>
      <c r="L268">
        <v>2914</v>
      </c>
      <c r="M268">
        <v>2849</v>
      </c>
      <c r="N268">
        <v>300</v>
      </c>
      <c r="O268" s="115" t="s">
        <v>89</v>
      </c>
      <c r="P268">
        <v>0.96130922729037704</v>
      </c>
      <c r="Q268">
        <v>0.92428451596975303</v>
      </c>
      <c r="R268">
        <v>9.6618224721423205E-3</v>
      </c>
      <c r="S268">
        <v>7.0608585721082598E-2</v>
      </c>
      <c r="T268">
        <v>-5.9696658243215101E-2</v>
      </c>
      <c r="U268">
        <v>5.9696658243215101E-2</v>
      </c>
      <c r="V268">
        <v>-0.21</v>
      </c>
      <c r="W268">
        <v>13.86</v>
      </c>
      <c r="X268">
        <v>-118052</v>
      </c>
      <c r="Y268">
        <v>-7870</v>
      </c>
      <c r="Z268">
        <v>-0.41</v>
      </c>
      <c r="AA268">
        <v>15</v>
      </c>
      <c r="AB268">
        <v>7</v>
      </c>
      <c r="AC268">
        <v>8</v>
      </c>
      <c r="AD268">
        <v>46.67</v>
      </c>
      <c r="AE268">
        <v>12</v>
      </c>
      <c r="AF268">
        <v>5</v>
      </c>
      <c r="AG268">
        <v>6</v>
      </c>
      <c r="AH268">
        <v>4</v>
      </c>
    </row>
    <row r="269" spans="1:34">
      <c r="A269" s="111">
        <v>49</v>
      </c>
      <c r="B269">
        <v>7182</v>
      </c>
      <c r="C269" s="115" t="s">
        <v>186</v>
      </c>
      <c r="D269" s="115" t="s">
        <v>113</v>
      </c>
      <c r="E269">
        <v>1050</v>
      </c>
      <c r="F269">
        <v>1051</v>
      </c>
      <c r="G269">
        <v>1000</v>
      </c>
      <c r="H269" s="115" t="s">
        <v>87</v>
      </c>
      <c r="I269">
        <v>8086</v>
      </c>
      <c r="J269" s="115" t="s">
        <v>392</v>
      </c>
      <c r="K269" s="115" t="s">
        <v>126</v>
      </c>
      <c r="L269">
        <v>1286</v>
      </c>
      <c r="M269">
        <v>1287</v>
      </c>
      <c r="N269">
        <v>800</v>
      </c>
      <c r="O269" s="115" t="s">
        <v>89</v>
      </c>
      <c r="P269">
        <v>0.92311407251004496</v>
      </c>
      <c r="Q269">
        <v>0.93897292894170903</v>
      </c>
      <c r="R269">
        <v>0.27161835690888397</v>
      </c>
      <c r="S269">
        <v>3.59210091571249E-2</v>
      </c>
      <c r="T269">
        <v>-2.6846739997023499</v>
      </c>
      <c r="U269">
        <v>2.6846739997023499</v>
      </c>
      <c r="V269">
        <v>-5.19</v>
      </c>
      <c r="W269">
        <v>2.08</v>
      </c>
      <c r="X269">
        <v>-118301</v>
      </c>
      <c r="Y269">
        <v>-9858</v>
      </c>
      <c r="Z269">
        <v>-0.46</v>
      </c>
      <c r="AA269">
        <v>12</v>
      </c>
      <c r="AB269">
        <v>5</v>
      </c>
      <c r="AC269">
        <v>7</v>
      </c>
      <c r="AD269">
        <v>41.67</v>
      </c>
      <c r="AE269">
        <v>14</v>
      </c>
      <c r="AF269">
        <v>2</v>
      </c>
      <c r="AG269">
        <v>2</v>
      </c>
      <c r="AH269">
        <v>8</v>
      </c>
    </row>
    <row r="270" spans="1:34">
      <c r="A270" s="111">
        <v>1</v>
      </c>
      <c r="B270">
        <v>7202</v>
      </c>
      <c r="C270" s="115" t="s">
        <v>187</v>
      </c>
      <c r="D270" s="115" t="s">
        <v>115</v>
      </c>
      <c r="E270">
        <v>1290</v>
      </c>
      <c r="F270">
        <v>1298</v>
      </c>
      <c r="G270">
        <v>800</v>
      </c>
      <c r="H270" s="115" t="s">
        <v>89</v>
      </c>
      <c r="I270">
        <v>7211</v>
      </c>
      <c r="J270" s="115" t="s">
        <v>56</v>
      </c>
      <c r="K270" s="115" t="s">
        <v>115</v>
      </c>
      <c r="L270">
        <v>485</v>
      </c>
      <c r="M270">
        <v>487</v>
      </c>
      <c r="N270">
        <v>2100</v>
      </c>
      <c r="O270" s="115" t="s">
        <v>87</v>
      </c>
      <c r="P270">
        <v>0.92371888601042995</v>
      </c>
      <c r="Q270">
        <v>0.97362674537539495</v>
      </c>
      <c r="R270">
        <v>1.7457520050308501E-2</v>
      </c>
      <c r="S270">
        <v>2.1500348950293399E-2</v>
      </c>
      <c r="T270">
        <v>2.5141553610075702</v>
      </c>
      <c r="U270">
        <v>2.5141553610075702</v>
      </c>
      <c r="V270">
        <v>4.62</v>
      </c>
      <c r="W270">
        <v>1.51</v>
      </c>
      <c r="X270">
        <v>-125493</v>
      </c>
      <c r="Y270">
        <v>-6972</v>
      </c>
      <c r="Z270">
        <v>-0.35</v>
      </c>
      <c r="AA270">
        <v>18</v>
      </c>
      <c r="AB270">
        <v>7</v>
      </c>
      <c r="AC270">
        <v>11</v>
      </c>
      <c r="AD270">
        <v>38.89</v>
      </c>
      <c r="AE270">
        <v>12</v>
      </c>
      <c r="AF270">
        <v>5</v>
      </c>
      <c r="AG270">
        <v>6</v>
      </c>
      <c r="AH270">
        <v>7</v>
      </c>
    </row>
    <row r="271" spans="1:34">
      <c r="A271" s="111">
        <v>168</v>
      </c>
      <c r="B271">
        <v>3105</v>
      </c>
      <c r="C271" s="115" t="s">
        <v>122</v>
      </c>
      <c r="D271" s="115" t="s">
        <v>118</v>
      </c>
      <c r="E271">
        <v>956</v>
      </c>
      <c r="F271">
        <v>958</v>
      </c>
      <c r="G271">
        <v>800</v>
      </c>
      <c r="H271" s="115" t="s">
        <v>89</v>
      </c>
      <c r="I271">
        <v>6371</v>
      </c>
      <c r="J271" s="115" t="s">
        <v>142</v>
      </c>
      <c r="K271" s="115" t="s">
        <v>133</v>
      </c>
      <c r="L271">
        <v>3765</v>
      </c>
      <c r="M271">
        <v>3780</v>
      </c>
      <c r="N271">
        <v>200</v>
      </c>
      <c r="O271" s="115" t="s">
        <v>87</v>
      </c>
      <c r="P271">
        <v>0.95904806940289899</v>
      </c>
      <c r="Q271">
        <v>0.91672929663672098</v>
      </c>
      <c r="R271">
        <v>8.8501268965247501E-3</v>
      </c>
      <c r="S271">
        <v>9.8703108930327799E-3</v>
      </c>
      <c r="T271">
        <v>1.3089013403494101</v>
      </c>
      <c r="U271">
        <v>1.3089013403494101</v>
      </c>
      <c r="V271">
        <v>2.5299999999999998</v>
      </c>
      <c r="W271">
        <v>1.38</v>
      </c>
      <c r="X271">
        <v>-127614</v>
      </c>
      <c r="Y271">
        <v>-5801</v>
      </c>
      <c r="Z271">
        <v>-0.39</v>
      </c>
      <c r="AA271">
        <v>22</v>
      </c>
      <c r="AB271">
        <v>11</v>
      </c>
      <c r="AC271">
        <v>11</v>
      </c>
      <c r="AD271">
        <v>50</v>
      </c>
      <c r="AE271">
        <v>13</v>
      </c>
      <c r="AF271">
        <v>6</v>
      </c>
      <c r="AG271">
        <v>6</v>
      </c>
      <c r="AH271">
        <v>10</v>
      </c>
    </row>
    <row r="272" spans="1:34">
      <c r="A272" s="111">
        <v>275</v>
      </c>
      <c r="B272">
        <v>4634</v>
      </c>
      <c r="C272" s="115" t="s">
        <v>198</v>
      </c>
      <c r="D272" s="115" t="s">
        <v>88</v>
      </c>
      <c r="E272">
        <v>2653</v>
      </c>
      <c r="F272">
        <v>2639</v>
      </c>
      <c r="G272">
        <v>400</v>
      </c>
      <c r="H272" s="115" t="s">
        <v>89</v>
      </c>
      <c r="I272">
        <v>6472</v>
      </c>
      <c r="J272" s="115" t="s">
        <v>189</v>
      </c>
      <c r="K272" s="115" t="s">
        <v>133</v>
      </c>
      <c r="L272">
        <v>322</v>
      </c>
      <c r="M272">
        <v>327</v>
      </c>
      <c r="N272">
        <v>3200</v>
      </c>
      <c r="O272" s="115" t="s">
        <v>87</v>
      </c>
      <c r="P272">
        <v>0.945895045697415</v>
      </c>
      <c r="Q272">
        <v>0.90270040456135903</v>
      </c>
      <c r="R272">
        <v>2.98695084241739E-2</v>
      </c>
      <c r="S272">
        <v>3.41732217645443E-2</v>
      </c>
      <c r="T272">
        <v>1.2755253945154501</v>
      </c>
      <c r="U272">
        <v>1.2755253945154501</v>
      </c>
      <c r="V272">
        <v>3.16</v>
      </c>
      <c r="W272">
        <v>0.87</v>
      </c>
      <c r="X272">
        <v>-136534</v>
      </c>
      <c r="Y272">
        <v>-6827</v>
      </c>
      <c r="Z272">
        <v>-0.38</v>
      </c>
      <c r="AA272">
        <v>20</v>
      </c>
      <c r="AB272">
        <v>9</v>
      </c>
      <c r="AC272">
        <v>11</v>
      </c>
      <c r="AD272">
        <v>45</v>
      </c>
      <c r="AE272">
        <v>11</v>
      </c>
      <c r="AF272">
        <v>7</v>
      </c>
      <c r="AG272">
        <v>7</v>
      </c>
      <c r="AH272">
        <v>6</v>
      </c>
    </row>
    <row r="273" spans="1:34">
      <c r="A273" s="111">
        <v>143</v>
      </c>
      <c r="B273">
        <v>5020</v>
      </c>
      <c r="C273" s="115" t="s">
        <v>173</v>
      </c>
      <c r="D273" s="115" t="s">
        <v>174</v>
      </c>
      <c r="E273">
        <v>485.1</v>
      </c>
      <c r="F273">
        <v>479</v>
      </c>
      <c r="G273">
        <v>2200</v>
      </c>
      <c r="H273" s="115" t="s">
        <v>87</v>
      </c>
      <c r="I273">
        <v>7167</v>
      </c>
      <c r="J273" s="115" t="s">
        <v>134</v>
      </c>
      <c r="K273" s="115" t="s">
        <v>113</v>
      </c>
      <c r="L273">
        <v>281</v>
      </c>
      <c r="M273">
        <v>282</v>
      </c>
      <c r="N273">
        <v>3700</v>
      </c>
      <c r="O273" s="115" t="s">
        <v>89</v>
      </c>
      <c r="P273">
        <v>0.90220026226834604</v>
      </c>
      <c r="Q273">
        <v>0.92049665316837603</v>
      </c>
      <c r="R273">
        <v>0.153083231877052</v>
      </c>
      <c r="S273">
        <v>5.6906750530091301E-3</v>
      </c>
      <c r="T273">
        <v>-2.6116730812309701</v>
      </c>
      <c r="U273">
        <v>2.6116730812309701</v>
      </c>
      <c r="V273">
        <v>-8.68</v>
      </c>
      <c r="W273">
        <v>0.99</v>
      </c>
      <c r="X273">
        <v>-139732</v>
      </c>
      <c r="Y273">
        <v>-8220</v>
      </c>
      <c r="Z273">
        <v>-0.4</v>
      </c>
      <c r="AA273">
        <v>17</v>
      </c>
      <c r="AB273">
        <v>7</v>
      </c>
      <c r="AC273">
        <v>10</v>
      </c>
      <c r="AD273">
        <v>41.18</v>
      </c>
      <c r="AE273">
        <v>14</v>
      </c>
      <c r="AF273">
        <v>3</v>
      </c>
      <c r="AG273">
        <v>5</v>
      </c>
      <c r="AH273">
        <v>9</v>
      </c>
    </row>
    <row r="274" spans="1:34">
      <c r="A274" s="111">
        <v>191</v>
      </c>
      <c r="B274">
        <v>8002</v>
      </c>
      <c r="C274" s="115" t="s">
        <v>57</v>
      </c>
      <c r="D274" s="115" t="s">
        <v>135</v>
      </c>
      <c r="E274">
        <v>794.1</v>
      </c>
      <c r="F274">
        <v>797.4</v>
      </c>
      <c r="G274">
        <v>1300</v>
      </c>
      <c r="H274" s="115" t="s">
        <v>89</v>
      </c>
      <c r="I274">
        <v>8306</v>
      </c>
      <c r="J274" s="115" t="s">
        <v>207</v>
      </c>
      <c r="K274" s="115" t="s">
        <v>113</v>
      </c>
      <c r="L274">
        <v>571.4</v>
      </c>
      <c r="M274">
        <v>571.9</v>
      </c>
      <c r="N274">
        <v>1800</v>
      </c>
      <c r="O274" s="115" t="s">
        <v>87</v>
      </c>
      <c r="P274">
        <v>0.953653171764001</v>
      </c>
      <c r="Q274">
        <v>0.91448506874118995</v>
      </c>
      <c r="R274">
        <v>0.239415885407988</v>
      </c>
      <c r="S274">
        <v>7.5150090325833196E-2</v>
      </c>
      <c r="T274">
        <v>2.3141335560931702</v>
      </c>
      <c r="U274">
        <v>2.3141335560931702</v>
      </c>
      <c r="V274">
        <v>4.32</v>
      </c>
      <c r="W274">
        <v>0.69</v>
      </c>
      <c r="X274">
        <v>-141734</v>
      </c>
      <c r="Y274">
        <v>-9449</v>
      </c>
      <c r="Z274">
        <v>-0.44</v>
      </c>
      <c r="AA274">
        <v>15</v>
      </c>
      <c r="AB274">
        <v>5</v>
      </c>
      <c r="AC274">
        <v>10</v>
      </c>
      <c r="AD274">
        <v>33.33</v>
      </c>
      <c r="AE274">
        <v>16</v>
      </c>
      <c r="AF274">
        <v>2</v>
      </c>
      <c r="AG274">
        <v>4</v>
      </c>
      <c r="AH274">
        <v>9</v>
      </c>
    </row>
    <row r="275" spans="1:34">
      <c r="A275" s="111">
        <v>139</v>
      </c>
      <c r="B275">
        <v>8267</v>
      </c>
      <c r="C275" s="115" t="s">
        <v>399</v>
      </c>
      <c r="D275" s="115" t="s">
        <v>128</v>
      </c>
      <c r="E275">
        <v>2237</v>
      </c>
      <c r="F275">
        <v>2235</v>
      </c>
      <c r="G275">
        <v>400</v>
      </c>
      <c r="H275" s="115" t="s">
        <v>87</v>
      </c>
      <c r="I275">
        <v>8410</v>
      </c>
      <c r="J275" s="115" t="s">
        <v>393</v>
      </c>
      <c r="K275" s="115" t="s">
        <v>113</v>
      </c>
      <c r="L275">
        <v>333</v>
      </c>
      <c r="M275">
        <v>338</v>
      </c>
      <c r="N275">
        <v>2600</v>
      </c>
      <c r="O275" s="115" t="s">
        <v>89</v>
      </c>
      <c r="P275">
        <v>0.93719390713662598</v>
      </c>
      <c r="Q275">
        <v>0.921508226420369</v>
      </c>
      <c r="R275">
        <v>1.7268525094922001E-2</v>
      </c>
      <c r="S275">
        <v>3.8495181234659199E-3</v>
      </c>
      <c r="T275">
        <v>-1.2000336609201201</v>
      </c>
      <c r="U275">
        <v>1.2000336609201201</v>
      </c>
      <c r="V275">
        <v>-3.37</v>
      </c>
      <c r="W275">
        <v>1.7</v>
      </c>
      <c r="X275">
        <v>-141773</v>
      </c>
      <c r="Y275">
        <v>-7462</v>
      </c>
      <c r="Z275">
        <v>-0.33</v>
      </c>
      <c r="AA275">
        <v>19</v>
      </c>
      <c r="AB275">
        <v>8</v>
      </c>
      <c r="AC275">
        <v>11</v>
      </c>
      <c r="AD275">
        <v>42.11</v>
      </c>
      <c r="AE275">
        <v>14</v>
      </c>
      <c r="AF275">
        <v>2</v>
      </c>
      <c r="AG275">
        <v>5</v>
      </c>
      <c r="AH275">
        <v>12</v>
      </c>
    </row>
    <row r="276" spans="1:34">
      <c r="A276" s="111">
        <v>65</v>
      </c>
      <c r="B276">
        <v>4182</v>
      </c>
      <c r="C276" s="115" t="s">
        <v>119</v>
      </c>
      <c r="D276" s="115" t="s">
        <v>88</v>
      </c>
      <c r="E276">
        <v>1620</v>
      </c>
      <c r="F276">
        <v>1632</v>
      </c>
      <c r="G276">
        <v>700</v>
      </c>
      <c r="H276" s="115" t="s">
        <v>89</v>
      </c>
      <c r="I276">
        <v>9072</v>
      </c>
      <c r="J276" s="115" t="s">
        <v>175</v>
      </c>
      <c r="K276" s="115" t="s">
        <v>157</v>
      </c>
      <c r="L276">
        <v>2689</v>
      </c>
      <c r="M276">
        <v>2707</v>
      </c>
      <c r="N276">
        <v>400</v>
      </c>
      <c r="O276" s="115" t="s">
        <v>87</v>
      </c>
      <c r="P276">
        <v>0.95930789690174101</v>
      </c>
      <c r="Q276">
        <v>0.93575199185441105</v>
      </c>
      <c r="R276">
        <v>0.12598168672438601</v>
      </c>
      <c r="S276">
        <v>1.8832026215200899E-4</v>
      </c>
      <c r="T276">
        <v>1.1156208450607299</v>
      </c>
      <c r="U276">
        <v>1.1156208450607299</v>
      </c>
      <c r="V276">
        <v>6.03</v>
      </c>
      <c r="W276">
        <v>5.5</v>
      </c>
      <c r="X276">
        <v>-151623</v>
      </c>
      <c r="Y276">
        <v>-9476</v>
      </c>
      <c r="Z276">
        <v>-0.44</v>
      </c>
      <c r="AA276">
        <v>16</v>
      </c>
      <c r="AB276">
        <v>6</v>
      </c>
      <c r="AC276">
        <v>10</v>
      </c>
      <c r="AD276">
        <v>37.5</v>
      </c>
      <c r="AE276">
        <v>13</v>
      </c>
      <c r="AF276">
        <v>6</v>
      </c>
      <c r="AG276">
        <v>5</v>
      </c>
      <c r="AH276">
        <v>5</v>
      </c>
    </row>
    <row r="277" spans="1:34">
      <c r="A277" s="111">
        <v>154</v>
      </c>
      <c r="B277">
        <v>4507</v>
      </c>
      <c r="C277" s="115" t="s">
        <v>441</v>
      </c>
      <c r="D277" s="115" t="s">
        <v>194</v>
      </c>
      <c r="E277">
        <v>6435</v>
      </c>
      <c r="F277">
        <v>6352</v>
      </c>
      <c r="G277">
        <v>100</v>
      </c>
      <c r="H277" s="115" t="s">
        <v>87</v>
      </c>
      <c r="I277">
        <v>7189</v>
      </c>
      <c r="J277" s="115" t="s">
        <v>112</v>
      </c>
      <c r="K277" s="115" t="s">
        <v>113</v>
      </c>
      <c r="L277">
        <v>844</v>
      </c>
      <c r="M277">
        <v>850</v>
      </c>
      <c r="N277">
        <v>700</v>
      </c>
      <c r="O277" s="115" t="s">
        <v>89</v>
      </c>
      <c r="P277">
        <v>0.916988209441295</v>
      </c>
      <c r="Q277">
        <v>0.91849956744811501</v>
      </c>
      <c r="R277">
        <v>2.4788783644335202E-2</v>
      </c>
      <c r="S277">
        <v>1.8897339486760201E-2</v>
      </c>
      <c r="T277">
        <v>-1.1620148205972101</v>
      </c>
      <c r="U277">
        <v>1.1620148205972101</v>
      </c>
      <c r="V277">
        <v>-7.95</v>
      </c>
      <c r="W277">
        <v>6.33</v>
      </c>
      <c r="X277">
        <v>-154756</v>
      </c>
      <c r="Y277">
        <v>-6190</v>
      </c>
      <c r="Z277">
        <v>-0.6</v>
      </c>
      <c r="AA277">
        <v>25</v>
      </c>
      <c r="AB277">
        <v>9</v>
      </c>
      <c r="AC277">
        <v>16</v>
      </c>
      <c r="AD277">
        <v>36</v>
      </c>
      <c r="AE277">
        <v>12</v>
      </c>
      <c r="AF277">
        <v>5</v>
      </c>
      <c r="AG277">
        <v>11</v>
      </c>
      <c r="AH277">
        <v>9</v>
      </c>
    </row>
    <row r="278" spans="1:34">
      <c r="A278" s="111">
        <v>206</v>
      </c>
      <c r="B278">
        <v>5803</v>
      </c>
      <c r="C278" s="115" t="s">
        <v>54</v>
      </c>
      <c r="D278" s="115" t="s">
        <v>182</v>
      </c>
      <c r="E278">
        <v>450</v>
      </c>
      <c r="F278">
        <v>452</v>
      </c>
      <c r="G278">
        <v>2300</v>
      </c>
      <c r="H278" s="115" t="s">
        <v>87</v>
      </c>
      <c r="I278">
        <v>6995</v>
      </c>
      <c r="J278" s="115" t="s">
        <v>123</v>
      </c>
      <c r="K278" s="115" t="s">
        <v>115</v>
      </c>
      <c r="L278">
        <v>2050</v>
      </c>
      <c r="M278">
        <v>2063</v>
      </c>
      <c r="N278">
        <v>500</v>
      </c>
      <c r="O278" s="115" t="s">
        <v>89</v>
      </c>
      <c r="P278">
        <v>0.91164183793812303</v>
      </c>
      <c r="Q278">
        <v>0.91244804304608096</v>
      </c>
      <c r="R278">
        <v>0.33861414572219201</v>
      </c>
      <c r="S278">
        <v>5.0112202102848197E-2</v>
      </c>
      <c r="T278">
        <v>-5.0990772519527099E-2</v>
      </c>
      <c r="U278">
        <v>5.0990772519527099E-2</v>
      </c>
      <c r="V278">
        <v>-0.33</v>
      </c>
      <c r="W278">
        <v>0.79</v>
      </c>
      <c r="X278">
        <v>-155617</v>
      </c>
      <c r="Y278">
        <v>-7781</v>
      </c>
      <c r="Z278">
        <v>-0.42</v>
      </c>
      <c r="AA278">
        <v>20</v>
      </c>
      <c r="AB278">
        <v>10</v>
      </c>
      <c r="AC278">
        <v>10</v>
      </c>
      <c r="AD278">
        <v>50</v>
      </c>
      <c r="AE278">
        <v>12</v>
      </c>
      <c r="AF278">
        <v>6</v>
      </c>
      <c r="AG278">
        <v>7</v>
      </c>
      <c r="AH278">
        <v>7</v>
      </c>
    </row>
    <row r="279" spans="1:34">
      <c r="A279" s="111">
        <v>81</v>
      </c>
      <c r="B279">
        <v>2914</v>
      </c>
      <c r="C279" s="115" t="s">
        <v>129</v>
      </c>
      <c r="D279" s="115" t="s">
        <v>130</v>
      </c>
      <c r="E279">
        <v>2469</v>
      </c>
      <c r="F279">
        <v>2482</v>
      </c>
      <c r="G279">
        <v>400</v>
      </c>
      <c r="H279" s="115" t="s">
        <v>87</v>
      </c>
      <c r="I279">
        <v>7181</v>
      </c>
      <c r="J279" s="115" t="s">
        <v>195</v>
      </c>
      <c r="K279" s="115" t="s">
        <v>144</v>
      </c>
      <c r="L279">
        <v>1844</v>
      </c>
      <c r="M279">
        <v>1838</v>
      </c>
      <c r="N279">
        <v>500</v>
      </c>
      <c r="O279" s="115" t="s">
        <v>89</v>
      </c>
      <c r="P279">
        <v>0.92144634493475597</v>
      </c>
      <c r="Q279">
        <v>0.93251820613499603</v>
      </c>
      <c r="R279">
        <v>8.5092155746098297E-2</v>
      </c>
      <c r="S279">
        <v>3.31473043366837E-3</v>
      </c>
      <c r="T279">
        <v>-1.7167967644136199</v>
      </c>
      <c r="U279">
        <v>1.7167967644136199</v>
      </c>
      <c r="V279">
        <v>-5.25</v>
      </c>
      <c r="W279">
        <v>7.43</v>
      </c>
      <c r="X279">
        <v>-170160</v>
      </c>
      <c r="Y279">
        <v>-10635</v>
      </c>
      <c r="Z279">
        <v>-0.56999999999999995</v>
      </c>
      <c r="AA279">
        <v>16</v>
      </c>
      <c r="AB279">
        <v>5</v>
      </c>
      <c r="AC279">
        <v>11</v>
      </c>
      <c r="AD279">
        <v>31.25</v>
      </c>
      <c r="AE279">
        <v>11</v>
      </c>
      <c r="AF279">
        <v>4</v>
      </c>
      <c r="AG279">
        <v>7</v>
      </c>
      <c r="AH279">
        <v>5</v>
      </c>
    </row>
    <row r="280" spans="1:34">
      <c r="A280" s="111">
        <v>0</v>
      </c>
      <c r="B280">
        <v>9506</v>
      </c>
      <c r="C280" s="115" t="s">
        <v>208</v>
      </c>
      <c r="D280" s="115" t="s">
        <v>171</v>
      </c>
      <c r="E280">
        <v>1070</v>
      </c>
      <c r="F280">
        <v>1093</v>
      </c>
      <c r="G280">
        <v>1000</v>
      </c>
      <c r="H280" s="115" t="s">
        <v>89</v>
      </c>
      <c r="I280">
        <v>9507</v>
      </c>
      <c r="J280" s="115" t="s">
        <v>209</v>
      </c>
      <c r="K280" s="115" t="s">
        <v>171</v>
      </c>
      <c r="L280">
        <v>1032</v>
      </c>
      <c r="M280">
        <v>1041</v>
      </c>
      <c r="N280">
        <v>1000</v>
      </c>
      <c r="O280" s="115" t="s">
        <v>87</v>
      </c>
      <c r="P280">
        <v>0.92286997471898402</v>
      </c>
      <c r="Q280">
        <v>0.97844503150212103</v>
      </c>
      <c r="R280">
        <v>0.16044011102059599</v>
      </c>
      <c r="S280">
        <v>0.22856089578066899</v>
      </c>
      <c r="T280">
        <v>0.67891034815167495</v>
      </c>
      <c r="U280">
        <v>0.67891034815167495</v>
      </c>
      <c r="V280">
        <v>1.17</v>
      </c>
      <c r="W280">
        <v>4.76</v>
      </c>
      <c r="X280">
        <v>-174408</v>
      </c>
      <c r="Y280">
        <v>-7583</v>
      </c>
      <c r="Z280">
        <v>-0.36</v>
      </c>
      <c r="AA280">
        <v>23</v>
      </c>
      <c r="AB280">
        <v>9</v>
      </c>
      <c r="AC280">
        <v>14</v>
      </c>
      <c r="AD280">
        <v>39.130000000000003</v>
      </c>
      <c r="AE280">
        <v>14</v>
      </c>
      <c r="AF280">
        <v>2</v>
      </c>
      <c r="AG280">
        <v>6</v>
      </c>
      <c r="AH280">
        <v>15</v>
      </c>
    </row>
    <row r="281" spans="1:34">
      <c r="A281" s="111">
        <v>39</v>
      </c>
      <c r="B281">
        <v>7189</v>
      </c>
      <c r="C281" s="115" t="s">
        <v>112</v>
      </c>
      <c r="D281" s="115" t="s">
        <v>113</v>
      </c>
      <c r="E281">
        <v>844</v>
      </c>
      <c r="F281">
        <v>850</v>
      </c>
      <c r="G281">
        <v>1200</v>
      </c>
      <c r="H281" s="115" t="s">
        <v>89</v>
      </c>
      <c r="I281">
        <v>8377</v>
      </c>
      <c r="J281" s="115" t="s">
        <v>127</v>
      </c>
      <c r="K281" s="115" t="s">
        <v>113</v>
      </c>
      <c r="L281">
        <v>1116</v>
      </c>
      <c r="M281">
        <v>1116</v>
      </c>
      <c r="N281">
        <v>900</v>
      </c>
      <c r="O281" s="115" t="s">
        <v>87</v>
      </c>
      <c r="P281">
        <v>0.97868706870037403</v>
      </c>
      <c r="Q281">
        <v>0.94072691040160195</v>
      </c>
      <c r="R281" s="20">
        <v>8.0591423519197194E-2</v>
      </c>
      <c r="S281">
        <v>0.32384937424756099</v>
      </c>
      <c r="T281">
        <v>1.3598285559416401</v>
      </c>
      <c r="U281">
        <v>1.3598285559416401</v>
      </c>
      <c r="V281">
        <v>5.83</v>
      </c>
      <c r="W281">
        <v>1.55</v>
      </c>
      <c r="X281">
        <v>-175804</v>
      </c>
      <c r="Y281">
        <v>-9767</v>
      </c>
      <c r="Z281">
        <v>-0.44</v>
      </c>
      <c r="AA281">
        <v>18</v>
      </c>
      <c r="AB281">
        <v>8</v>
      </c>
      <c r="AC281">
        <v>10</v>
      </c>
      <c r="AD281">
        <v>44.44</v>
      </c>
      <c r="AE281">
        <v>15</v>
      </c>
      <c r="AF281">
        <v>2</v>
      </c>
      <c r="AG281">
        <v>4</v>
      </c>
      <c r="AH281">
        <v>12</v>
      </c>
    </row>
    <row r="282" spans="1:34">
      <c r="A282" s="111">
        <v>291</v>
      </c>
      <c r="B282">
        <v>4188</v>
      </c>
      <c r="C282" s="115" t="s">
        <v>414</v>
      </c>
      <c r="D282" s="115" t="s">
        <v>88</v>
      </c>
      <c r="E282">
        <v>820</v>
      </c>
      <c r="F282">
        <v>815.7</v>
      </c>
      <c r="G282">
        <v>1300</v>
      </c>
      <c r="H282" s="115" t="s">
        <v>87</v>
      </c>
      <c r="I282">
        <v>8002</v>
      </c>
      <c r="J282" s="115" t="s">
        <v>57</v>
      </c>
      <c r="K282" s="115" t="s">
        <v>135</v>
      </c>
      <c r="L282">
        <v>794.1</v>
      </c>
      <c r="M282">
        <v>797.4</v>
      </c>
      <c r="N282">
        <v>1300</v>
      </c>
      <c r="O282" s="115" t="s">
        <v>89</v>
      </c>
      <c r="P282">
        <v>0.940432943373956</v>
      </c>
      <c r="Q282">
        <v>0.90107504688831497</v>
      </c>
      <c r="R282">
        <v>5.2012455656316001E-2</v>
      </c>
      <c r="S282">
        <v>0.146217584126966</v>
      </c>
      <c r="T282">
        <v>-3.1297308615817698</v>
      </c>
      <c r="U282">
        <v>3.1297308615817698</v>
      </c>
      <c r="V282">
        <v>-6.27</v>
      </c>
      <c r="W282">
        <v>2.2400000000000002</v>
      </c>
      <c r="X282">
        <v>-180834</v>
      </c>
      <c r="Y282">
        <v>-11302</v>
      </c>
      <c r="Z282">
        <v>-0.52</v>
      </c>
      <c r="AA282">
        <v>16</v>
      </c>
      <c r="AB282">
        <v>5</v>
      </c>
      <c r="AC282">
        <v>11</v>
      </c>
      <c r="AD282">
        <v>31.25</v>
      </c>
      <c r="AE282">
        <v>16</v>
      </c>
      <c r="AF282">
        <v>2</v>
      </c>
      <c r="AG282">
        <v>1</v>
      </c>
      <c r="AH282">
        <v>13</v>
      </c>
    </row>
    <row r="283" spans="1:34">
      <c r="A283" s="111">
        <v>50</v>
      </c>
      <c r="B283">
        <v>7267</v>
      </c>
      <c r="C283" s="115" t="s">
        <v>154</v>
      </c>
      <c r="D283" s="115" t="s">
        <v>115</v>
      </c>
      <c r="E283">
        <v>3089</v>
      </c>
      <c r="F283">
        <v>3103</v>
      </c>
      <c r="G283">
        <v>300</v>
      </c>
      <c r="H283" s="115" t="s">
        <v>89</v>
      </c>
      <c r="I283">
        <v>8002</v>
      </c>
      <c r="J283" s="115" t="s">
        <v>57</v>
      </c>
      <c r="K283" s="115" t="s">
        <v>135</v>
      </c>
      <c r="L283">
        <v>794.1</v>
      </c>
      <c r="M283">
        <v>797.4</v>
      </c>
      <c r="N283">
        <v>1200</v>
      </c>
      <c r="O283" s="115" t="s">
        <v>87</v>
      </c>
      <c r="P283">
        <v>0.97119446941120502</v>
      </c>
      <c r="Q283">
        <v>0.93891261648471602</v>
      </c>
      <c r="R283">
        <v>9.53318087862908E-2</v>
      </c>
      <c r="S283">
        <v>6.46594523278771E-3</v>
      </c>
      <c r="T283">
        <v>0.48571549611911202</v>
      </c>
      <c r="U283">
        <v>0.48571549611911202</v>
      </c>
      <c r="V283">
        <v>1.06</v>
      </c>
      <c r="W283">
        <v>2.79</v>
      </c>
      <c r="X283">
        <v>-183458</v>
      </c>
      <c r="Y283">
        <v>-12231</v>
      </c>
      <c r="Z283">
        <v>-0.72</v>
      </c>
      <c r="AA283">
        <v>15</v>
      </c>
      <c r="AB283">
        <v>6</v>
      </c>
      <c r="AC283">
        <v>9</v>
      </c>
      <c r="AD283">
        <v>40</v>
      </c>
      <c r="AE283">
        <v>16</v>
      </c>
      <c r="AF283">
        <v>0</v>
      </c>
      <c r="AG283">
        <v>3</v>
      </c>
      <c r="AH283">
        <v>12</v>
      </c>
    </row>
    <row r="284" spans="1:34">
      <c r="A284" s="111">
        <v>9</v>
      </c>
      <c r="B284">
        <v>5214</v>
      </c>
      <c r="C284" s="115" t="s">
        <v>179</v>
      </c>
      <c r="D284" s="115" t="s">
        <v>140</v>
      </c>
      <c r="E284">
        <v>2370</v>
      </c>
      <c r="F284">
        <v>2367</v>
      </c>
      <c r="G284">
        <v>400</v>
      </c>
      <c r="H284" s="115" t="s">
        <v>89</v>
      </c>
      <c r="I284">
        <v>7261</v>
      </c>
      <c r="J284" s="115" t="s">
        <v>201</v>
      </c>
      <c r="K284" s="115" t="s">
        <v>115</v>
      </c>
      <c r="L284">
        <v>955</v>
      </c>
      <c r="M284">
        <v>957</v>
      </c>
      <c r="N284">
        <v>1000</v>
      </c>
      <c r="O284" s="115" t="s">
        <v>87</v>
      </c>
      <c r="P284">
        <v>0.95273528652523798</v>
      </c>
      <c r="Q284">
        <v>0.95676675920877396</v>
      </c>
      <c r="R284">
        <v>7.3932578887622605E-4</v>
      </c>
      <c r="S284">
        <v>1.3837440612657699E-3</v>
      </c>
      <c r="T284">
        <v>0.21285946670536801</v>
      </c>
      <c r="U284">
        <v>0.21285946670536801</v>
      </c>
      <c r="V284">
        <v>0.42</v>
      </c>
      <c r="W284">
        <v>1.08</v>
      </c>
      <c r="X284">
        <v>-186915</v>
      </c>
      <c r="Y284">
        <v>-9838</v>
      </c>
      <c r="Z284">
        <v>-0.53</v>
      </c>
      <c r="AA284">
        <v>19</v>
      </c>
      <c r="AB284">
        <v>9</v>
      </c>
      <c r="AC284">
        <v>10</v>
      </c>
      <c r="AD284">
        <v>47.37</v>
      </c>
      <c r="AE284">
        <v>13</v>
      </c>
      <c r="AF284">
        <v>6</v>
      </c>
      <c r="AG284">
        <v>4</v>
      </c>
      <c r="AH284">
        <v>9</v>
      </c>
    </row>
    <row r="285" spans="1:34">
      <c r="A285" s="111">
        <v>271</v>
      </c>
      <c r="B285">
        <v>4634</v>
      </c>
      <c r="C285" s="115" t="s">
        <v>198</v>
      </c>
      <c r="D285" s="115" t="s">
        <v>88</v>
      </c>
      <c r="E285">
        <v>2653</v>
      </c>
      <c r="F285">
        <v>2639</v>
      </c>
      <c r="G285">
        <v>400</v>
      </c>
      <c r="H285" s="115" t="s">
        <v>87</v>
      </c>
      <c r="I285">
        <v>5803</v>
      </c>
      <c r="J285" s="115" t="s">
        <v>54</v>
      </c>
      <c r="K285" s="115" t="s">
        <v>182</v>
      </c>
      <c r="L285">
        <v>450</v>
      </c>
      <c r="M285">
        <v>452</v>
      </c>
      <c r="N285">
        <v>2300</v>
      </c>
      <c r="O285" s="115" t="s">
        <v>89</v>
      </c>
      <c r="P285">
        <v>0.97468324569686404</v>
      </c>
      <c r="Q285">
        <v>0.90324031862213705</v>
      </c>
      <c r="R285">
        <v>6.2794519790866699E-2</v>
      </c>
      <c r="S285">
        <v>1.7230082189105201E-2</v>
      </c>
      <c r="T285">
        <v>-0.51615378329161199</v>
      </c>
      <c r="U285">
        <v>0.51615378329161199</v>
      </c>
      <c r="V285">
        <v>-3.1</v>
      </c>
      <c r="W285">
        <v>1.52</v>
      </c>
      <c r="X285">
        <v>-201900</v>
      </c>
      <c r="Y285">
        <v>-11876</v>
      </c>
      <c r="Z285">
        <v>-0.71</v>
      </c>
      <c r="AA285">
        <v>17</v>
      </c>
      <c r="AB285">
        <v>8</v>
      </c>
      <c r="AC285">
        <v>9</v>
      </c>
      <c r="AD285">
        <v>47.06</v>
      </c>
      <c r="AE285">
        <v>12</v>
      </c>
      <c r="AF285">
        <v>4</v>
      </c>
      <c r="AG285">
        <v>6</v>
      </c>
      <c r="AH285">
        <v>7</v>
      </c>
    </row>
    <row r="286" spans="1:34">
      <c r="A286" s="111">
        <v>227</v>
      </c>
      <c r="B286">
        <v>4183</v>
      </c>
      <c r="C286" s="115" t="s">
        <v>394</v>
      </c>
      <c r="D286" s="115" t="s">
        <v>88</v>
      </c>
      <c r="E286">
        <v>2609</v>
      </c>
      <c r="F286">
        <v>2633</v>
      </c>
      <c r="G286">
        <v>400</v>
      </c>
      <c r="H286" s="115" t="s">
        <v>87</v>
      </c>
      <c r="I286">
        <v>6473</v>
      </c>
      <c r="J286" s="115" t="s">
        <v>184</v>
      </c>
      <c r="K286" s="115" t="s">
        <v>133</v>
      </c>
      <c r="L286">
        <v>1370</v>
      </c>
      <c r="M286">
        <v>1366</v>
      </c>
      <c r="N286">
        <v>800</v>
      </c>
      <c r="O286" s="115" t="s">
        <v>89</v>
      </c>
      <c r="P286">
        <v>0.97711420544332095</v>
      </c>
      <c r="Q286">
        <v>0.90960609157999595</v>
      </c>
      <c r="R286">
        <v>2.6798033946154001E-2</v>
      </c>
      <c r="S286">
        <v>9.2823045203063601E-2</v>
      </c>
      <c r="T286">
        <v>-0.60494748388393305</v>
      </c>
      <c r="U286">
        <v>0.60494748388393305</v>
      </c>
      <c r="V286">
        <v>-1.36</v>
      </c>
      <c r="W286">
        <v>3.76</v>
      </c>
      <c r="X286">
        <v>-213206</v>
      </c>
      <c r="Y286">
        <v>-12542</v>
      </c>
      <c r="Z286">
        <v>-0.7</v>
      </c>
      <c r="AA286">
        <v>17</v>
      </c>
      <c r="AB286">
        <v>5</v>
      </c>
      <c r="AC286">
        <v>12</v>
      </c>
      <c r="AD286">
        <v>29.41</v>
      </c>
      <c r="AE286">
        <v>15</v>
      </c>
      <c r="AF286">
        <v>4</v>
      </c>
      <c r="AG286">
        <v>5</v>
      </c>
      <c r="AH286">
        <v>8</v>
      </c>
    </row>
    <row r="287" spans="1:34">
      <c r="A287" s="111">
        <v>45</v>
      </c>
      <c r="B287">
        <v>1801</v>
      </c>
      <c r="C287" s="115" t="s">
        <v>406</v>
      </c>
      <c r="D287" s="115" t="s">
        <v>108</v>
      </c>
      <c r="E287">
        <v>4135</v>
      </c>
      <c r="F287">
        <v>4165</v>
      </c>
      <c r="G287">
        <v>200</v>
      </c>
      <c r="H287" s="115" t="s">
        <v>87</v>
      </c>
      <c r="I287">
        <v>1824</v>
      </c>
      <c r="J287" s="115" t="s">
        <v>413</v>
      </c>
      <c r="K287" s="115" t="s">
        <v>108</v>
      </c>
      <c r="L287">
        <v>966</v>
      </c>
      <c r="M287">
        <v>972</v>
      </c>
      <c r="N287">
        <v>900</v>
      </c>
      <c r="O287" s="115" t="s">
        <v>89</v>
      </c>
      <c r="P287">
        <v>0.94025261889262801</v>
      </c>
      <c r="Q287">
        <v>0.93930763659452599</v>
      </c>
      <c r="R287">
        <v>0.10632622763187199</v>
      </c>
      <c r="S287">
        <v>9.7091342621326404E-2</v>
      </c>
      <c r="T287">
        <v>-0.43882785350641201</v>
      </c>
      <c r="U287">
        <v>0.43882785350641201</v>
      </c>
      <c r="V287">
        <v>-1.76</v>
      </c>
      <c r="W287">
        <v>5.0199999999999996</v>
      </c>
      <c r="X287">
        <v>-216711</v>
      </c>
      <c r="Y287">
        <v>-13544</v>
      </c>
      <c r="Z287">
        <v>-0.59</v>
      </c>
      <c r="AA287">
        <v>16</v>
      </c>
      <c r="AB287">
        <v>7</v>
      </c>
      <c r="AC287">
        <v>9</v>
      </c>
      <c r="AD287">
        <v>43.75</v>
      </c>
      <c r="AE287">
        <v>13</v>
      </c>
      <c r="AF287">
        <v>5</v>
      </c>
      <c r="AG287">
        <v>6</v>
      </c>
      <c r="AH287">
        <v>5</v>
      </c>
    </row>
    <row r="288" spans="1:34">
      <c r="A288" s="111">
        <v>64</v>
      </c>
      <c r="B288">
        <v>1928</v>
      </c>
      <c r="C288" s="115" t="s">
        <v>396</v>
      </c>
      <c r="D288" s="115" t="s">
        <v>108</v>
      </c>
      <c r="E288">
        <v>2379.5</v>
      </c>
      <c r="F288">
        <v>2380.5</v>
      </c>
      <c r="G288">
        <v>400</v>
      </c>
      <c r="H288" s="115" t="s">
        <v>87</v>
      </c>
      <c r="I288">
        <v>6920</v>
      </c>
      <c r="J288" s="115" t="s">
        <v>117</v>
      </c>
      <c r="K288" s="115" t="s">
        <v>118</v>
      </c>
      <c r="L288">
        <v>8640</v>
      </c>
      <c r="M288">
        <v>8660</v>
      </c>
      <c r="N288">
        <v>100</v>
      </c>
      <c r="O288" s="115" t="s">
        <v>89</v>
      </c>
      <c r="P288">
        <v>0.92853481743690003</v>
      </c>
      <c r="Q288">
        <v>0.935795163741867</v>
      </c>
      <c r="R288">
        <v>0.20999396291508701</v>
      </c>
      <c r="S288">
        <v>0.21512243309183601</v>
      </c>
      <c r="T288">
        <v>-1.49521409845026</v>
      </c>
      <c r="U288">
        <v>1.49521409845026</v>
      </c>
      <c r="V288">
        <v>-10.93</v>
      </c>
      <c r="W288">
        <v>9.9499999999999993</v>
      </c>
      <c r="X288">
        <v>-247236</v>
      </c>
      <c r="Y288">
        <v>-11238</v>
      </c>
      <c r="Z288">
        <v>-0.56000000000000005</v>
      </c>
      <c r="AA288">
        <v>22</v>
      </c>
      <c r="AB288">
        <v>11</v>
      </c>
      <c r="AC288">
        <v>11</v>
      </c>
      <c r="AD288">
        <v>50</v>
      </c>
      <c r="AE288">
        <v>9</v>
      </c>
      <c r="AF288">
        <v>9</v>
      </c>
      <c r="AG288">
        <v>10</v>
      </c>
      <c r="AH288">
        <v>3</v>
      </c>
    </row>
    <row r="289" spans="1:34">
      <c r="A289" s="111">
        <v>128</v>
      </c>
      <c r="B289">
        <v>4005</v>
      </c>
      <c r="C289" s="115" t="s">
        <v>153</v>
      </c>
      <c r="D289" s="115" t="s">
        <v>88</v>
      </c>
      <c r="E289">
        <v>503</v>
      </c>
      <c r="F289">
        <v>500</v>
      </c>
      <c r="G289">
        <v>2200</v>
      </c>
      <c r="H289" s="115" t="s">
        <v>89</v>
      </c>
      <c r="I289">
        <v>8242</v>
      </c>
      <c r="J289" s="115" t="s">
        <v>159</v>
      </c>
      <c r="K289" s="115" t="s">
        <v>128</v>
      </c>
      <c r="L289">
        <v>1210</v>
      </c>
      <c r="M289">
        <v>1198</v>
      </c>
      <c r="N289">
        <v>900</v>
      </c>
      <c r="O289" s="115" t="s">
        <v>87</v>
      </c>
      <c r="P289">
        <v>0.93335025058005405</v>
      </c>
      <c r="Q289">
        <v>0.92320886014708903</v>
      </c>
      <c r="R289">
        <v>4.8522502225955402E-2</v>
      </c>
      <c r="S289">
        <v>1.06549806685271E-2</v>
      </c>
      <c r="T289">
        <v>0.66751741678169596</v>
      </c>
      <c r="U289">
        <v>0.66751741678169596</v>
      </c>
      <c r="V289">
        <v>1.1499999999999999</v>
      </c>
      <c r="W289">
        <v>2.02</v>
      </c>
      <c r="X289">
        <v>-247907</v>
      </c>
      <c r="Y289">
        <v>-13773</v>
      </c>
      <c r="Z289">
        <v>-0.67</v>
      </c>
      <c r="AA289">
        <v>18</v>
      </c>
      <c r="AB289">
        <v>7</v>
      </c>
      <c r="AC289">
        <v>11</v>
      </c>
      <c r="AD289">
        <v>38.89</v>
      </c>
      <c r="AE289">
        <v>12</v>
      </c>
      <c r="AF289">
        <v>5</v>
      </c>
      <c r="AG289">
        <v>7</v>
      </c>
      <c r="AH289">
        <v>6</v>
      </c>
    </row>
    <row r="290" spans="1:34">
      <c r="A290" s="111">
        <v>233</v>
      </c>
      <c r="B290">
        <v>5802</v>
      </c>
      <c r="C290" s="115" t="s">
        <v>181</v>
      </c>
      <c r="D290" s="115" t="s">
        <v>182</v>
      </c>
      <c r="E290">
        <v>1526.5</v>
      </c>
      <c r="F290">
        <v>1526.5</v>
      </c>
      <c r="G290">
        <v>700</v>
      </c>
      <c r="H290" s="115" t="s">
        <v>87</v>
      </c>
      <c r="I290">
        <v>6752</v>
      </c>
      <c r="J290" s="115" t="s">
        <v>139</v>
      </c>
      <c r="K290" s="115" t="s">
        <v>118</v>
      </c>
      <c r="L290">
        <v>998.1</v>
      </c>
      <c r="M290">
        <v>1005</v>
      </c>
      <c r="N290">
        <v>1100</v>
      </c>
      <c r="O290" s="115" t="s">
        <v>89</v>
      </c>
      <c r="P290">
        <v>0.961627785854689</v>
      </c>
      <c r="Q290">
        <v>0.90889709573281496</v>
      </c>
      <c r="R290">
        <v>0.18535974659196799</v>
      </c>
      <c r="S290">
        <v>0.26170593565303502</v>
      </c>
      <c r="T290">
        <v>-0.44542200479062699</v>
      </c>
      <c r="U290">
        <v>0.44542200479062699</v>
      </c>
      <c r="V290">
        <v>-1.23</v>
      </c>
      <c r="W290">
        <v>3.46</v>
      </c>
      <c r="X290">
        <v>-261227</v>
      </c>
      <c r="Y290">
        <v>-14513</v>
      </c>
      <c r="Z290">
        <v>-0.73</v>
      </c>
      <c r="AA290">
        <v>18</v>
      </c>
      <c r="AB290">
        <v>6</v>
      </c>
      <c r="AC290">
        <v>12</v>
      </c>
      <c r="AD290">
        <v>33.33</v>
      </c>
      <c r="AE290">
        <v>14</v>
      </c>
      <c r="AF290">
        <v>3</v>
      </c>
      <c r="AG290">
        <v>5</v>
      </c>
      <c r="AH290">
        <v>10</v>
      </c>
    </row>
    <row r="291" spans="1:34">
      <c r="A291" s="111">
        <v>283</v>
      </c>
      <c r="B291">
        <v>4530</v>
      </c>
      <c r="C291" s="115" t="s">
        <v>199</v>
      </c>
      <c r="D291" s="115" t="s">
        <v>194</v>
      </c>
      <c r="E291">
        <v>5250</v>
      </c>
      <c r="F291">
        <v>5210</v>
      </c>
      <c r="G291">
        <v>200</v>
      </c>
      <c r="H291" s="115" t="s">
        <v>89</v>
      </c>
      <c r="I291">
        <v>8341</v>
      </c>
      <c r="J291" s="115" t="s">
        <v>169</v>
      </c>
      <c r="K291" s="115" t="s">
        <v>113</v>
      </c>
      <c r="L291">
        <v>1723</v>
      </c>
      <c r="M291">
        <v>1736</v>
      </c>
      <c r="N291">
        <v>600</v>
      </c>
      <c r="O291" s="115" t="s">
        <v>87</v>
      </c>
      <c r="P291">
        <v>0.94002995877932505</v>
      </c>
      <c r="Q291">
        <v>0.90211074675518099</v>
      </c>
      <c r="R291">
        <v>0.13662809548425101</v>
      </c>
      <c r="S291">
        <v>0.154557006145253</v>
      </c>
      <c r="T291">
        <v>5.78259640886261E-2</v>
      </c>
      <c r="U291">
        <v>5.78259640886261E-2</v>
      </c>
      <c r="V291">
        <v>0.24</v>
      </c>
      <c r="W291">
        <v>0.04</v>
      </c>
      <c r="X291">
        <v>-288301</v>
      </c>
      <c r="Y291">
        <v>-20593</v>
      </c>
      <c r="Z291">
        <v>-1.29</v>
      </c>
      <c r="AA291">
        <v>14</v>
      </c>
      <c r="AB291">
        <v>4</v>
      </c>
      <c r="AC291">
        <v>10</v>
      </c>
      <c r="AD291">
        <v>28.57</v>
      </c>
      <c r="AE291">
        <v>12</v>
      </c>
      <c r="AF291">
        <v>2</v>
      </c>
      <c r="AG291">
        <v>8</v>
      </c>
      <c r="AH291">
        <v>4</v>
      </c>
    </row>
    <row r="292" spans="1:34">
      <c r="A292" s="111">
        <v>40</v>
      </c>
      <c r="B292">
        <v>4062</v>
      </c>
      <c r="C292" s="115" t="s">
        <v>440</v>
      </c>
      <c r="D292" s="115" t="s">
        <v>118</v>
      </c>
      <c r="E292">
        <v>2487</v>
      </c>
      <c r="F292">
        <v>2454</v>
      </c>
      <c r="G292">
        <v>400</v>
      </c>
      <c r="H292" s="115" t="s">
        <v>89</v>
      </c>
      <c r="I292">
        <v>4996</v>
      </c>
      <c r="J292" s="115" t="s">
        <v>448</v>
      </c>
      <c r="K292" s="115" t="s">
        <v>88</v>
      </c>
      <c r="L292">
        <v>1003</v>
      </c>
      <c r="M292">
        <v>1027</v>
      </c>
      <c r="N292">
        <v>1000</v>
      </c>
      <c r="O292" s="115" t="s">
        <v>87</v>
      </c>
      <c r="P292">
        <v>0.92097047065139304</v>
      </c>
      <c r="Q292">
        <v>0.940656020520518</v>
      </c>
      <c r="R292">
        <v>4.1890077358727802E-2</v>
      </c>
      <c r="S292">
        <v>3.3128300233141801E-3</v>
      </c>
      <c r="T292">
        <v>0.40169168698862301</v>
      </c>
      <c r="U292">
        <v>0.40169168698862301</v>
      </c>
      <c r="V292">
        <v>1.46</v>
      </c>
      <c r="W292">
        <v>4.63</v>
      </c>
      <c r="X292">
        <v>-325553</v>
      </c>
      <c r="Y292">
        <v>-16278</v>
      </c>
      <c r="Z292">
        <v>-0.75</v>
      </c>
      <c r="AA292">
        <v>20</v>
      </c>
      <c r="AB292">
        <v>9</v>
      </c>
      <c r="AC292">
        <v>11</v>
      </c>
      <c r="AD292">
        <v>45</v>
      </c>
      <c r="AE292">
        <v>11</v>
      </c>
      <c r="AF292">
        <v>6</v>
      </c>
      <c r="AG292">
        <v>9</v>
      </c>
      <c r="AH292">
        <v>5</v>
      </c>
    </row>
    <row r="293" spans="1:34">
      <c r="A293" s="111">
        <v>98</v>
      </c>
      <c r="B293">
        <v>1928</v>
      </c>
      <c r="C293" s="115" t="s">
        <v>396</v>
      </c>
      <c r="D293" s="115" t="s">
        <v>108</v>
      </c>
      <c r="E293">
        <v>2379.5</v>
      </c>
      <c r="F293">
        <v>2380.5</v>
      </c>
      <c r="G293">
        <v>400</v>
      </c>
      <c r="H293" s="115" t="s">
        <v>89</v>
      </c>
      <c r="I293">
        <v>3387</v>
      </c>
      <c r="J293" s="115" t="s">
        <v>398</v>
      </c>
      <c r="K293" s="115" t="s">
        <v>128</v>
      </c>
      <c r="L293">
        <v>1878</v>
      </c>
      <c r="M293">
        <v>1889</v>
      </c>
      <c r="N293">
        <v>500</v>
      </c>
      <c r="O293" s="115" t="s">
        <v>87</v>
      </c>
      <c r="P293">
        <v>0.91512048537522706</v>
      </c>
      <c r="Q293">
        <v>0.92690912912149104</v>
      </c>
      <c r="R293">
        <v>0.239397743823034</v>
      </c>
      <c r="S293">
        <v>0.24446896642310001</v>
      </c>
      <c r="T293">
        <v>1.1811294926282001</v>
      </c>
      <c r="U293">
        <v>1.1811294926282001</v>
      </c>
      <c r="V293">
        <v>5.08</v>
      </c>
      <c r="W293">
        <v>0.81</v>
      </c>
      <c r="X293">
        <v>-343670</v>
      </c>
      <c r="Y293">
        <v>-26436</v>
      </c>
      <c r="Z293">
        <v>-1.32</v>
      </c>
      <c r="AA293">
        <v>13</v>
      </c>
      <c r="AB293">
        <v>4</v>
      </c>
      <c r="AC293">
        <v>9</v>
      </c>
      <c r="AD293">
        <v>30.77</v>
      </c>
      <c r="AE293">
        <v>13</v>
      </c>
      <c r="AF293">
        <v>1</v>
      </c>
      <c r="AG293">
        <v>5</v>
      </c>
      <c r="AH293">
        <v>7</v>
      </c>
    </row>
    <row r="294" spans="1:34">
      <c r="A294" s="111">
        <v>44</v>
      </c>
      <c r="B294">
        <v>1824</v>
      </c>
      <c r="C294" s="115" t="s">
        <v>413</v>
      </c>
      <c r="D294" s="115" t="s">
        <v>108</v>
      </c>
      <c r="E294">
        <v>966</v>
      </c>
      <c r="F294">
        <v>972</v>
      </c>
      <c r="G294">
        <v>1100</v>
      </c>
      <c r="H294" s="115" t="s">
        <v>87</v>
      </c>
      <c r="I294">
        <v>1860</v>
      </c>
      <c r="J294" s="115" t="s">
        <v>145</v>
      </c>
      <c r="K294" s="115" t="s">
        <v>108</v>
      </c>
      <c r="L294">
        <v>671</v>
      </c>
      <c r="M294">
        <v>676</v>
      </c>
      <c r="N294">
        <v>1600</v>
      </c>
      <c r="O294" s="115" t="s">
        <v>89</v>
      </c>
      <c r="P294">
        <v>0.96999440696805295</v>
      </c>
      <c r="Q294">
        <v>0.93949708066695803</v>
      </c>
      <c r="R294">
        <v>0.29584271725070099</v>
      </c>
      <c r="S294">
        <v>7.4427945929823403E-3</v>
      </c>
      <c r="T294">
        <v>-1.34270050046044</v>
      </c>
      <c r="U294">
        <v>1.34270050046044</v>
      </c>
      <c r="V294">
        <v>-3.16</v>
      </c>
      <c r="W294">
        <v>1.1599999999999999</v>
      </c>
      <c r="X294">
        <v>-347677</v>
      </c>
      <c r="Y294">
        <v>-18299</v>
      </c>
      <c r="Z294">
        <v>-0.89</v>
      </c>
      <c r="AA294">
        <v>19</v>
      </c>
      <c r="AB294">
        <v>7</v>
      </c>
      <c r="AC294">
        <v>12</v>
      </c>
      <c r="AD294">
        <v>36.840000000000003</v>
      </c>
      <c r="AE294">
        <v>12</v>
      </c>
      <c r="AF294">
        <v>3</v>
      </c>
      <c r="AG294">
        <v>8</v>
      </c>
      <c r="AH294">
        <v>8</v>
      </c>
    </row>
    <row r="295" spans="1:34">
      <c r="A295" s="111">
        <v>15</v>
      </c>
      <c r="B295">
        <v>4996</v>
      </c>
      <c r="C295" s="115" t="s">
        <v>448</v>
      </c>
      <c r="D295" s="115" t="s">
        <v>88</v>
      </c>
      <c r="E295">
        <v>1003</v>
      </c>
      <c r="F295">
        <v>1027</v>
      </c>
      <c r="G295">
        <v>800</v>
      </c>
      <c r="H295" s="115" t="s">
        <v>87</v>
      </c>
      <c r="I295">
        <v>6920</v>
      </c>
      <c r="J295" s="115" t="s">
        <v>117</v>
      </c>
      <c r="K295" s="115" t="s">
        <v>118</v>
      </c>
      <c r="L295">
        <v>8640</v>
      </c>
      <c r="M295">
        <v>8660</v>
      </c>
      <c r="N295">
        <v>100</v>
      </c>
      <c r="O295" s="115" t="s">
        <v>89</v>
      </c>
      <c r="P295">
        <v>0.91397253969709702</v>
      </c>
      <c r="Q295">
        <v>0.954316854249601</v>
      </c>
      <c r="R295">
        <v>6.2444688919873099E-2</v>
      </c>
      <c r="S295">
        <v>7.3392727411799696E-4</v>
      </c>
      <c r="T295">
        <v>-1.4126849958554</v>
      </c>
      <c r="U295">
        <v>1.4126849958554</v>
      </c>
      <c r="V295">
        <v>-17.3</v>
      </c>
      <c r="W295">
        <v>5.13</v>
      </c>
      <c r="X295">
        <v>-351881</v>
      </c>
      <c r="Y295">
        <v>-19549</v>
      </c>
      <c r="Z295">
        <v>-0.9</v>
      </c>
      <c r="AA295">
        <v>18</v>
      </c>
      <c r="AB295">
        <v>9</v>
      </c>
      <c r="AC295">
        <v>9</v>
      </c>
      <c r="AD295">
        <v>50</v>
      </c>
      <c r="AE295">
        <v>10</v>
      </c>
      <c r="AF295">
        <v>5</v>
      </c>
      <c r="AG295">
        <v>8</v>
      </c>
      <c r="AH295">
        <v>5</v>
      </c>
    </row>
    <row r="296" spans="1:34">
      <c r="A296" s="111">
        <v>180</v>
      </c>
      <c r="B296">
        <v>9003</v>
      </c>
      <c r="C296" s="115" t="s">
        <v>437</v>
      </c>
      <c r="D296" s="115" t="s">
        <v>157</v>
      </c>
      <c r="E296">
        <v>3035</v>
      </c>
      <c r="F296">
        <v>3040</v>
      </c>
      <c r="G296">
        <v>300</v>
      </c>
      <c r="H296" s="115" t="s">
        <v>87</v>
      </c>
      <c r="I296">
        <v>9956</v>
      </c>
      <c r="J296" s="115" t="s">
        <v>424</v>
      </c>
      <c r="K296" s="115" t="s">
        <v>128</v>
      </c>
      <c r="L296">
        <v>2057</v>
      </c>
      <c r="M296">
        <v>2055</v>
      </c>
      <c r="N296">
        <v>400</v>
      </c>
      <c r="O296" s="115" t="s">
        <v>89</v>
      </c>
      <c r="P296">
        <v>0.94421656545076904</v>
      </c>
      <c r="Q296">
        <v>0.91530804260307896</v>
      </c>
      <c r="R296" s="20">
        <v>6.9351943810833303E-2</v>
      </c>
      <c r="S296">
        <v>5.7758703206945601E-2</v>
      </c>
      <c r="T296">
        <v>-0.93901082946179804</v>
      </c>
      <c r="U296">
        <v>0.93901082946179804</v>
      </c>
      <c r="V296">
        <v>-4.13</v>
      </c>
      <c r="W296">
        <v>9.8699999999999992</v>
      </c>
      <c r="X296">
        <v>-374023</v>
      </c>
      <c r="Y296">
        <v>-20779</v>
      </c>
      <c r="Z296">
        <v>-1.01</v>
      </c>
      <c r="AA296">
        <v>18</v>
      </c>
      <c r="AB296">
        <v>5</v>
      </c>
      <c r="AC296">
        <v>13</v>
      </c>
      <c r="AD296">
        <v>27.78</v>
      </c>
      <c r="AE296">
        <v>12</v>
      </c>
      <c r="AF296">
        <v>3</v>
      </c>
      <c r="AG296">
        <v>6</v>
      </c>
      <c r="AH296">
        <v>9</v>
      </c>
    </row>
    <row r="297" spans="1:34">
      <c r="C297" s="115"/>
      <c r="D297" s="115"/>
      <c r="H297" s="115"/>
      <c r="J297" s="115"/>
      <c r="K297" s="115"/>
      <c r="O297" s="115"/>
      <c r="R297" s="20"/>
    </row>
    <row r="298" spans="1:34">
      <c r="C298" s="115"/>
      <c r="D298" s="115"/>
      <c r="H298" s="115"/>
      <c r="J298" s="115"/>
      <c r="K298" s="115"/>
      <c r="O298" s="115"/>
    </row>
    <row r="299" spans="1:34">
      <c r="C299" s="115"/>
      <c r="D299" s="115"/>
      <c r="H299" s="115"/>
      <c r="J299" s="115"/>
      <c r="K299" s="115"/>
      <c r="O299" s="115"/>
    </row>
    <row r="300" spans="1:34">
      <c r="C300" s="115"/>
      <c r="D300" s="115"/>
      <c r="H300" s="115"/>
      <c r="J300" s="115"/>
      <c r="K300" s="115"/>
      <c r="O300" s="115"/>
    </row>
    <row r="301" spans="1:34">
      <c r="C301" s="115"/>
      <c r="D301" s="115"/>
      <c r="H301" s="115"/>
      <c r="J301" s="115"/>
      <c r="K301" s="115"/>
      <c r="O301" s="115"/>
      <c r="S301" s="20"/>
    </row>
    <row r="302" spans="1:34">
      <c r="C302" s="115"/>
      <c r="D302" s="115"/>
      <c r="H302" s="115"/>
      <c r="J302" s="115"/>
      <c r="K302" s="115"/>
      <c r="O302" s="115"/>
    </row>
    <row r="303" spans="1:34">
      <c r="C303" s="115"/>
      <c r="D303" s="115"/>
      <c r="H303" s="115"/>
      <c r="J303" s="115"/>
      <c r="K303" s="115"/>
      <c r="O303" s="115"/>
    </row>
    <row r="304" spans="1:34">
      <c r="C304" s="115"/>
      <c r="D304" s="115"/>
      <c r="H304" s="115"/>
      <c r="J304" s="115"/>
      <c r="K304" s="115"/>
      <c r="O304" s="115"/>
    </row>
    <row r="305" spans="3:19">
      <c r="C305" s="115"/>
      <c r="D305" s="115"/>
      <c r="H305" s="115"/>
      <c r="J305" s="115"/>
      <c r="K305" s="115"/>
      <c r="O305" s="115"/>
    </row>
    <row r="306" spans="3:19">
      <c r="C306" s="115"/>
      <c r="D306" s="115"/>
      <c r="H306" s="115"/>
      <c r="J306" s="115"/>
      <c r="K306" s="115"/>
      <c r="O306" s="115"/>
      <c r="S306" s="20"/>
    </row>
    <row r="307" spans="3:19">
      <c r="C307" s="115"/>
      <c r="D307" s="115"/>
      <c r="H307" s="115"/>
      <c r="J307" s="115"/>
      <c r="K307" s="115"/>
      <c r="O307" s="115"/>
    </row>
    <row r="308" spans="3:19">
      <c r="C308" s="115"/>
      <c r="D308" s="115"/>
      <c r="H308" s="115"/>
      <c r="J308" s="115"/>
      <c r="K308" s="115"/>
      <c r="O308" s="115"/>
    </row>
    <row r="309" spans="3:19">
      <c r="C309" s="115"/>
      <c r="D309" s="115"/>
      <c r="H309" s="115"/>
      <c r="J309" s="115"/>
      <c r="K309" s="115"/>
      <c r="O309" s="115"/>
    </row>
    <row r="310" spans="3:19">
      <c r="C310" s="115"/>
      <c r="D310" s="115"/>
      <c r="H310" s="115"/>
      <c r="J310" s="115"/>
      <c r="K310" s="115"/>
      <c r="O310" s="115"/>
    </row>
    <row r="311" spans="3:19">
      <c r="C311" s="115"/>
      <c r="D311" s="115"/>
      <c r="H311" s="115"/>
      <c r="J311" s="115"/>
      <c r="K311" s="115"/>
      <c r="O311" s="115"/>
    </row>
    <row r="312" spans="3:19">
      <c r="C312" s="115"/>
      <c r="D312" s="115"/>
      <c r="H312" s="115"/>
      <c r="J312" s="115"/>
      <c r="K312" s="115"/>
      <c r="O312" s="115"/>
    </row>
    <row r="313" spans="3:19">
      <c r="C313" s="115"/>
      <c r="D313" s="115"/>
      <c r="H313" s="115"/>
      <c r="J313" s="115"/>
      <c r="K313" s="115"/>
      <c r="O313" s="115"/>
    </row>
    <row r="314" spans="3:19">
      <c r="C314" s="115"/>
      <c r="D314" s="115"/>
      <c r="H314" s="115"/>
      <c r="J314" s="115"/>
      <c r="K314" s="115"/>
      <c r="O314" s="115"/>
    </row>
    <row r="315" spans="3:19">
      <c r="C315" s="115"/>
      <c r="D315" s="115"/>
      <c r="H315" s="115"/>
      <c r="J315" s="115"/>
      <c r="K315" s="115"/>
      <c r="O315" s="115"/>
    </row>
    <row r="316" spans="3:19">
      <c r="C316" s="115"/>
      <c r="D316" s="115"/>
      <c r="H316" s="115"/>
      <c r="J316" s="115"/>
      <c r="K316" s="115"/>
      <c r="O316" s="115"/>
    </row>
    <row r="317" spans="3:19">
      <c r="C317" s="115"/>
      <c r="D317" s="115"/>
      <c r="H317" s="115"/>
      <c r="J317" s="115"/>
      <c r="K317" s="115"/>
      <c r="O317" s="115"/>
    </row>
    <row r="318" spans="3:19">
      <c r="C318" s="115"/>
      <c r="D318" s="115"/>
      <c r="H318" s="115"/>
      <c r="J318" s="115"/>
      <c r="K318" s="115"/>
      <c r="O318" s="115"/>
    </row>
    <row r="319" spans="3:19">
      <c r="C319" s="115"/>
      <c r="D319" s="115"/>
      <c r="H319" s="115"/>
      <c r="J319" s="115"/>
      <c r="K319" s="115"/>
      <c r="O319" s="115"/>
    </row>
    <row r="320" spans="3:19">
      <c r="C320" s="115"/>
      <c r="D320" s="115"/>
      <c r="H320" s="115"/>
      <c r="J320" s="115"/>
      <c r="K320" s="115"/>
      <c r="O320" s="115"/>
    </row>
    <row r="321" spans="3:18">
      <c r="C321" s="115"/>
      <c r="D321" s="115"/>
      <c r="H321" s="115"/>
      <c r="J321" s="115"/>
      <c r="K321" s="115"/>
      <c r="O321" s="115"/>
      <c r="R321" s="20"/>
    </row>
    <row r="322" spans="3:18">
      <c r="C322" s="115"/>
      <c r="D322" s="115"/>
      <c r="H322" s="115"/>
      <c r="J322" s="115"/>
      <c r="K322" s="115"/>
      <c r="O322" s="115"/>
    </row>
    <row r="323" spans="3:18">
      <c r="C323" s="115"/>
      <c r="D323" s="115"/>
      <c r="H323" s="115"/>
      <c r="J323" s="115"/>
      <c r="K323" s="115"/>
      <c r="O323" s="115"/>
    </row>
    <row r="324" spans="3:18">
      <c r="C324" s="115"/>
      <c r="D324" s="115"/>
      <c r="H324" s="115"/>
      <c r="J324" s="115"/>
      <c r="K324" s="115"/>
      <c r="O324" s="115"/>
    </row>
    <row r="325" spans="3:18">
      <c r="C325" s="115"/>
      <c r="D325" s="115"/>
      <c r="H325" s="115"/>
      <c r="J325" s="115"/>
      <c r="K325" s="115"/>
      <c r="O325" s="115"/>
    </row>
    <row r="326" spans="3:18">
      <c r="C326" s="115"/>
      <c r="D326" s="115"/>
      <c r="H326" s="115"/>
      <c r="J326" s="115"/>
      <c r="K326" s="115"/>
      <c r="O326" s="115"/>
    </row>
    <row r="327" spans="3:18">
      <c r="C327" s="115"/>
      <c r="D327" s="115"/>
      <c r="H327" s="115"/>
      <c r="J327" s="115"/>
      <c r="K327" s="115"/>
      <c r="O327" s="115"/>
    </row>
    <row r="328" spans="3:18">
      <c r="C328" s="115"/>
      <c r="D328" s="115"/>
      <c r="H328" s="115"/>
      <c r="J328" s="115"/>
      <c r="K328" s="115"/>
      <c r="O328" s="115"/>
    </row>
    <row r="329" spans="3:18">
      <c r="C329" s="115"/>
      <c r="D329" s="115"/>
      <c r="H329" s="115"/>
      <c r="J329" s="115"/>
      <c r="K329" s="115"/>
      <c r="O329" s="115"/>
    </row>
    <row r="330" spans="3:18">
      <c r="C330" s="115"/>
      <c r="D330" s="115"/>
      <c r="H330" s="115"/>
      <c r="J330" s="115"/>
      <c r="K330" s="115"/>
      <c r="O330" s="115"/>
    </row>
    <row r="331" spans="3:18">
      <c r="C331" s="115"/>
      <c r="D331" s="115"/>
      <c r="H331" s="115"/>
      <c r="J331" s="115"/>
      <c r="K331" s="115"/>
      <c r="O331" s="115"/>
    </row>
    <row r="332" spans="3:18">
      <c r="C332" s="115"/>
      <c r="D332" s="115"/>
      <c r="H332" s="115"/>
      <c r="J332" s="115"/>
      <c r="K332" s="115"/>
      <c r="O332" s="115"/>
    </row>
    <row r="333" spans="3:18">
      <c r="C333" s="115"/>
      <c r="D333" s="115"/>
      <c r="H333" s="115"/>
      <c r="J333" s="115"/>
      <c r="K333" s="115"/>
      <c r="O333" s="115"/>
    </row>
    <row r="334" spans="3:18">
      <c r="C334" s="115"/>
      <c r="D334" s="115"/>
      <c r="H334" s="115"/>
      <c r="J334" s="115"/>
      <c r="K334" s="115"/>
      <c r="O334" s="115"/>
    </row>
    <row r="335" spans="3:18">
      <c r="C335" s="115"/>
      <c r="D335" s="115"/>
      <c r="H335" s="115"/>
      <c r="J335" s="115"/>
      <c r="K335" s="115"/>
      <c r="O335" s="115"/>
    </row>
    <row r="336" spans="3:18">
      <c r="C336" s="115"/>
      <c r="D336" s="115"/>
      <c r="H336" s="115"/>
      <c r="J336" s="115"/>
      <c r="K336" s="115"/>
      <c r="O336" s="115"/>
      <c r="R336" s="20"/>
    </row>
    <row r="337" spans="3:18">
      <c r="C337" s="115"/>
      <c r="D337" s="115"/>
      <c r="H337" s="115"/>
      <c r="J337" s="115"/>
      <c r="K337" s="115"/>
      <c r="O337" s="115"/>
    </row>
    <row r="338" spans="3:18">
      <c r="C338" s="115"/>
      <c r="D338" s="115"/>
      <c r="H338" s="115"/>
      <c r="J338" s="115"/>
      <c r="K338" s="115"/>
      <c r="O338" s="115"/>
    </row>
    <row r="339" spans="3:18">
      <c r="C339" s="115"/>
      <c r="D339" s="115"/>
      <c r="H339" s="115"/>
      <c r="J339" s="115"/>
      <c r="K339" s="115"/>
      <c r="O339" s="115"/>
    </row>
    <row r="340" spans="3:18">
      <c r="C340" s="115"/>
      <c r="D340" s="115"/>
      <c r="H340" s="115"/>
      <c r="J340" s="115"/>
      <c r="K340" s="115"/>
      <c r="O340" s="115"/>
    </row>
    <row r="341" spans="3:18">
      <c r="C341" s="115"/>
      <c r="D341" s="115"/>
      <c r="H341" s="115"/>
      <c r="J341" s="115"/>
      <c r="K341" s="115"/>
      <c r="O341" s="115"/>
      <c r="R341" s="20"/>
    </row>
    <row r="342" spans="3:18">
      <c r="C342" s="115"/>
      <c r="D342" s="115"/>
      <c r="H342" s="115"/>
      <c r="J342" s="115"/>
      <c r="K342" s="115"/>
      <c r="O342" s="115"/>
    </row>
    <row r="343" spans="3:18">
      <c r="C343" s="115"/>
      <c r="D343" s="115"/>
      <c r="H343" s="115"/>
      <c r="J343" s="115"/>
      <c r="K343" s="115"/>
      <c r="O343" s="115"/>
    </row>
    <row r="344" spans="3:18">
      <c r="C344" s="115"/>
      <c r="D344" s="115"/>
      <c r="H344" s="115"/>
      <c r="J344" s="115"/>
      <c r="K344" s="115"/>
      <c r="O344" s="115"/>
    </row>
    <row r="345" spans="3:18">
      <c r="C345" s="115"/>
      <c r="D345" s="115"/>
      <c r="H345" s="115"/>
      <c r="J345" s="115"/>
      <c r="K345" s="115"/>
      <c r="O345" s="115"/>
    </row>
    <row r="346" spans="3:18">
      <c r="C346" s="115"/>
      <c r="D346" s="115"/>
      <c r="H346" s="115"/>
      <c r="J346" s="115"/>
      <c r="K346" s="115"/>
      <c r="O346" s="115"/>
    </row>
    <row r="347" spans="3:18">
      <c r="C347" s="115"/>
      <c r="D347" s="115"/>
      <c r="H347" s="115"/>
      <c r="J347" s="115"/>
      <c r="K347" s="115"/>
      <c r="O347" s="115"/>
    </row>
    <row r="348" spans="3:18">
      <c r="C348" s="115"/>
      <c r="D348" s="115"/>
      <c r="H348" s="115"/>
      <c r="J348" s="115"/>
      <c r="K348" s="115"/>
      <c r="O348" s="115"/>
    </row>
    <row r="349" spans="3:18">
      <c r="C349" s="115"/>
      <c r="D349" s="115"/>
      <c r="H349" s="115"/>
      <c r="J349" s="115"/>
      <c r="K349" s="115"/>
      <c r="O349" s="115"/>
    </row>
    <row r="350" spans="3:18">
      <c r="C350" s="115"/>
      <c r="D350" s="115"/>
      <c r="H350" s="115"/>
      <c r="J350" s="115"/>
      <c r="K350" s="115"/>
      <c r="O350" s="115"/>
    </row>
    <row r="351" spans="3:18">
      <c r="C351" s="115"/>
      <c r="D351" s="115"/>
      <c r="H351" s="115"/>
      <c r="J351" s="115"/>
      <c r="K351" s="115"/>
      <c r="O351" s="115"/>
    </row>
    <row r="352" spans="3:18">
      <c r="C352" s="115"/>
      <c r="D352" s="115"/>
      <c r="H352" s="115"/>
      <c r="J352" s="115"/>
      <c r="K352" s="115"/>
      <c r="O352" s="115"/>
    </row>
    <row r="353" spans="3:15">
      <c r="C353" s="115"/>
      <c r="D353" s="115"/>
      <c r="H353" s="115"/>
      <c r="J353" s="115"/>
      <c r="K353" s="115"/>
      <c r="O353" s="115"/>
    </row>
    <row r="354" spans="3:15">
      <c r="C354" s="115"/>
      <c r="D354" s="115"/>
      <c r="H354" s="115"/>
      <c r="J354" s="115"/>
      <c r="K354" s="115"/>
      <c r="O354" s="115"/>
    </row>
    <row r="355" spans="3:15">
      <c r="C355" s="115"/>
      <c r="D355" s="115"/>
      <c r="H355" s="115"/>
      <c r="J355" s="115"/>
      <c r="K355" s="115"/>
      <c r="O355" s="115"/>
    </row>
    <row r="356" spans="3:15">
      <c r="C356" s="115"/>
      <c r="D356" s="115"/>
      <c r="H356" s="115"/>
      <c r="J356" s="115"/>
      <c r="K356" s="115"/>
      <c r="O356" s="115"/>
    </row>
    <row r="357" spans="3:15">
      <c r="C357" s="115"/>
      <c r="D357" s="115"/>
      <c r="H357" s="115"/>
      <c r="J357" s="115"/>
      <c r="K357" s="115"/>
      <c r="O357" s="115"/>
    </row>
    <row r="358" spans="3:15">
      <c r="C358" s="115"/>
      <c r="D358" s="115"/>
      <c r="H358" s="115"/>
      <c r="J358" s="115"/>
      <c r="K358" s="115"/>
      <c r="O358" s="115"/>
    </row>
    <row r="359" spans="3:15">
      <c r="C359" s="115"/>
      <c r="D359" s="115"/>
      <c r="H359" s="115"/>
      <c r="J359" s="115"/>
      <c r="K359" s="115"/>
      <c r="O359" s="115"/>
    </row>
    <row r="360" spans="3:15">
      <c r="C360" s="115"/>
      <c r="D360" s="115"/>
      <c r="H360" s="115"/>
      <c r="J360" s="115"/>
      <c r="K360" s="115"/>
      <c r="O360" s="115"/>
    </row>
    <row r="361" spans="3:15">
      <c r="C361" s="115"/>
      <c r="D361" s="115"/>
      <c r="H361" s="115"/>
      <c r="J361" s="115"/>
      <c r="K361" s="115"/>
      <c r="O361" s="115"/>
    </row>
    <row r="362" spans="3:15">
      <c r="C362" s="115"/>
      <c r="D362" s="115"/>
      <c r="H362" s="115"/>
      <c r="J362" s="115"/>
      <c r="K362" s="115"/>
      <c r="O362" s="115"/>
    </row>
    <row r="363" spans="3:15">
      <c r="C363" s="115"/>
      <c r="D363" s="115"/>
      <c r="H363" s="115"/>
      <c r="J363" s="115"/>
      <c r="K363" s="115"/>
      <c r="O363" s="115"/>
    </row>
    <row r="364" spans="3:15">
      <c r="C364" s="115"/>
      <c r="D364" s="115"/>
      <c r="H364" s="115"/>
      <c r="J364" s="115"/>
      <c r="K364" s="115"/>
      <c r="O364" s="115"/>
    </row>
    <row r="365" spans="3:15">
      <c r="C365" s="115"/>
      <c r="D365" s="115"/>
      <c r="H365" s="115"/>
      <c r="J365" s="115"/>
      <c r="K365" s="115"/>
      <c r="O365" s="115"/>
    </row>
    <row r="366" spans="3:15">
      <c r="C366" s="115"/>
      <c r="D366" s="115"/>
      <c r="H366" s="115"/>
      <c r="J366" s="115"/>
      <c r="K366" s="115"/>
      <c r="O366" s="115"/>
    </row>
    <row r="367" spans="3:15">
      <c r="C367" s="115"/>
      <c r="D367" s="115"/>
      <c r="H367" s="115"/>
      <c r="J367" s="115"/>
      <c r="K367" s="115"/>
      <c r="O367" s="115"/>
    </row>
    <row r="368" spans="3:15">
      <c r="C368" s="115"/>
      <c r="D368" s="115"/>
      <c r="H368" s="115"/>
      <c r="J368" s="115"/>
      <c r="K368" s="115"/>
      <c r="O368" s="115"/>
    </row>
    <row r="369" spans="3:19">
      <c r="C369" s="115"/>
      <c r="D369" s="115"/>
      <c r="H369" s="115"/>
      <c r="J369" s="115"/>
      <c r="K369" s="115"/>
      <c r="O369" s="115"/>
    </row>
    <row r="370" spans="3:19">
      <c r="C370" s="115"/>
      <c r="D370" s="115"/>
      <c r="H370" s="115"/>
      <c r="J370" s="115"/>
      <c r="K370" s="115"/>
      <c r="O370" s="115"/>
    </row>
    <row r="371" spans="3:19">
      <c r="C371" s="115"/>
      <c r="D371" s="115"/>
      <c r="H371" s="115"/>
      <c r="J371" s="115"/>
      <c r="K371" s="115"/>
      <c r="O371" s="115"/>
    </row>
    <row r="372" spans="3:19">
      <c r="C372" s="115"/>
      <c r="D372" s="115"/>
      <c r="H372" s="115"/>
      <c r="J372" s="115"/>
      <c r="K372" s="115"/>
      <c r="O372" s="115"/>
    </row>
    <row r="373" spans="3:19">
      <c r="C373" s="115"/>
      <c r="D373" s="115"/>
      <c r="H373" s="115"/>
      <c r="J373" s="115"/>
      <c r="K373" s="115"/>
      <c r="O373" s="115"/>
    </row>
    <row r="374" spans="3:19">
      <c r="C374" s="115"/>
      <c r="D374" s="115"/>
      <c r="H374" s="115"/>
      <c r="J374" s="115"/>
      <c r="K374" s="115"/>
      <c r="O374" s="115"/>
    </row>
    <row r="375" spans="3:19">
      <c r="C375" s="115"/>
      <c r="D375" s="115"/>
      <c r="H375" s="115"/>
      <c r="J375" s="115"/>
      <c r="K375" s="115"/>
      <c r="O375" s="115"/>
    </row>
    <row r="376" spans="3:19">
      <c r="C376" s="115"/>
      <c r="D376" s="115"/>
      <c r="H376" s="115"/>
      <c r="J376" s="115"/>
      <c r="K376" s="115"/>
      <c r="O376" s="115"/>
    </row>
    <row r="377" spans="3:19">
      <c r="C377" s="115"/>
      <c r="D377" s="115"/>
      <c r="H377" s="115"/>
      <c r="J377" s="115"/>
      <c r="K377" s="115"/>
      <c r="O377" s="115"/>
      <c r="S377" s="20"/>
    </row>
    <row r="378" spans="3:19">
      <c r="C378" s="115"/>
      <c r="D378" s="115"/>
      <c r="H378" s="115"/>
      <c r="J378" s="115"/>
      <c r="K378" s="115"/>
      <c r="O378" s="115"/>
    </row>
    <row r="379" spans="3:19">
      <c r="C379" s="115"/>
      <c r="D379" s="115"/>
      <c r="H379" s="115"/>
      <c r="J379" s="115"/>
      <c r="K379" s="115"/>
      <c r="O379" s="115"/>
      <c r="R379" s="20"/>
    </row>
    <row r="380" spans="3:19">
      <c r="C380" s="115"/>
      <c r="D380" s="115"/>
      <c r="H380" s="115"/>
      <c r="J380" s="115"/>
      <c r="K380" s="115"/>
      <c r="O380" s="115"/>
    </row>
    <row r="381" spans="3:19">
      <c r="C381" s="115"/>
      <c r="D381" s="115"/>
      <c r="H381" s="115"/>
      <c r="J381" s="115"/>
      <c r="K381" s="115"/>
      <c r="O381" s="115"/>
    </row>
    <row r="382" spans="3:19">
      <c r="C382" s="115"/>
      <c r="D382" s="115"/>
      <c r="H382" s="115"/>
      <c r="J382" s="115"/>
      <c r="K382" s="115"/>
      <c r="O382" s="115"/>
    </row>
    <row r="383" spans="3:19">
      <c r="C383" s="115"/>
      <c r="D383" s="115"/>
      <c r="H383" s="115"/>
      <c r="J383" s="115"/>
      <c r="K383" s="115"/>
      <c r="O383" s="115"/>
    </row>
    <row r="384" spans="3:19">
      <c r="C384" s="115"/>
      <c r="D384" s="115"/>
      <c r="H384" s="115"/>
      <c r="J384" s="115"/>
      <c r="K384" s="115"/>
      <c r="O384" s="115"/>
    </row>
    <row r="385" spans="3:19">
      <c r="C385" s="115"/>
      <c r="D385" s="115"/>
      <c r="H385" s="115"/>
      <c r="J385" s="115"/>
      <c r="K385" s="115"/>
      <c r="O385" s="115"/>
    </row>
    <row r="386" spans="3:19">
      <c r="C386" s="115"/>
      <c r="D386" s="115"/>
      <c r="H386" s="115"/>
      <c r="J386" s="115"/>
      <c r="K386" s="115"/>
      <c r="O386" s="115"/>
    </row>
    <row r="387" spans="3:19">
      <c r="C387" s="115"/>
      <c r="D387" s="115"/>
      <c r="H387" s="115"/>
      <c r="J387" s="115"/>
      <c r="K387" s="115"/>
      <c r="O387" s="115"/>
    </row>
    <row r="388" spans="3:19">
      <c r="C388" s="115"/>
      <c r="D388" s="115"/>
      <c r="H388" s="115"/>
      <c r="J388" s="115"/>
      <c r="K388" s="115"/>
      <c r="O388" s="115"/>
    </row>
    <row r="389" spans="3:19">
      <c r="C389" s="115"/>
      <c r="D389" s="115"/>
      <c r="H389" s="115"/>
      <c r="J389" s="115"/>
      <c r="K389" s="115"/>
      <c r="O389" s="115"/>
    </row>
    <row r="390" spans="3:19">
      <c r="C390" s="115"/>
      <c r="D390" s="115"/>
      <c r="H390" s="115"/>
      <c r="J390" s="115"/>
      <c r="K390" s="115"/>
      <c r="O390" s="115"/>
      <c r="R390" s="20"/>
    </row>
    <row r="391" spans="3:19">
      <c r="C391" s="115"/>
      <c r="D391" s="115"/>
      <c r="H391" s="115"/>
      <c r="J391" s="115"/>
      <c r="K391" s="115"/>
      <c r="O391" s="115"/>
    </row>
    <row r="392" spans="3:19">
      <c r="C392" s="115"/>
      <c r="D392" s="115"/>
      <c r="H392" s="115"/>
      <c r="J392" s="115"/>
      <c r="K392" s="115"/>
      <c r="O392" s="115"/>
    </row>
    <row r="393" spans="3:19">
      <c r="C393" s="115"/>
      <c r="D393" s="115"/>
      <c r="H393" s="115"/>
      <c r="J393" s="115"/>
      <c r="K393" s="115"/>
      <c r="O393" s="115"/>
    </row>
    <row r="394" spans="3:19">
      <c r="C394" s="115"/>
      <c r="D394" s="115"/>
      <c r="H394" s="115"/>
      <c r="J394" s="115"/>
      <c r="K394" s="115"/>
      <c r="O394" s="115"/>
    </row>
    <row r="395" spans="3:19">
      <c r="C395" s="115"/>
      <c r="D395" s="115"/>
      <c r="H395" s="115"/>
      <c r="J395" s="115"/>
      <c r="K395" s="115"/>
      <c r="O395" s="115"/>
    </row>
    <row r="396" spans="3:19">
      <c r="C396" s="115"/>
      <c r="D396" s="115"/>
      <c r="H396" s="115"/>
      <c r="J396" s="115"/>
      <c r="K396" s="115"/>
      <c r="O396" s="115"/>
    </row>
    <row r="397" spans="3:19">
      <c r="C397" s="115"/>
      <c r="D397" s="115"/>
      <c r="H397" s="115"/>
      <c r="J397" s="115"/>
      <c r="K397" s="115"/>
      <c r="O397" s="115"/>
    </row>
    <row r="398" spans="3:19">
      <c r="C398" s="115"/>
      <c r="D398" s="115"/>
      <c r="H398" s="115"/>
      <c r="J398" s="115"/>
      <c r="K398" s="115"/>
      <c r="O398" s="115"/>
      <c r="S398" s="20"/>
    </row>
    <row r="399" spans="3:19">
      <c r="C399" s="115"/>
      <c r="D399" s="115"/>
      <c r="H399" s="115"/>
      <c r="J399" s="115"/>
      <c r="K399" s="115"/>
      <c r="O399" s="115"/>
    </row>
    <row r="400" spans="3:19">
      <c r="C400" s="115"/>
      <c r="D400" s="115"/>
      <c r="H400" s="115"/>
      <c r="J400" s="115"/>
      <c r="K400" s="115"/>
      <c r="O400" s="115"/>
    </row>
    <row r="401" spans="3:15">
      <c r="C401" s="115"/>
      <c r="D401" s="115"/>
      <c r="H401" s="115"/>
      <c r="J401" s="115"/>
      <c r="K401" s="115"/>
      <c r="O401" s="115"/>
    </row>
    <row r="402" spans="3:15">
      <c r="C402" s="115"/>
      <c r="D402" s="115"/>
      <c r="H402" s="115"/>
      <c r="J402" s="115"/>
      <c r="K402" s="115"/>
      <c r="O402" s="115"/>
    </row>
    <row r="403" spans="3:15">
      <c r="C403" s="115"/>
      <c r="D403" s="115"/>
      <c r="H403" s="115"/>
      <c r="J403" s="115"/>
      <c r="K403" s="115"/>
      <c r="O403" s="115"/>
    </row>
    <row r="404" spans="3:15">
      <c r="C404" s="115"/>
      <c r="D404" s="115"/>
      <c r="H404" s="115"/>
      <c r="J404" s="115"/>
      <c r="K404" s="115"/>
      <c r="O404" s="115"/>
    </row>
    <row r="405" spans="3:15">
      <c r="C405" s="115"/>
      <c r="D405" s="115"/>
      <c r="H405" s="115"/>
      <c r="J405" s="115"/>
      <c r="K405" s="115"/>
      <c r="O405" s="115"/>
    </row>
    <row r="406" spans="3:15">
      <c r="C406" s="115"/>
      <c r="D406" s="115"/>
      <c r="H406" s="115"/>
      <c r="J406" s="115"/>
      <c r="K406" s="115"/>
      <c r="O406" s="115"/>
    </row>
    <row r="407" spans="3:15">
      <c r="C407" s="115"/>
      <c r="D407" s="115"/>
      <c r="H407" s="115"/>
      <c r="J407" s="115"/>
      <c r="K407" s="115"/>
      <c r="O407" s="115"/>
    </row>
    <row r="408" spans="3:15">
      <c r="C408" s="115"/>
      <c r="D408" s="115"/>
      <c r="H408" s="115"/>
      <c r="J408" s="115"/>
      <c r="K408" s="115"/>
      <c r="O408" s="115"/>
    </row>
    <row r="409" spans="3:15">
      <c r="C409" s="115"/>
      <c r="D409" s="115"/>
      <c r="H409" s="115"/>
      <c r="J409" s="115"/>
      <c r="K409" s="115"/>
      <c r="O409" s="115"/>
    </row>
    <row r="410" spans="3:15">
      <c r="C410" s="115"/>
      <c r="D410" s="115"/>
      <c r="H410" s="115"/>
      <c r="J410" s="115"/>
      <c r="K410" s="115"/>
      <c r="O410" s="115"/>
    </row>
    <row r="411" spans="3:15">
      <c r="C411" s="115"/>
      <c r="D411" s="115"/>
      <c r="H411" s="115"/>
      <c r="J411" s="115"/>
      <c r="K411" s="115"/>
      <c r="O411" s="115"/>
    </row>
    <row r="412" spans="3:15">
      <c r="C412" s="115"/>
      <c r="D412" s="115"/>
      <c r="H412" s="115"/>
      <c r="J412" s="115"/>
      <c r="K412" s="115"/>
      <c r="O412" s="115"/>
    </row>
    <row r="413" spans="3:15">
      <c r="C413" s="115"/>
      <c r="D413" s="115"/>
      <c r="H413" s="115"/>
      <c r="J413" s="115"/>
      <c r="K413" s="115"/>
      <c r="O413" s="115"/>
    </row>
    <row r="414" spans="3:15">
      <c r="C414" s="115"/>
      <c r="D414" s="115"/>
      <c r="H414" s="115"/>
      <c r="J414" s="115"/>
      <c r="K414" s="115"/>
      <c r="O414" s="115"/>
    </row>
    <row r="415" spans="3:15">
      <c r="C415" s="115"/>
      <c r="D415" s="115"/>
      <c r="H415" s="115"/>
      <c r="J415" s="115"/>
      <c r="K415" s="115"/>
      <c r="O415" s="115"/>
    </row>
    <row r="416" spans="3:15">
      <c r="C416" s="115"/>
      <c r="D416" s="115"/>
      <c r="H416" s="115"/>
      <c r="J416" s="115"/>
      <c r="K416" s="115"/>
      <c r="O416" s="115"/>
    </row>
    <row r="417" spans="3:15">
      <c r="C417" s="115"/>
      <c r="D417" s="115"/>
      <c r="H417" s="115"/>
      <c r="J417" s="115"/>
      <c r="K417" s="115"/>
      <c r="O417" s="115"/>
    </row>
    <row r="418" spans="3:15">
      <c r="C418" s="115"/>
      <c r="D418" s="115"/>
      <c r="H418" s="115"/>
      <c r="J418" s="115"/>
      <c r="K418" s="115"/>
      <c r="O418" s="115"/>
    </row>
    <row r="419" spans="3:15">
      <c r="C419" s="115"/>
      <c r="D419" s="115"/>
      <c r="H419" s="115"/>
      <c r="J419" s="115"/>
      <c r="K419" s="115"/>
      <c r="O419" s="115"/>
    </row>
    <row r="420" spans="3:15">
      <c r="C420" s="115"/>
      <c r="D420" s="115"/>
      <c r="H420" s="115"/>
      <c r="J420" s="115"/>
      <c r="K420" s="115"/>
      <c r="O420" s="115"/>
    </row>
    <row r="421" spans="3:15">
      <c r="C421" s="115"/>
      <c r="D421" s="115"/>
      <c r="H421" s="115"/>
      <c r="J421" s="115"/>
      <c r="K421" s="115"/>
      <c r="O421" s="115"/>
    </row>
    <row r="422" spans="3:15">
      <c r="C422" s="115"/>
      <c r="D422" s="115"/>
      <c r="H422" s="115"/>
      <c r="J422" s="115"/>
      <c r="K422" s="115"/>
      <c r="O422" s="115"/>
    </row>
    <row r="423" spans="3:15">
      <c r="C423" s="115"/>
      <c r="D423" s="115"/>
      <c r="H423" s="115"/>
      <c r="J423" s="115"/>
      <c r="K423" s="115"/>
      <c r="O423" s="115"/>
    </row>
    <row r="424" spans="3:15">
      <c r="C424" s="115"/>
      <c r="D424" s="115"/>
      <c r="H424" s="115"/>
      <c r="J424" s="115"/>
      <c r="K424" s="115"/>
      <c r="O424" s="115"/>
    </row>
    <row r="425" spans="3:15">
      <c r="C425" s="115"/>
      <c r="D425" s="115"/>
      <c r="H425" s="115"/>
      <c r="J425" s="115"/>
      <c r="K425" s="115"/>
      <c r="O425" s="115"/>
    </row>
    <row r="426" spans="3:15">
      <c r="C426" s="115"/>
      <c r="D426" s="115"/>
      <c r="H426" s="115"/>
      <c r="J426" s="115"/>
      <c r="K426" s="115"/>
      <c r="O426" s="115"/>
    </row>
    <row r="427" spans="3:15">
      <c r="C427" s="115"/>
      <c r="D427" s="115"/>
      <c r="H427" s="115"/>
      <c r="J427" s="115"/>
      <c r="K427" s="115"/>
      <c r="O427" s="115"/>
    </row>
    <row r="428" spans="3:15">
      <c r="C428" s="115"/>
      <c r="D428" s="115"/>
      <c r="H428" s="115"/>
      <c r="J428" s="115"/>
      <c r="K428" s="115"/>
      <c r="O428" s="115"/>
    </row>
    <row r="429" spans="3:15">
      <c r="C429" s="115"/>
      <c r="D429" s="115"/>
      <c r="H429" s="115"/>
      <c r="J429" s="115"/>
      <c r="K429" s="115"/>
      <c r="O429" s="115"/>
    </row>
    <row r="430" spans="3:15">
      <c r="C430" s="115"/>
      <c r="D430" s="115"/>
      <c r="H430" s="115"/>
      <c r="J430" s="115"/>
      <c r="K430" s="115"/>
      <c r="O430" s="115"/>
    </row>
    <row r="431" spans="3:15">
      <c r="C431" s="115"/>
      <c r="D431" s="115"/>
      <c r="H431" s="115"/>
      <c r="J431" s="115"/>
      <c r="K431" s="115"/>
      <c r="O431" s="115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3:H59"/>
  <sheetViews>
    <sheetView workbookViewId="0">
      <selection activeCell="G11" sqref="G11"/>
    </sheetView>
  </sheetViews>
  <sheetFormatPr defaultRowHeight="14.25"/>
  <cols>
    <col min="1" max="1" width="27.125" customWidth="1"/>
    <col min="2" max="2" width="34.625" customWidth="1"/>
  </cols>
  <sheetData>
    <row r="3" spans="1:2" ht="15">
      <c r="A3" s="85" t="s">
        <v>241</v>
      </c>
    </row>
    <row r="4" spans="1:2">
      <c r="B4" s="1"/>
    </row>
    <row r="5" spans="1:2" ht="15.75" thickBot="1">
      <c r="A5" s="76" t="s">
        <v>242</v>
      </c>
    </row>
    <row r="6" spans="1:2" ht="15.75" thickBot="1">
      <c r="A6" s="78" t="s">
        <v>243</v>
      </c>
      <c r="B6" s="79" t="s">
        <v>244</v>
      </c>
    </row>
    <row r="7" spans="1:2" ht="15.75" thickBot="1">
      <c r="A7" s="80" t="s">
        <v>245</v>
      </c>
      <c r="B7" s="77" t="s">
        <v>246</v>
      </c>
    </row>
    <row r="8" spans="1:2" ht="15.75" thickBot="1">
      <c r="A8" s="80" t="s">
        <v>247</v>
      </c>
      <c r="B8" s="77" t="s">
        <v>248</v>
      </c>
    </row>
    <row r="9" spans="1:2" ht="15.75" thickBot="1">
      <c r="A9" s="80" t="s">
        <v>249</v>
      </c>
      <c r="B9" s="77" t="s">
        <v>250</v>
      </c>
    </row>
    <row r="10" spans="1:2" ht="15.75" thickBot="1">
      <c r="A10" s="80" t="s">
        <v>251</v>
      </c>
      <c r="B10" s="77" t="s">
        <v>252</v>
      </c>
    </row>
    <row r="11" spans="1:2" ht="15.75" thickBot="1">
      <c r="A11" s="81" t="s">
        <v>253</v>
      </c>
      <c r="B11" s="82" t="s">
        <v>254</v>
      </c>
    </row>
    <row r="12" spans="1:2" ht="15.75" thickBot="1">
      <c r="A12" s="83" t="s">
        <v>255</v>
      </c>
      <c r="B12" s="84" t="s">
        <v>256</v>
      </c>
    </row>
    <row r="13" spans="1:2" ht="15.75" thickBot="1">
      <c r="A13" s="80" t="s">
        <v>257</v>
      </c>
      <c r="B13" s="77" t="s">
        <v>258</v>
      </c>
    </row>
    <row r="14" spans="1:2" ht="15.75" thickBot="1">
      <c r="A14" s="80" t="s">
        <v>259</v>
      </c>
      <c r="B14" s="77" t="s">
        <v>260</v>
      </c>
    </row>
    <row r="15" spans="1:2" ht="15.75" thickBot="1">
      <c r="A15" s="76" t="s">
        <v>261</v>
      </c>
    </row>
    <row r="16" spans="1:2" ht="15.75" thickBot="1">
      <c r="A16" s="78" t="s">
        <v>243</v>
      </c>
      <c r="B16" s="79" t="s">
        <v>244</v>
      </c>
    </row>
    <row r="17" spans="1:2" ht="15.75" thickBot="1">
      <c r="A17" s="80" t="s">
        <v>247</v>
      </c>
      <c r="B17" s="77" t="s">
        <v>248</v>
      </c>
    </row>
    <row r="18" spans="1:2" ht="15.75" thickBot="1">
      <c r="A18" s="80" t="s">
        <v>249</v>
      </c>
      <c r="B18" s="77" t="s">
        <v>262</v>
      </c>
    </row>
    <row r="19" spans="1:2" ht="15.75" thickBot="1">
      <c r="A19" s="80" t="s">
        <v>251</v>
      </c>
      <c r="B19" s="77" t="s">
        <v>263</v>
      </c>
    </row>
    <row r="20" spans="1:2" ht="15.75" thickBot="1">
      <c r="A20" s="81" t="s">
        <v>264</v>
      </c>
      <c r="B20" s="82" t="s">
        <v>265</v>
      </c>
    </row>
    <row r="23" spans="1:2" ht="15">
      <c r="A23" s="85" t="s">
        <v>266</v>
      </c>
    </row>
    <row r="24" spans="1:2" ht="15" thickBot="1"/>
    <row r="25" spans="1:2" ht="15.75" thickBot="1">
      <c r="A25" s="78" t="s">
        <v>267</v>
      </c>
      <c r="B25" s="79" t="s">
        <v>233</v>
      </c>
    </row>
    <row r="26" spans="1:2" ht="15.75" thickBot="1">
      <c r="A26" s="80" t="s">
        <v>247</v>
      </c>
      <c r="B26" s="77" t="s">
        <v>268</v>
      </c>
    </row>
    <row r="27" spans="1:2" ht="15.75" thickBot="1">
      <c r="A27" s="80" t="s">
        <v>249</v>
      </c>
      <c r="B27" s="77" t="s">
        <v>269</v>
      </c>
    </row>
    <row r="28" spans="1:2" ht="15.75" thickBot="1">
      <c r="A28" s="80" t="s">
        <v>270</v>
      </c>
      <c r="B28" s="77" t="s">
        <v>271</v>
      </c>
    </row>
    <row r="29" spans="1:2" ht="15.75" thickBot="1">
      <c r="A29" s="80" t="s">
        <v>251</v>
      </c>
      <c r="B29" s="77" t="s">
        <v>272</v>
      </c>
    </row>
    <row r="30" spans="1:2" ht="15.75" thickBot="1">
      <c r="A30" s="80" t="s">
        <v>253</v>
      </c>
      <c r="B30" s="77" t="s">
        <v>273</v>
      </c>
    </row>
    <row r="31" spans="1:2" ht="15.75" thickBot="1">
      <c r="A31" s="80" t="s">
        <v>274</v>
      </c>
      <c r="B31" s="77" t="s">
        <v>275</v>
      </c>
    </row>
    <row r="32" spans="1:2" ht="15">
      <c r="A32" s="87" t="s">
        <v>276</v>
      </c>
      <c r="B32" s="202" t="s">
        <v>278</v>
      </c>
    </row>
    <row r="33" spans="1:8" ht="30.75" thickBot="1">
      <c r="A33" s="80" t="s">
        <v>277</v>
      </c>
      <c r="B33" s="203"/>
    </row>
    <row r="35" spans="1:8" ht="15" thickBot="1"/>
    <row r="36" spans="1:8" ht="15" thickBot="1">
      <c r="A36" s="204" t="s">
        <v>227</v>
      </c>
      <c r="B36" s="205"/>
      <c r="C36" s="208" t="s">
        <v>279</v>
      </c>
      <c r="D36" s="209"/>
      <c r="E36" s="209"/>
      <c r="F36" s="209"/>
      <c r="G36" s="210"/>
      <c r="H36" s="93"/>
    </row>
    <row r="37" spans="1:8" ht="15" thickBot="1">
      <c r="A37" s="206"/>
      <c r="B37" s="207"/>
      <c r="C37" s="211" t="s">
        <v>280</v>
      </c>
      <c r="D37" s="212"/>
      <c r="E37" s="88" t="s">
        <v>281</v>
      </c>
      <c r="F37" s="213" t="s">
        <v>282</v>
      </c>
      <c r="G37" s="214"/>
    </row>
    <row r="38" spans="1:8" ht="15" thickBot="1">
      <c r="A38" s="94" t="s">
        <v>283</v>
      </c>
      <c r="B38" s="89" t="s">
        <v>284</v>
      </c>
      <c r="C38" s="89" t="s">
        <v>285</v>
      </c>
      <c r="D38" s="90" t="s">
        <v>284</v>
      </c>
      <c r="E38" s="90" t="s">
        <v>285</v>
      </c>
      <c r="F38" s="88" t="s">
        <v>285</v>
      </c>
      <c r="G38" s="91" t="s">
        <v>284</v>
      </c>
      <c r="H38" s="91" t="s">
        <v>285</v>
      </c>
    </row>
    <row r="39" spans="1:8" ht="28.5" customHeight="1" thickBot="1">
      <c r="A39" s="95" t="s">
        <v>286</v>
      </c>
      <c r="B39" s="199" t="s">
        <v>287</v>
      </c>
      <c r="C39" s="200"/>
      <c r="D39" s="199" t="s">
        <v>288</v>
      </c>
      <c r="E39" s="201"/>
      <c r="F39" s="201"/>
      <c r="G39" s="201"/>
      <c r="H39" s="200"/>
    </row>
    <row r="40" spans="1:8" ht="43.5" thickBot="1">
      <c r="A40" s="95" t="s">
        <v>289</v>
      </c>
      <c r="B40" s="199" t="s">
        <v>290</v>
      </c>
      <c r="C40" s="200"/>
      <c r="D40" s="92" t="s">
        <v>291</v>
      </c>
      <c r="E40" s="92" t="s">
        <v>292</v>
      </c>
      <c r="F40" s="92" t="s">
        <v>292</v>
      </c>
      <c r="G40" s="92" t="s">
        <v>291</v>
      </c>
      <c r="H40" s="92" t="s">
        <v>292</v>
      </c>
    </row>
    <row r="41" spans="1:8" ht="15" thickBot="1">
      <c r="A41" s="95" t="s">
        <v>293</v>
      </c>
      <c r="B41" s="199" t="s">
        <v>294</v>
      </c>
      <c r="C41" s="200"/>
      <c r="D41" s="199" t="s">
        <v>280</v>
      </c>
      <c r="E41" s="200"/>
      <c r="F41" s="92" t="s">
        <v>295</v>
      </c>
      <c r="G41" s="199" t="s">
        <v>296</v>
      </c>
      <c r="H41" s="200"/>
    </row>
    <row r="42" spans="1:8" ht="15" thickBot="1">
      <c r="A42" s="95" t="s">
        <v>233</v>
      </c>
      <c r="B42" s="199" t="s">
        <v>297</v>
      </c>
      <c r="C42" s="201"/>
      <c r="D42" s="201"/>
      <c r="E42" s="201"/>
      <c r="F42" s="200"/>
      <c r="G42" s="199" t="s">
        <v>298</v>
      </c>
      <c r="H42" s="200"/>
    </row>
    <row r="43" spans="1:8" ht="42.75">
      <c r="A43" s="96" t="s">
        <v>299</v>
      </c>
      <c r="B43" s="86" t="s">
        <v>301</v>
      </c>
      <c r="C43" s="202" t="s">
        <v>305</v>
      </c>
      <c r="D43" s="86" t="s">
        <v>301</v>
      </c>
      <c r="E43" s="202" t="s">
        <v>305</v>
      </c>
      <c r="F43" s="202" t="s">
        <v>305</v>
      </c>
      <c r="G43" s="86" t="s">
        <v>308</v>
      </c>
      <c r="H43" s="202" t="s">
        <v>305</v>
      </c>
    </row>
    <row r="44" spans="1:8" ht="42.75">
      <c r="A44" s="96" t="s">
        <v>300</v>
      </c>
      <c r="B44" s="97" t="s">
        <v>302</v>
      </c>
      <c r="C44" s="215"/>
      <c r="D44" s="86" t="s">
        <v>306</v>
      </c>
      <c r="E44" s="215"/>
      <c r="F44" s="215"/>
      <c r="G44" s="86" t="s">
        <v>309</v>
      </c>
      <c r="H44" s="215"/>
    </row>
    <row r="45" spans="1:8" ht="42.75">
      <c r="A45" s="96"/>
      <c r="B45" s="86" t="s">
        <v>303</v>
      </c>
      <c r="C45" s="215"/>
      <c r="D45" s="86" t="s">
        <v>303</v>
      </c>
      <c r="E45" s="215"/>
      <c r="F45" s="215"/>
      <c r="G45" s="86" t="s">
        <v>310</v>
      </c>
      <c r="H45" s="215"/>
    </row>
    <row r="46" spans="1:8" ht="15" thickBot="1">
      <c r="A46" s="95"/>
      <c r="B46" s="92" t="s">
        <v>304</v>
      </c>
      <c r="C46" s="203"/>
      <c r="D46" s="92" t="s">
        <v>307</v>
      </c>
      <c r="E46" s="203"/>
      <c r="F46" s="203"/>
      <c r="G46" s="92"/>
      <c r="H46" s="203"/>
    </row>
    <row r="47" spans="1:8" ht="42.75">
      <c r="A47" s="96" t="s">
        <v>311</v>
      </c>
      <c r="B47" s="202" t="s">
        <v>305</v>
      </c>
      <c r="C47" s="216">
        <v>1.0999999999999999E-2</v>
      </c>
      <c r="D47" s="202" t="s">
        <v>305</v>
      </c>
      <c r="E47" s="219">
        <v>1.0999999999999999E-2</v>
      </c>
      <c r="F47" s="219">
        <v>3.9E-2</v>
      </c>
      <c r="G47" s="202" t="s">
        <v>305</v>
      </c>
      <c r="H47" s="86" t="s">
        <v>308</v>
      </c>
    </row>
    <row r="48" spans="1:8" ht="42.75">
      <c r="A48" s="96" t="s">
        <v>300</v>
      </c>
      <c r="B48" s="215"/>
      <c r="C48" s="217"/>
      <c r="D48" s="215"/>
      <c r="E48" s="220"/>
      <c r="F48" s="220"/>
      <c r="G48" s="215"/>
      <c r="H48" s="86" t="s">
        <v>309</v>
      </c>
    </row>
    <row r="49" spans="1:8" ht="43.5" thickBot="1">
      <c r="A49" s="95"/>
      <c r="B49" s="203"/>
      <c r="C49" s="218"/>
      <c r="D49" s="203"/>
      <c r="E49" s="221"/>
      <c r="F49" s="221"/>
      <c r="G49" s="203"/>
      <c r="H49" s="92" t="s">
        <v>310</v>
      </c>
    </row>
    <row r="50" spans="1:8" ht="127.5" customHeight="1">
      <c r="A50" s="96" t="s">
        <v>312</v>
      </c>
      <c r="B50" s="202" t="s">
        <v>305</v>
      </c>
      <c r="C50" s="230" t="s">
        <v>314</v>
      </c>
      <c r="D50" s="202" t="s">
        <v>305</v>
      </c>
      <c r="E50" s="202" t="s">
        <v>305</v>
      </c>
      <c r="F50" s="202" t="s">
        <v>305</v>
      </c>
      <c r="G50" s="202" t="s">
        <v>305</v>
      </c>
      <c r="H50" s="202" t="s">
        <v>315</v>
      </c>
    </row>
    <row r="51" spans="1:8" ht="15" thickBot="1">
      <c r="A51" s="95" t="s">
        <v>313</v>
      </c>
      <c r="B51" s="203"/>
      <c r="C51" s="231"/>
      <c r="D51" s="203"/>
      <c r="E51" s="203"/>
      <c r="F51" s="203"/>
      <c r="G51" s="203"/>
      <c r="H51" s="203"/>
    </row>
    <row r="52" spans="1:8" ht="15" thickBot="1">
      <c r="A52" s="95" t="s">
        <v>316</v>
      </c>
      <c r="B52" s="199" t="s">
        <v>317</v>
      </c>
      <c r="C52" s="201"/>
      <c r="D52" s="201"/>
      <c r="E52" s="201"/>
      <c r="F52" s="201"/>
      <c r="G52" s="201"/>
      <c r="H52" s="200"/>
    </row>
    <row r="53" spans="1:8" ht="14.25" customHeight="1">
      <c r="A53" s="222" t="s">
        <v>318</v>
      </c>
      <c r="B53" s="224" t="s">
        <v>319</v>
      </c>
      <c r="C53" s="225"/>
      <c r="D53" s="225"/>
      <c r="E53" s="225"/>
      <c r="F53" s="225"/>
      <c r="G53" s="225"/>
      <c r="H53" s="226"/>
    </row>
    <row r="54" spans="1:8" ht="15" thickBot="1">
      <c r="A54" s="223"/>
      <c r="B54" s="227" t="s">
        <v>320</v>
      </c>
      <c r="C54" s="228"/>
      <c r="D54" s="228"/>
      <c r="E54" s="228"/>
      <c r="F54" s="228"/>
      <c r="G54" s="228"/>
      <c r="H54" s="229"/>
    </row>
    <row r="55" spans="1:8" ht="14.25" customHeight="1">
      <c r="A55" s="222" t="s">
        <v>321</v>
      </c>
      <c r="B55" s="224" t="s">
        <v>322</v>
      </c>
      <c r="C55" s="225"/>
      <c r="D55" s="225"/>
      <c r="E55" s="225"/>
      <c r="F55" s="225"/>
      <c r="G55" s="225"/>
      <c r="H55" s="226"/>
    </row>
    <row r="56" spans="1:8" ht="15" thickBot="1">
      <c r="A56" s="223"/>
      <c r="B56" s="227" t="s">
        <v>323</v>
      </c>
      <c r="C56" s="228"/>
      <c r="D56" s="228"/>
      <c r="E56" s="228"/>
      <c r="F56" s="228"/>
      <c r="G56" s="228"/>
      <c r="H56" s="229"/>
    </row>
    <row r="57" spans="1:8" ht="28.5" customHeight="1">
      <c r="A57" s="222" t="s">
        <v>324</v>
      </c>
      <c r="B57" s="224" t="s">
        <v>325</v>
      </c>
      <c r="C57" s="225"/>
      <c r="D57" s="226"/>
      <c r="E57" s="224" t="s">
        <v>326</v>
      </c>
      <c r="F57" s="225"/>
      <c r="G57" s="225"/>
      <c r="H57" s="226"/>
    </row>
    <row r="58" spans="1:8" ht="28.5" customHeight="1">
      <c r="A58" s="232"/>
      <c r="B58" s="233"/>
      <c r="C58" s="234"/>
      <c r="D58" s="235"/>
      <c r="E58" s="233" t="s">
        <v>327</v>
      </c>
      <c r="F58" s="234"/>
      <c r="G58" s="234"/>
      <c r="H58" s="235"/>
    </row>
    <row r="59" spans="1:8" ht="28.5" customHeight="1" thickBot="1">
      <c r="A59" s="223"/>
      <c r="B59" s="227"/>
      <c r="C59" s="228"/>
      <c r="D59" s="229"/>
      <c r="E59" s="227" t="s">
        <v>328</v>
      </c>
      <c r="F59" s="228"/>
      <c r="G59" s="228"/>
      <c r="H59" s="229"/>
    </row>
  </sheetData>
  <mergeCells count="42">
    <mergeCell ref="A57:A59"/>
    <mergeCell ref="B57:D59"/>
    <mergeCell ref="E57:H57"/>
    <mergeCell ref="E58:H58"/>
    <mergeCell ref="E59:H59"/>
    <mergeCell ref="A55:A56"/>
    <mergeCell ref="B55:H55"/>
    <mergeCell ref="B56:H56"/>
    <mergeCell ref="B50:B51"/>
    <mergeCell ref="C50:C51"/>
    <mergeCell ref="D50:D51"/>
    <mergeCell ref="E50:E51"/>
    <mergeCell ref="F50:F51"/>
    <mergeCell ref="G50:G51"/>
    <mergeCell ref="H50:H51"/>
    <mergeCell ref="B52:H52"/>
    <mergeCell ref="A53:A54"/>
    <mergeCell ref="B53:H53"/>
    <mergeCell ref="B54:H54"/>
    <mergeCell ref="C43:C46"/>
    <mergeCell ref="E43:E46"/>
    <mergeCell ref="F43:F46"/>
    <mergeCell ref="H43:H46"/>
    <mergeCell ref="B47:B49"/>
    <mergeCell ref="C47:C49"/>
    <mergeCell ref="D47:D49"/>
    <mergeCell ref="E47:E49"/>
    <mergeCell ref="F47:F49"/>
    <mergeCell ref="G47:G49"/>
    <mergeCell ref="B40:C40"/>
    <mergeCell ref="B41:C41"/>
    <mergeCell ref="D41:E41"/>
    <mergeCell ref="G41:H41"/>
    <mergeCell ref="B42:F42"/>
    <mergeCell ref="G42:H42"/>
    <mergeCell ref="B39:C39"/>
    <mergeCell ref="D39:H39"/>
    <mergeCell ref="B32:B33"/>
    <mergeCell ref="A36:B37"/>
    <mergeCell ref="C36:G36"/>
    <mergeCell ref="C37:D37"/>
    <mergeCell ref="F37:G37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2019-11-21T13:09:43Z</dcterms:modified>
</cp:coreProperties>
</file>